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tel.sharepoint.com/sites/ltdtestdevelopment/7nm/Parametric Test Documents/P1278/"/>
    </mc:Choice>
  </mc:AlternateContent>
  <xr:revisionPtr revIDLastSave="0" documentId="8_{420AD9BB-183E-4911-B237-125EA355426E}" xr6:coauthVersionLast="47" xr6:coauthVersionMax="47" xr10:uidLastSave="{00000000-0000-0000-0000-000000000000}"/>
  <bookViews>
    <workbookView xWindow="41" yWindow="380" windowWidth="26042" windowHeight="14047" tabRatio="763" firstSheet="14" activeTab="14" xr2:uid="{00000000-000D-0000-FFFF-FFFF00000000}"/>
  </bookViews>
  <sheets>
    <sheet name="X78A Templates" sheetId="8" state="hidden" r:id="rId1"/>
    <sheet name="X78A Test Types" sheetId="9" state="hidden" r:id="rId2"/>
    <sheet name="X78A MOS Test Config" sheetId="17" state="hidden" r:id="rId3"/>
    <sheet name="X78A MOS TTR Test Config" sheetId="19" state="hidden" r:id="rId4"/>
    <sheet name="X78B Test Types" sheetId="18" r:id="rId5"/>
    <sheet name="X78C Test Types" sheetId="27" r:id="rId6"/>
    <sheet name="MOS Test Config (CNODE float)" sheetId="14" state="hidden" r:id="rId7"/>
    <sheet name="MOS Test Config (PRE-TTR)" sheetId="10" state="hidden" r:id="rId8"/>
    <sheet name="MAT Test Config (pre-TTR)" sheetId="15" state="hidden" r:id="rId9"/>
    <sheet name="X78B MOS Test Config" sheetId="21" state="hidden" r:id="rId10"/>
    <sheet name="KEY_LOGIC_SUITE" sheetId="25" state="hidden" r:id="rId11"/>
    <sheet name="X78C MAT KEY_LOGIC_SUITE" sheetId="26" state="hidden" r:id="rId12"/>
    <sheet name="X78E Test Types " sheetId="36" r:id="rId13"/>
    <sheet name="X78C MOS Test Config" sheetId="31" r:id="rId14"/>
    <sheet name="X78D MOS Test Config" sheetId="34" r:id="rId15"/>
    <sheet name="LLE vs SLIM" sheetId="35" r:id="rId16"/>
    <sheet name="X78C_MAT_SPECIFIC" sheetId="33" r:id="rId17"/>
    <sheet name="MOS FKTCN Test Configs" sheetId="20" r:id="rId18"/>
    <sheet name="X78B MAT Test Config" sheetId="12" state="hidden" r:id="rId19"/>
    <sheet name="MOS CRIT vs SLIM by Test" sheetId="16" state="hidden" r:id="rId20"/>
    <sheet name="MLR Test Config" sheetId="13" r:id="rId21"/>
    <sheet name="AUTOBIAS TARGETS" sheetId="11" state="hidden" r:id="rId22"/>
    <sheet name="TG STRESS CONDITIONS" sheetId="23" state="hidden" r:id="rId23"/>
    <sheet name="TG GM ROUT conditions" sheetId="28" state="hidden" r:id="rId24"/>
    <sheet name="KTCN_0.85V" sheetId="24" state="hidden" r:id="rId25"/>
    <sheet name="HDMOS TestTypes" sheetId="29" r:id="rId26"/>
    <sheet name="X78B_C_QREL" sheetId="30" r:id="rId27"/>
    <sheet name="QREL_TESTTIMES" sheetId="32" r:id="rId28"/>
  </sheets>
  <definedNames>
    <definedName name="_xlnm._FilterDatabase" localSheetId="19" hidden="1">'MOS CRIT vs SLIM by Test'!$A$1:$C$1</definedName>
    <definedName name="_xlnm._FilterDatabase" localSheetId="6" hidden="1">'MOS Test Config (CNODE float)'!$A$1:$N$284</definedName>
    <definedName name="_xlnm._FilterDatabase" localSheetId="7" hidden="1">'MOS Test Config (PRE-TTR)'!$A$1:$N$315</definedName>
    <definedName name="_xlnm._FilterDatabase" localSheetId="2" hidden="1">'X78A MOS Test Config'!$A$1:$N$292</definedName>
    <definedName name="_xlnm._FilterDatabase" localSheetId="3" hidden="1">'X78A MOS TTR Test Config'!$A$1:$N$359</definedName>
    <definedName name="_xlnm._FilterDatabase" localSheetId="1" hidden="1">'X78A Test Types'!$A$1:$W$1</definedName>
    <definedName name="_xlnm._FilterDatabase" localSheetId="18" hidden="1">'X78B MAT Test Config'!$A$2:$P$2</definedName>
    <definedName name="_xlnm._FilterDatabase" localSheetId="9" hidden="1">'X78B MOS Test Config'!$A$1:$M$363</definedName>
    <definedName name="_xlnm._FilterDatabase" localSheetId="4" hidden="1">'X78B Test Types'!$A$1:$C$329</definedName>
    <definedName name="_xlnm._FilterDatabase" localSheetId="11" hidden="1">'X78C MAT KEY_LOGIC_SUITE'!$A$2:$N$87</definedName>
    <definedName name="_xlnm._FilterDatabase" localSheetId="13" hidden="1">'X78C MOS Test Config'!$A$1:$M$374</definedName>
    <definedName name="_xlnm._FilterDatabase" localSheetId="5" hidden="1">'X78C Test Types'!$A$1:$C$368</definedName>
    <definedName name="_xlnm._FilterDatabase" localSheetId="14" hidden="1">'X78D MOS Test Config'!$A$1:$M$488</definedName>
    <definedName name="_xlnm._FilterDatabase" localSheetId="12" hidden="1">'X78E Test Types '!$A$1:$C$383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21" i="34" l="1"/>
  <c r="F383" i="34"/>
  <c r="G383" i="34" s="1"/>
  <c r="G391" i="34"/>
  <c r="G388" i="34"/>
  <c r="G385" i="34"/>
  <c r="F172" i="34"/>
  <c r="G163" i="34"/>
  <c r="G328" i="34" l="1"/>
  <c r="G798" i="34" l="1"/>
  <c r="G805" i="34" s="1"/>
  <c r="F792" i="34"/>
  <c r="G755" i="34"/>
  <c r="G630" i="34"/>
  <c r="F486" i="34"/>
  <c r="G466" i="34"/>
  <c r="G429" i="34"/>
  <c r="G426" i="34"/>
  <c r="G423" i="34"/>
  <c r="F412" i="34"/>
  <c r="G412" i="34" s="1"/>
  <c r="G375" i="34"/>
  <c r="G346" i="34"/>
  <c r="G333" i="34"/>
  <c r="F241" i="34"/>
  <c r="F240" i="34"/>
  <c r="F239" i="34"/>
  <c r="F238" i="34"/>
  <c r="F237" i="34"/>
  <c r="F236" i="34"/>
  <c r="F235" i="34"/>
  <c r="F230" i="34"/>
  <c r="G229" i="34"/>
  <c r="G85" i="34"/>
  <c r="G82" i="34"/>
  <c r="G79" i="34"/>
  <c r="F60" i="34"/>
  <c r="G60" i="34" s="1"/>
  <c r="G35" i="34"/>
  <c r="G32" i="34"/>
  <c r="F27" i="34"/>
  <c r="G27" i="34" s="1"/>
  <c r="F5" i="34"/>
  <c r="F4" i="34"/>
  <c r="F3" i="34"/>
  <c r="F2" i="34"/>
  <c r="G47" i="34" l="1"/>
  <c r="G102" i="34"/>
  <c r="G444" i="34"/>
  <c r="G452" i="31"/>
  <c r="G617" i="31"/>
  <c r="G624" i="31" s="1"/>
  <c r="F611" i="31"/>
  <c r="D94" i="32"/>
  <c r="D91" i="32"/>
  <c r="F92" i="32"/>
  <c r="E92" i="32"/>
  <c r="E54" i="29"/>
  <c r="G577" i="31"/>
  <c r="F372" i="31" l="1"/>
  <c r="G352" i="31"/>
  <c r="G315" i="31"/>
  <c r="G312" i="31"/>
  <c r="G309" i="31"/>
  <c r="F298" i="31"/>
  <c r="G298" i="31" s="1"/>
  <c r="G290" i="31"/>
  <c r="G261" i="31"/>
  <c r="G248" i="31"/>
  <c r="F156" i="31"/>
  <c r="F155" i="31"/>
  <c r="F154" i="31"/>
  <c r="F153" i="31"/>
  <c r="F152" i="31"/>
  <c r="F151" i="31"/>
  <c r="F150" i="31"/>
  <c r="F145" i="31"/>
  <c r="F112" i="31"/>
  <c r="G103" i="31"/>
  <c r="G85" i="31"/>
  <c r="G82" i="31"/>
  <c r="G79" i="31"/>
  <c r="F60" i="31"/>
  <c r="G60" i="31" s="1"/>
  <c r="G35" i="31"/>
  <c r="G32" i="31"/>
  <c r="F27" i="31"/>
  <c r="G27" i="31" s="1"/>
  <c r="F5" i="31"/>
  <c r="F4" i="31"/>
  <c r="F3" i="31"/>
  <c r="F2" i="31"/>
  <c r="E22" i="29"/>
  <c r="E10" i="29"/>
  <c r="C71" i="26"/>
  <c r="C52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3" i="26"/>
  <c r="K14" i="26"/>
  <c r="I4" i="26"/>
  <c r="J4" i="26" s="1"/>
  <c r="I3" i="26"/>
  <c r="J3" i="26" s="1"/>
  <c r="J44" i="26"/>
  <c r="J43" i="26"/>
  <c r="J41" i="26"/>
  <c r="J42" i="26"/>
  <c r="G330" i="31" l="1"/>
  <c r="I6" i="26"/>
  <c r="J6" i="26" s="1"/>
  <c r="I7" i="26"/>
  <c r="J7" i="26" s="1"/>
  <c r="I8" i="26"/>
  <c r="J8" i="26" s="1"/>
  <c r="I9" i="26"/>
  <c r="J9" i="26" s="1"/>
  <c r="I10" i="26"/>
  <c r="J10" i="26" s="1"/>
  <c r="I11" i="26"/>
  <c r="J11" i="26" s="1"/>
  <c r="I12" i="26"/>
  <c r="J12" i="26" s="1"/>
  <c r="I13" i="26"/>
  <c r="J13" i="26" s="1"/>
  <c r="I14" i="26"/>
  <c r="J14" i="26" s="1"/>
  <c r="I15" i="26"/>
  <c r="J15" i="26" s="1"/>
  <c r="I16" i="26"/>
  <c r="J16" i="26" s="1"/>
  <c r="I17" i="26"/>
  <c r="J17" i="26" s="1"/>
  <c r="I18" i="26"/>
  <c r="J18" i="26" s="1"/>
  <c r="I19" i="26"/>
  <c r="J19" i="26" s="1"/>
  <c r="I20" i="26"/>
  <c r="J20" i="26" s="1"/>
  <c r="I21" i="26"/>
  <c r="J21" i="26" s="1"/>
  <c r="I22" i="26"/>
  <c r="J22" i="26" s="1"/>
  <c r="I23" i="26"/>
  <c r="J23" i="26" s="1"/>
  <c r="I24" i="26"/>
  <c r="J24" i="26" s="1"/>
  <c r="I25" i="26"/>
  <c r="J25" i="26" s="1"/>
  <c r="I26" i="26"/>
  <c r="J26" i="26" s="1"/>
  <c r="I27" i="26"/>
  <c r="J27" i="26" s="1"/>
  <c r="I28" i="26"/>
  <c r="J28" i="26" s="1"/>
  <c r="I29" i="26"/>
  <c r="J29" i="26" s="1"/>
  <c r="I30" i="26"/>
  <c r="J30" i="26" s="1"/>
  <c r="I31" i="26"/>
  <c r="J31" i="26" s="1"/>
  <c r="I32" i="26"/>
  <c r="J32" i="26" s="1"/>
  <c r="I33" i="26"/>
  <c r="J33" i="26" s="1"/>
  <c r="I34" i="26"/>
  <c r="J34" i="26" s="1"/>
  <c r="I35" i="26"/>
  <c r="J35" i="26" s="1"/>
  <c r="I36" i="26"/>
  <c r="J36" i="26" s="1"/>
  <c r="I37" i="26"/>
  <c r="J37" i="26" s="1"/>
  <c r="I38" i="26"/>
  <c r="J38" i="26" s="1"/>
  <c r="I39" i="26"/>
  <c r="J39" i="26" s="1"/>
  <c r="I40" i="26"/>
  <c r="J40" i="26" s="1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5" i="26"/>
  <c r="J5" i="26" s="1"/>
  <c r="E14" i="25"/>
  <c r="D54" i="25"/>
  <c r="D87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3" i="25"/>
  <c r="G341" i="21" l="1"/>
  <c r="G279" i="21"/>
  <c r="G250" i="21"/>
  <c r="O17" i="11"/>
  <c r="N17" i="11"/>
  <c r="M17" i="11"/>
  <c r="O16" i="11"/>
  <c r="N16" i="11"/>
  <c r="M16" i="11"/>
  <c r="O7" i="11"/>
  <c r="N7" i="11"/>
  <c r="N6" i="11"/>
  <c r="O6" i="11"/>
  <c r="M7" i="11"/>
  <c r="M6" i="11"/>
  <c r="G238" i="19" l="1"/>
  <c r="G84" i="19"/>
  <c r="G81" i="19"/>
  <c r="G78" i="19"/>
  <c r="G35" i="19"/>
  <c r="G32" i="19"/>
  <c r="G32" i="21"/>
  <c r="G85" i="21"/>
  <c r="G82" i="21"/>
  <c r="G79" i="21"/>
  <c r="G35" i="21"/>
  <c r="G237" i="21"/>
  <c r="C17" i="11" l="1"/>
  <c r="D17" i="11" s="1"/>
  <c r="E17" i="11" s="1"/>
  <c r="C16" i="11"/>
  <c r="D16" i="11" s="1"/>
  <c r="E16" i="11" s="1"/>
  <c r="F361" i="21" l="1"/>
  <c r="G304" i="21"/>
  <c r="G301" i="21"/>
  <c r="G298" i="21"/>
  <c r="F287" i="21"/>
  <c r="G287" i="21" s="1"/>
  <c r="F145" i="21"/>
  <c r="F144" i="21"/>
  <c r="F143" i="21"/>
  <c r="F142" i="21"/>
  <c r="F141" i="21"/>
  <c r="F140" i="21"/>
  <c r="F139" i="21"/>
  <c r="F134" i="21"/>
  <c r="F112" i="21"/>
  <c r="G103" i="21"/>
  <c r="F60" i="21"/>
  <c r="G60" i="21" s="1"/>
  <c r="F27" i="21"/>
  <c r="G27" i="21" s="1"/>
  <c r="F5" i="21"/>
  <c r="F4" i="21"/>
  <c r="F3" i="21"/>
  <c r="F2" i="21"/>
  <c r="G102" i="19"/>
  <c r="F27" i="19"/>
  <c r="G27" i="19" s="1"/>
  <c r="G305" i="19"/>
  <c r="G302" i="19"/>
  <c r="G299" i="19"/>
  <c r="F288" i="19"/>
  <c r="G288" i="19" s="1"/>
  <c r="F59" i="19" l="1"/>
  <c r="G59" i="19" s="1"/>
  <c r="F357" i="19"/>
  <c r="F149" i="19"/>
  <c r="F148" i="19"/>
  <c r="F147" i="19"/>
  <c r="F146" i="19"/>
  <c r="F145" i="19"/>
  <c r="F144" i="19"/>
  <c r="F143" i="19"/>
  <c r="F138" i="19"/>
  <c r="F111" i="19"/>
  <c r="F5" i="19"/>
  <c r="F4" i="19"/>
  <c r="F3" i="19"/>
  <c r="F2" i="19"/>
  <c r="F309" i="17" l="1"/>
  <c r="F263" i="17"/>
  <c r="F144" i="17"/>
  <c r="F143" i="17"/>
  <c r="F142" i="17"/>
  <c r="F141" i="17"/>
  <c r="F140" i="17"/>
  <c r="F139" i="17"/>
  <c r="F138" i="17"/>
  <c r="F133" i="17"/>
  <c r="F106" i="17"/>
  <c r="F5" i="17"/>
  <c r="F4" i="17"/>
  <c r="F3" i="17"/>
  <c r="F2" i="17"/>
  <c r="O35" i="14"/>
  <c r="P35" i="14"/>
  <c r="F301" i="14"/>
  <c r="F140" i="14"/>
  <c r="F139" i="14"/>
  <c r="F138" i="14"/>
  <c r="F137" i="14"/>
  <c r="F136" i="14"/>
  <c r="F135" i="14"/>
  <c r="F134" i="14"/>
  <c r="F256" i="14"/>
  <c r="F130" i="14"/>
  <c r="F104" i="14"/>
  <c r="F5" i="14"/>
  <c r="F4" i="14"/>
  <c r="F3" i="14"/>
  <c r="F2" i="14"/>
  <c r="Q35" i="14" l="1"/>
  <c r="R35" i="14" s="1"/>
  <c r="F206" i="10"/>
  <c r="F205" i="10"/>
  <c r="F204" i="10"/>
  <c r="F203" i="10"/>
  <c r="F202" i="10"/>
  <c r="F201" i="10"/>
  <c r="F200" i="10"/>
  <c r="F196" i="10"/>
  <c r="F181" i="10"/>
  <c r="F138" i="10"/>
  <c r="F134" i="10"/>
  <c r="F108" i="10"/>
  <c r="F5" i="10"/>
  <c r="F4" i="10"/>
  <c r="F3" i="10"/>
  <c r="F2" i="10"/>
  <c r="S42" i="14" l="1"/>
</calcChain>
</file>

<file path=xl/sharedStrings.xml><?xml version="1.0" encoding="utf-8"?>
<sst xmlns="http://schemas.openxmlformats.org/spreadsheetml/2006/main" count="27882" uniqueCount="2601">
  <si>
    <t>Database</t>
  </si>
  <si>
    <t>Category</t>
  </si>
  <si>
    <t>Name</t>
  </si>
  <si>
    <t>META Data</t>
  </si>
  <si>
    <t>Terminals</t>
  </si>
  <si>
    <t>X78</t>
  </si>
  <si>
    <t>BECMB</t>
  </si>
  <si>
    <t>BECMB_SHORT_X78A</t>
  </si>
  <si>
    <t>Test Type; Scalar; Force; Group</t>
  </si>
  <si>
    <t>LO</t>
  </si>
  <si>
    <t>HI</t>
  </si>
  <si>
    <t>BECMB_SRP_CMB_BI_X78A</t>
  </si>
  <si>
    <t>Lo</t>
  </si>
  <si>
    <t>Hi</t>
  </si>
  <si>
    <t>combLo</t>
  </si>
  <si>
    <t>combHi</t>
  </si>
  <si>
    <t>TOP</t>
  </si>
  <si>
    <t>BOT</t>
  </si>
  <si>
    <t>BECMB_SRP_CMB_X78A</t>
  </si>
  <si>
    <t>BECHN</t>
  </si>
  <si>
    <t>VIA_CHN_X78A</t>
  </si>
  <si>
    <t>BERES</t>
  </si>
  <si>
    <t>BERES_BUNKER_X78A</t>
  </si>
  <si>
    <t>BERES_ECD_X78A</t>
  </si>
  <si>
    <t>IHI</t>
  </si>
  <si>
    <t>ILO</t>
  </si>
  <si>
    <t>BE_PROBECHK_X78A</t>
  </si>
  <si>
    <t>LO1</t>
  </si>
  <si>
    <t>LO2</t>
  </si>
  <si>
    <t>HI1</t>
  </si>
  <si>
    <t>HI2</t>
  </si>
  <si>
    <t>DVB_KLV_X78A</t>
  </si>
  <si>
    <t>feLO</t>
  </si>
  <si>
    <t>feHI</t>
  </si>
  <si>
    <t>bmHI</t>
  </si>
  <si>
    <t>bmLO</t>
  </si>
  <si>
    <t>feLO2</t>
  </si>
  <si>
    <t>bmLO2</t>
  </si>
  <si>
    <t>feHI_N</t>
  </si>
  <si>
    <t>feHI_1</t>
  </si>
  <si>
    <t>feHI_2</t>
  </si>
  <si>
    <t>feHI_3</t>
  </si>
  <si>
    <t>feLO_N</t>
  </si>
  <si>
    <t>feLO_1</t>
  </si>
  <si>
    <t>feLO_2</t>
  </si>
  <si>
    <t>feLO_3</t>
  </si>
  <si>
    <t>VIA_KLV_X78A</t>
  </si>
  <si>
    <t>ogdLO</t>
  </si>
  <si>
    <t>ogdHI</t>
  </si>
  <si>
    <t>pgdLO</t>
  </si>
  <si>
    <t>pgdHI</t>
  </si>
  <si>
    <t>pgdHIK</t>
  </si>
  <si>
    <t>pgdLOK</t>
  </si>
  <si>
    <t>ogdHIK</t>
  </si>
  <si>
    <t>ogdLOK</t>
  </si>
  <si>
    <t>CTM</t>
  </si>
  <si>
    <t>CTM_GNAC_X78A</t>
  </si>
  <si>
    <t>GNAC</t>
  </si>
  <si>
    <t>TAP</t>
  </si>
  <si>
    <t>GNAC_1</t>
  </si>
  <si>
    <t>GNAC_2</t>
  </si>
  <si>
    <t>CTM_PLACER_ROUTER_X78A</t>
  </si>
  <si>
    <t>prpin1</t>
  </si>
  <si>
    <t>prpin2</t>
  </si>
  <si>
    <t>prpin3</t>
  </si>
  <si>
    <t>prpin4</t>
  </si>
  <si>
    <t>prpin5</t>
  </si>
  <si>
    <t>prpin6</t>
  </si>
  <si>
    <t>prpin7</t>
  </si>
  <si>
    <t>prpin8</t>
  </si>
  <si>
    <t>prpin9</t>
  </si>
  <si>
    <t>prpin10</t>
  </si>
  <si>
    <t>prpin11</t>
  </si>
  <si>
    <t>prpin12</t>
  </si>
  <si>
    <t>CTM_PLACER_X78A</t>
  </si>
  <si>
    <t>GATE2</t>
  </si>
  <si>
    <t>D2F</t>
  </si>
  <si>
    <t>D2S</t>
  </si>
  <si>
    <t>SS</t>
  </si>
  <si>
    <t>SF</t>
  </si>
  <si>
    <t>SS2</t>
  </si>
  <si>
    <t>SF2</t>
  </si>
  <si>
    <t>DF</t>
  </si>
  <si>
    <t>GATE</t>
  </si>
  <si>
    <t>DS</t>
  </si>
  <si>
    <t>TOPSOURCE</t>
  </si>
  <si>
    <t>TOPSOURCE2</t>
  </si>
  <si>
    <t>GCN_CHAIN_X78A</t>
  </si>
  <si>
    <t>GT</t>
  </si>
  <si>
    <t>GCN_KLV_X78A</t>
  </si>
  <si>
    <t>GCN_SHORT_X78A</t>
  </si>
  <si>
    <t>ISO</t>
  </si>
  <si>
    <t>ISO_XY_X78A</t>
  </si>
  <si>
    <t>combLO</t>
  </si>
  <si>
    <t>combLO_BS</t>
  </si>
  <si>
    <t>combHI</t>
  </si>
  <si>
    <t>combHI_BS</t>
  </si>
  <si>
    <t>MIM</t>
  </si>
  <si>
    <t>MIM_CHN_X78A</t>
  </si>
  <si>
    <t>MIM_HDCAP_X78A</t>
  </si>
  <si>
    <t>CE3</t>
  </si>
  <si>
    <t>CE2</t>
  </si>
  <si>
    <t>CE1</t>
  </si>
  <si>
    <t>MIM_RES_X78A</t>
  </si>
  <si>
    <t>VHI</t>
  </si>
  <si>
    <t>VLO</t>
  </si>
  <si>
    <t>MIM_SRP_CMB_X78A</t>
  </si>
  <si>
    <t>COMB1</t>
  </si>
  <si>
    <t>COMB2</t>
  </si>
  <si>
    <t>MTLPLT</t>
  </si>
  <si>
    <t>MOS</t>
  </si>
  <si>
    <t>MOS_MLR_X78A</t>
  </si>
  <si>
    <t>Test Type; Scalar; Force; Group; Type</t>
  </si>
  <si>
    <t>G1F</t>
  </si>
  <si>
    <t>G2</t>
  </si>
  <si>
    <t>G1S</t>
  </si>
  <si>
    <t>SF_BS</t>
  </si>
  <si>
    <t>SS_BS</t>
  </si>
  <si>
    <t>MOS_PFT_X78A</t>
  </si>
  <si>
    <t>SS2_BS</t>
  </si>
  <si>
    <t>SF2_BS</t>
  </si>
  <si>
    <t>ADCOL</t>
  </si>
  <si>
    <t>TFRDAC_x78a_X78A</t>
  </si>
  <si>
    <t>I0</t>
  </si>
  <si>
    <t>I32</t>
  </si>
  <si>
    <t>V0</t>
  </si>
  <si>
    <t>V32</t>
  </si>
  <si>
    <t>V8</t>
  </si>
  <si>
    <t>V24</t>
  </si>
  <si>
    <t>I1</t>
  </si>
  <si>
    <t>V1</t>
  </si>
  <si>
    <t>V3</t>
  </si>
  <si>
    <t>V2</t>
  </si>
  <si>
    <t>V4</t>
  </si>
  <si>
    <t>I2</t>
  </si>
  <si>
    <t>n1</t>
  </si>
  <si>
    <t>n2</t>
  </si>
  <si>
    <t>n4</t>
  </si>
  <si>
    <t>n3</t>
  </si>
  <si>
    <t>n5</t>
  </si>
  <si>
    <t>vssx</t>
  </si>
  <si>
    <t>x78A_TFR_HYBRID_X78A</t>
  </si>
  <si>
    <t>x78A_TFR_X78A</t>
  </si>
  <si>
    <t>VHI1</t>
  </si>
  <si>
    <t>VLO1</t>
  </si>
  <si>
    <t>IHI1</t>
  </si>
  <si>
    <t>ILO1</t>
  </si>
  <si>
    <t>b</t>
  </si>
  <si>
    <t>a</t>
  </si>
  <si>
    <t>Test Type</t>
  </si>
  <si>
    <t>Test Config</t>
  </si>
  <si>
    <t>Test Name Output</t>
  </si>
  <si>
    <t>I2_&lt;FORCE&gt;V</t>
  </si>
  <si>
    <t>VFIM=&lt;FORCE&gt;</t>
  </si>
  <si>
    <t>VF=0V</t>
  </si>
  <si>
    <t>VHI/HI</t>
  </si>
  <si>
    <t>VLO/LO</t>
  </si>
  <si>
    <t>R2</t>
  </si>
  <si>
    <t>R2_&lt;FORCE&gt;V</t>
  </si>
  <si>
    <t>R2_BRIDGE_EVEN</t>
  </si>
  <si>
    <t>R2_BRIDGEKV11</t>
  </si>
  <si>
    <t>R2_BRIDGEKV11_&lt;ABS(FORCE)&gt;V</t>
  </si>
  <si>
    <t>VFIM=0V</t>
  </si>
  <si>
    <t>R2_BRIDGEKV21</t>
  </si>
  <si>
    <t>R2_BRIDGEKV21_&lt;ABS(FORCE)&gt;V</t>
  </si>
  <si>
    <t>R2_BRIDGEKV31</t>
  </si>
  <si>
    <t>R2_BRIDGEKV31_&lt;ABS(FORCE)&gt;V</t>
  </si>
  <si>
    <t>R2_BRIDGE_ODD</t>
  </si>
  <si>
    <t>R2_BRIDGEKV12</t>
  </si>
  <si>
    <t>R2_BRIDGEKV12_&lt;ABS(FORCE)&gt;V</t>
  </si>
  <si>
    <t>R2_BRIDGEKV22</t>
  </si>
  <si>
    <t>R2_BRIDGEKV22_&lt;ABS(FORCE)&gt;V</t>
  </si>
  <si>
    <t>R2_BRIDGEKV32</t>
  </si>
  <si>
    <t>R2_BRIDGEKV32_&lt;ABS(FORCE)&gt;V</t>
  </si>
  <si>
    <t>R2_BRIDGE_160</t>
  </si>
  <si>
    <t>R2_BRIDGEKV11_160</t>
  </si>
  <si>
    <t>R2_BRIDGEKV11_160_&lt;ABS(FORCE)&gt;V</t>
  </si>
  <si>
    <t>R2_BRIDGEKV21_160</t>
  </si>
  <si>
    <t>R2_BRIDGEKV21_160_&lt;ABS(FORCE)&gt;V</t>
  </si>
  <si>
    <t>R2_BRIDGEKV31_160</t>
  </si>
  <si>
    <t>R2_BRIDGEKV31_160_&lt;ABS(FORCE)&gt;V</t>
  </si>
  <si>
    <t>R2_LO_ILO</t>
  </si>
  <si>
    <t>R2_&lt;ABS(FORCE)&gt;V</t>
  </si>
  <si>
    <t>R2_KLV</t>
  </si>
  <si>
    <t>combHI/combHI_BS</t>
  </si>
  <si>
    <t>R2_CMB</t>
  </si>
  <si>
    <t>R2_GATE</t>
  </si>
  <si>
    <t>R2_&lt;FORCE&gt;V/0.65G</t>
  </si>
  <si>
    <t>VF=-0.65V</t>
  </si>
  <si>
    <t>R4</t>
  </si>
  <si>
    <t>R4_&lt;ABS(FORCE)&gt;A</t>
  </si>
  <si>
    <t>HIZ (Hi)</t>
  </si>
  <si>
    <t>HIZ (Lo)</t>
  </si>
  <si>
    <t>IFVM=&lt;FORCE&gt;</t>
  </si>
  <si>
    <t>R4_REV</t>
  </si>
  <si>
    <t>R4_GATE</t>
  </si>
  <si>
    <t>R4_&lt;ABS(FORCE)&gt;A/0.65G</t>
  </si>
  <si>
    <t>R4_KLV</t>
  </si>
  <si>
    <t>Resistance Equation</t>
  </si>
  <si>
    <t>pgdHI/feHI_1</t>
  </si>
  <si>
    <t>ogdLO/feHI_N</t>
  </si>
  <si>
    <t>pgdHIK/feLO_1</t>
  </si>
  <si>
    <t>ogdHI/feHI</t>
  </si>
  <si>
    <t>R4_BRIDGE_REF</t>
  </si>
  <si>
    <t>R4_BRIDGE_REF_&lt;FORCE&gt;A</t>
  </si>
  <si>
    <t>=(V_HIZ(HI) - V_HIZ(LO)) / I_VFIM</t>
  </si>
  <si>
    <t>HIZ  (Lo)</t>
  </si>
  <si>
    <t>R4_BRIDGE</t>
  </si>
  <si>
    <t>R4_BRIDGE_HI</t>
  </si>
  <si>
    <t>R4_BRIDGE_HI_&lt;ABS(FORCE)&gt;A</t>
  </si>
  <si>
    <t>R4_BRIDGE_LO</t>
  </si>
  <si>
    <t>R4_BRIDGE_LO_&lt;ABS(FORCE)&gt;A</t>
  </si>
  <si>
    <t>R4_BRIDGE_EVEN</t>
  </si>
  <si>
    <t>R4_BRIDGEKV11</t>
  </si>
  <si>
    <t>R4_BRIDGEKV11_&lt;ABS(FORCE)&gt;A</t>
  </si>
  <si>
    <t>R4_BRIDGEKV21</t>
  </si>
  <si>
    <t>R4_BRIDGEKV21_&lt;ABS(FORCE)&gt;A</t>
  </si>
  <si>
    <t>R4_BRIDGEKV31</t>
  </si>
  <si>
    <t>R4_BRIDGEKV31_&lt;ABS(FORCE)&gt;A</t>
  </si>
  <si>
    <t>R4_BRIDGE_ODD</t>
  </si>
  <si>
    <t>R4_BRIDGEKV12</t>
  </si>
  <si>
    <t>R4_BRIDGEKV12_&lt;ABS(FORCE)&gt;A</t>
  </si>
  <si>
    <t>R4_BRIDGEKV22</t>
  </si>
  <si>
    <t>R4_BRIDGEKV22_&lt;ABS(FORCE)&gt;A</t>
  </si>
  <si>
    <t>R4_BRIDGEKV32</t>
  </si>
  <si>
    <t>R4_BRIDGEKV32_&lt;ABS(FORCE)&gt;A</t>
  </si>
  <si>
    <t>R4_BRIDGE_160</t>
  </si>
  <si>
    <t>R4_BRIDGEKV11_160</t>
  </si>
  <si>
    <t>R4_BRIDGEKV11_160_&lt;ABS(FORCE)&gt;A</t>
  </si>
  <si>
    <t>R4_BRIDGEKV21_160</t>
  </si>
  <si>
    <t>R4_BRIDGEKV21_160_&lt;ABS(FORCE)&gt;A</t>
  </si>
  <si>
    <t>R4_BRIDGEKV31_160</t>
  </si>
  <si>
    <t>R4_BRIDGEKV31_160_&lt;ABS(FORCE)&gt;A</t>
  </si>
  <si>
    <t>CMBHI</t>
  </si>
  <si>
    <t>CMBLO</t>
  </si>
  <si>
    <t>SRP_CAP</t>
  </si>
  <si>
    <t>C_ALL</t>
  </si>
  <si>
    <t>C_ALL_&lt;ABS(FORCE)&gt;V</t>
  </si>
  <si>
    <t>CMH</t>
  </si>
  <si>
    <t>CML</t>
  </si>
  <si>
    <t>C_BOT</t>
  </si>
  <si>
    <t>C_BOT_&lt;ABS(FORCE)&gt;V</t>
  </si>
  <si>
    <t>GND</t>
  </si>
  <si>
    <t>C_COMB</t>
  </si>
  <si>
    <t>C_COMB_&lt;ABS(FORCE)&gt;V</t>
  </si>
  <si>
    <t>C_COMBHI</t>
  </si>
  <si>
    <t>C_COMBHI_&lt;ABS(FORCE)&gt;V</t>
  </si>
  <si>
    <t>C_COMBLO</t>
  </si>
  <si>
    <t>C_COMBLO_&lt;ABS(FORCE)&gt;V</t>
  </si>
  <si>
    <t>C_TOP</t>
  </si>
  <si>
    <t>C_TOP_&lt;ABS(FORCE)&gt;V</t>
  </si>
  <si>
    <t>SRP_LKG</t>
  </si>
  <si>
    <t>I2_ALL</t>
  </si>
  <si>
    <t>I2_ALL_&lt;ABS(FORCE)&gt;V</t>
  </si>
  <si>
    <t>I2_BOT</t>
  </si>
  <si>
    <t>I2_BOT_&lt;ABS(FORCE)&gt;V</t>
  </si>
  <si>
    <t>I2_COMB</t>
  </si>
  <si>
    <t>I2_COMB_&lt;ABS(FORCE)&gt;V</t>
  </si>
  <si>
    <t>I2_COMBHI</t>
  </si>
  <si>
    <t>I2_COMBHI_&lt;ABS(FORCE)&gt;V</t>
  </si>
  <si>
    <t>I2_COMBLO</t>
  </si>
  <si>
    <t>I2_COMBLO_&lt;ABS(FORCE)&gt;V</t>
  </si>
  <si>
    <t>I2_TOP</t>
  </si>
  <si>
    <t>I2_TOP_&lt;ABS(FORCE)&gt;V</t>
  </si>
  <si>
    <t>I2_TOP_BOT</t>
  </si>
  <si>
    <t>I2_TOP_BOT_&lt;ABS(FORCE)&gt;V</t>
  </si>
  <si>
    <t>SRP_CAP_NOTOP</t>
  </si>
  <si>
    <t>C_ALL_NOTOP</t>
  </si>
  <si>
    <t>C_BOT_NOTOP</t>
  </si>
  <si>
    <t>C_COMB_NOTOP</t>
  </si>
  <si>
    <t>C_COMBHI_NOTOP</t>
  </si>
  <si>
    <t>C_COMBLO_NOTOP</t>
  </si>
  <si>
    <t>SRP_LKG_NOTOP</t>
  </si>
  <si>
    <t>I2_ALL_NOTOP</t>
  </si>
  <si>
    <t>SRP_CAP_NOBOT</t>
  </si>
  <si>
    <t>C_ALL_NOBOT</t>
  </si>
  <si>
    <t>C_COMB_NOBOT</t>
  </si>
  <si>
    <t>C_COMBHI_NOBOT</t>
  </si>
  <si>
    <t>C_COMBLO_NOBOT</t>
  </si>
  <si>
    <t>C_TOP_NOBOT</t>
  </si>
  <si>
    <t>SRP_LKG_NOBOT</t>
  </si>
  <si>
    <t>I2_ALL_NOBOT</t>
  </si>
  <si>
    <t>MIM_I2</t>
  </si>
  <si>
    <t>I2_&lt;ABS(FORCE)&gt;V</t>
  </si>
  <si>
    <t>MIM_CAP</t>
  </si>
  <si>
    <t>C_&lt;ABS(FORCE)&gt;V</t>
  </si>
  <si>
    <t>MIM_VBD</t>
  </si>
  <si>
    <t>VBD</t>
  </si>
  <si>
    <t>VFIM = (1.5V .. 10V)</t>
  </si>
  <si>
    <t>SRP_LKG_DVB</t>
  </si>
  <si>
    <t>R2_DVB_KLV</t>
  </si>
  <si>
    <t>R2_VCP</t>
  </si>
  <si>
    <t>R2_VCP_&lt;FORCE&gt;V</t>
  </si>
  <si>
    <t>R4_VCP_TCN</t>
  </si>
  <si>
    <t>R4_VCP_TCN_&lt;FORCE&gt;A</t>
  </si>
  <si>
    <t>=(V_FELO1 - V_FEHI) / I_FEHI1</t>
  </si>
  <si>
    <t>Test Name</t>
  </si>
  <si>
    <t>VBE</t>
  </si>
  <si>
    <t>VFIM = 0 .. 30V</t>
  </si>
  <si>
    <t>R2_DVB_MULT</t>
  </si>
  <si>
    <t>R2_DVB_FEHI-BMHI</t>
  </si>
  <si>
    <t>R2_FEHI-BMHI_&lt;FORCE&gt;V</t>
  </si>
  <si>
    <t>VF=&lt;FORCE&gt;</t>
  </si>
  <si>
    <t>R2_DVB_FEHI1-BMHI</t>
  </si>
  <si>
    <t>R2_FEHI1-BMHI_&lt;FORCE&gt;V</t>
  </si>
  <si>
    <t>R2_DVB_FEHI2-BMHI</t>
  </si>
  <si>
    <t>R2_FEHI2-BMHI_&lt;FORCE&gt;V</t>
  </si>
  <si>
    <t>R2_DVB_FEHI3-BMHI</t>
  </si>
  <si>
    <t>R2_FEHI3-BMHI_&lt;FORCE&gt;V</t>
  </si>
  <si>
    <t>R2_DVB_FEHIN-BMHI</t>
  </si>
  <si>
    <t>R2_FEHIN-BMHI_&lt;FORCE&gt;V</t>
  </si>
  <si>
    <t>R4_DVB_KLV</t>
  </si>
  <si>
    <t>R4_&lt;FORCE&gt;A</t>
  </si>
  <si>
    <t>R4_DVB_TOP_SENSE</t>
  </si>
  <si>
    <t>R4_TOP_&lt;FORCE&gt;A</t>
  </si>
  <si>
    <t>R4_DVB_BOT_SENSE</t>
  </si>
  <si>
    <t>R4_BOT_&lt;FORCE&gt;A</t>
  </si>
  <si>
    <t>R4_DVB_MULT</t>
  </si>
  <si>
    <t>R4_DVB_MULTI_TCN_1</t>
  </si>
  <si>
    <t>R4_TCN1_FELON_&lt;FORCE&gt;A</t>
  </si>
  <si>
    <t>=(V_FELON - V_BMLO) / &lt;FORCE&gt;</t>
  </si>
  <si>
    <t>R4_DVB_MULTI_TCN_2</t>
  </si>
  <si>
    <t>R4_TCN2_FELO3_&lt;FORCE&gt;A</t>
  </si>
  <si>
    <t>=(V_FELO3 - V_BMLO) / &lt;FORCE&gt;</t>
  </si>
  <si>
    <t xml:space="preserve"> </t>
  </si>
  <si>
    <t>R4_DVB_MULTI_TCN_3</t>
  </si>
  <si>
    <t>R4_TCN3_FELO2_&lt;FORCE&gt;A</t>
  </si>
  <si>
    <t>=(V_FELO2 - V_BMLO) / &lt;FORCE&gt;</t>
  </si>
  <si>
    <t>R4_DVB_MULTI_TCN_12</t>
  </si>
  <si>
    <t>R4_TCN12_FELON_&lt;FORCE&gt;A</t>
  </si>
  <si>
    <t>R4_TCN12_FELO3_&lt;FORCE&gt;A</t>
  </si>
  <si>
    <t>R4_DVB_MULTI_TCN_13</t>
  </si>
  <si>
    <t>R4_TCN13_FELON_&lt;FORCE&gt;A</t>
  </si>
  <si>
    <t>R4_TCN13_FELO2_&lt;FORCE&gt;A</t>
  </si>
  <si>
    <t>R4_DVB_MULTI_TCN_23</t>
  </si>
  <si>
    <t>R4_TCN23_FELO3_&lt;FORCE&gt;A</t>
  </si>
  <si>
    <t>R4_TCN23_FELO2_&lt;FORCE&gt;A</t>
  </si>
  <si>
    <t>R4_DVB_MULTI_TCN_234</t>
  </si>
  <si>
    <t>R4_TCN234_FELO3_&lt;FORCE&gt;A</t>
  </si>
  <si>
    <t>R4_TCN234_FELO2_&lt;FORCE&gt;A</t>
  </si>
  <si>
    <t>R4_TCN234_FELO1_&lt;FORCE&gt;A</t>
  </si>
  <si>
    <t>=(V_FELO1 - V_BMLO) / &lt;FORCE&gt;</t>
  </si>
  <si>
    <t>R4_DVB_MULTI_TCN_135</t>
  </si>
  <si>
    <t>R4_TCN135_FELON_&lt;FORCE&gt;A</t>
  </si>
  <si>
    <t>R4_TCN135_FELO2_&lt;FORCE&gt;A</t>
  </si>
  <si>
    <t>R4_TCN135_FELO_&lt;FORCE&gt;A</t>
  </si>
  <si>
    <t>=(V_FELO - V_BMLO) / &lt;FORCE&gt;</t>
  </si>
  <si>
    <t>R4_DVB_MULTI_TCN_1234</t>
  </si>
  <si>
    <t>R4_TCN1234_FELON_&lt;FORCE&gt;A</t>
  </si>
  <si>
    <t>R4_TCN1234_FELO3_&lt;FORCE&gt;A</t>
  </si>
  <si>
    <t>R4_TCN1234_FELO2_&lt;FORCE&gt;A</t>
  </si>
  <si>
    <t>R4_TCN1234_FELO1_&lt;FORCE&gt;A</t>
  </si>
  <si>
    <t>R4_DVB_MULTI_TCN_12345</t>
  </si>
  <si>
    <t>R4_TCN12345_FELON_&lt;FORCE&gt;A</t>
  </si>
  <si>
    <t>R4_TCN12345_FELO3_&lt;FORCE&gt;A</t>
  </si>
  <si>
    <t>R4_TCN12345_FELO2_&lt;FORCE&gt;A</t>
  </si>
  <si>
    <t>R4_TCN12345_FELO1_&lt;FORCE&gt;A</t>
  </si>
  <si>
    <t>R4_TCN12345_FELO_&lt;FORCE&gt;A</t>
  </si>
  <si>
    <t>SF / SF_BS</t>
  </si>
  <si>
    <t>SS / SS_BS</t>
  </si>
  <si>
    <t>KEY_LOGIC_SUITE</t>
  </si>
  <si>
    <t>KEY_LOGIC_TOPEX</t>
  </si>
  <si>
    <t>KEY_LOGIC_DEFECT</t>
  </si>
  <si>
    <t>KEY_LOGIC_WORKING</t>
  </si>
  <si>
    <t>KEY_LOGIC_PERFORMANCE</t>
  </si>
  <si>
    <t>KEY_LOGIC_0.65V</t>
  </si>
  <si>
    <t>KEY_LOGIC_X_0.65V</t>
  </si>
  <si>
    <t>KEY_LOGIC_1.1V</t>
  </si>
  <si>
    <t>KEY_GM_RO_VTGM</t>
  </si>
  <si>
    <t>AUTOBIAS_0.65V</t>
  </si>
  <si>
    <t>AUTOBIAS_1.1V</t>
  </si>
  <si>
    <t>Combo Type</t>
  </si>
  <si>
    <t>DF2</t>
  </si>
  <si>
    <t>DS2</t>
  </si>
  <si>
    <t>MAT10P_LOGIC_SUITE</t>
  </si>
  <si>
    <t>MAT10P_LOGIC_TOPEX</t>
  </si>
  <si>
    <t>MAT10P_LOGIC_DEFECT</t>
  </si>
  <si>
    <t>MAT10P_LOGIC_WORKING</t>
  </si>
  <si>
    <t>MAT10P_LOGIC_PERFORMANCE</t>
  </si>
  <si>
    <t>MAT10P_LOGIC_0.65V</t>
  </si>
  <si>
    <t>MAT10P_LOGIC_X_0.65V</t>
  </si>
  <si>
    <t>MAT10P_LOGIC_1.1V</t>
  </si>
  <si>
    <t>MAT10P_GM_RO_VTGM</t>
  </si>
  <si>
    <t>MAT8P_LOGIC_SUITE</t>
  </si>
  <si>
    <t>MAT8P_LOGIC_TOPEX</t>
  </si>
  <si>
    <t>MAT8P_LOGIC_DEFECT</t>
  </si>
  <si>
    <t>MAT8P_LOGIC_WORKING</t>
  </si>
  <si>
    <t>MAT8P_LOGIC_PERFORMANCE</t>
  </si>
  <si>
    <t>MAT8P_LOGIC_0.65V</t>
  </si>
  <si>
    <t>MAT8P_LOGIC_X_0.65V</t>
  </si>
  <si>
    <t>MAT8P_LOGIC_1.1V</t>
  </si>
  <si>
    <t>MAT8P_GM_RO_VTGM</t>
  </si>
  <si>
    <t>DF/SF/SF_BS</t>
  </si>
  <si>
    <t>MLR_CAP_2PT</t>
  </si>
  <si>
    <t>COV_2PT</t>
  </si>
  <si>
    <t>COV_&lt;FORCE&gt;G</t>
  </si>
  <si>
    <t>CGT_2PT</t>
  </si>
  <si>
    <t>CGT_&lt;FORCE&gt;G</t>
  </si>
  <si>
    <t>MLR_LKG_2PT</t>
  </si>
  <si>
    <t>IG_D</t>
  </si>
  <si>
    <t>IG_D_&lt;FORCE&gt;G</t>
  </si>
  <si>
    <t>LD_G</t>
  </si>
  <si>
    <t>LD_G_&lt;FORCE&gt;D</t>
  </si>
  <si>
    <t>IG_PRE_2PT</t>
  </si>
  <si>
    <t>IG_&lt;FORCE&gt;G_PRE</t>
  </si>
  <si>
    <t>VFIM=1.5V</t>
  </si>
  <si>
    <t>VBD_2PT</t>
  </si>
  <si>
    <t>VFIM=1.5V .. 10V</t>
  </si>
  <si>
    <t>IG_POST_2PT</t>
  </si>
  <si>
    <t>IG_&lt;FORCE&gt;G_POST</t>
  </si>
  <si>
    <t>VBD_2PT_TAP</t>
  </si>
  <si>
    <t>VBD_2GATE</t>
  </si>
  <si>
    <t>SF/SF_BS</t>
  </si>
  <si>
    <t>MLR_CAP_3PT</t>
  </si>
  <si>
    <t>COV_3PT</t>
  </si>
  <si>
    <t>CGT_3PT</t>
  </si>
  <si>
    <t>COV_GD</t>
  </si>
  <si>
    <t>COV_GD_&lt;FORCE&gt;G</t>
  </si>
  <si>
    <t>COV_GS</t>
  </si>
  <si>
    <t>COV_GS_&lt;FORCE&gt;G</t>
  </si>
  <si>
    <t>MLR_LKG_3PT</t>
  </si>
  <si>
    <t>IG_DS_3PT</t>
  </si>
  <si>
    <t>IG_DS_&lt;FORCE&gt;G</t>
  </si>
  <si>
    <t>LD_G_3PT</t>
  </si>
  <si>
    <t>LD_&lt;FORCE&gt;D</t>
  </si>
  <si>
    <t>LS_&lt;FORCE&gt;D</t>
  </si>
  <si>
    <t>LG_&lt;FORCE&gt;D</t>
  </si>
  <si>
    <t>IG_PRE_3PT</t>
  </si>
  <si>
    <t>VBD_3PT</t>
  </si>
  <si>
    <t>IG_POST_3PT</t>
  </si>
  <si>
    <t>MLR_CAP_4PT</t>
  </si>
  <si>
    <t>COV_4PT</t>
  </si>
  <si>
    <t>CGT_4PT</t>
  </si>
  <si>
    <t>MLR_LKG_4PT</t>
  </si>
  <si>
    <t>IG_4PT</t>
  </si>
  <si>
    <t>IG_&lt;FORCE&gt;G</t>
  </si>
  <si>
    <t>LD_4PT</t>
  </si>
  <si>
    <t>LB_&lt;FORCE&gt;D</t>
  </si>
  <si>
    <t>LD_B_4PT</t>
  </si>
  <si>
    <t>LD_B_&lt;FORCE&gt;DS</t>
  </si>
  <si>
    <t>VF=&lt;FORCE&gt;V</t>
  </si>
  <si>
    <t>IG_B</t>
  </si>
  <si>
    <t>IG_B_&lt;FORCE&gt;G</t>
  </si>
  <si>
    <t>IG_PRE_4PT</t>
  </si>
  <si>
    <t>VBD_4PT</t>
  </si>
  <si>
    <t>IG_POST_4PT</t>
  </si>
  <si>
    <t>MLR_CAP_2PT_TAP</t>
  </si>
  <si>
    <t>COV_2PT_TAP</t>
  </si>
  <si>
    <t>CGT_2PT_TAP</t>
  </si>
  <si>
    <t>MLR_LKG_2PT_TAP</t>
  </si>
  <si>
    <t>IG_D_TAP</t>
  </si>
  <si>
    <t>LD_G_TAP</t>
  </si>
  <si>
    <t>MLR_CAP_DS2PT</t>
  </si>
  <si>
    <t>C_DS</t>
  </si>
  <si>
    <t>C_&lt;FORCE&gt;D</t>
  </si>
  <si>
    <t>C_SD</t>
  </si>
  <si>
    <t>C_&lt;FORCE&gt;S</t>
  </si>
  <si>
    <t>MLR_LKG_DS2PT</t>
  </si>
  <si>
    <t>LS_D</t>
  </si>
  <si>
    <t>LS_D_&lt;FORCE&gt;S</t>
  </si>
  <si>
    <t>LD_S</t>
  </si>
  <si>
    <t>LD_S_&lt;FORCE&gt;D</t>
  </si>
  <si>
    <t>MLR_CAP_GS2PT</t>
  </si>
  <si>
    <t>C_GS</t>
  </si>
  <si>
    <t>C_&lt;FORCE&gt;G</t>
  </si>
  <si>
    <t>C_SG</t>
  </si>
  <si>
    <t>MLR_LKG_GS2PT</t>
  </si>
  <si>
    <t>LS_G</t>
  </si>
  <si>
    <t>LS_G_&lt;FORCE&gt;S</t>
  </si>
  <si>
    <t>IG_S</t>
  </si>
  <si>
    <t>IG_S_&lt;FORCE&gt;G</t>
  </si>
  <si>
    <t>MLR_CAP_GD2PT</t>
  </si>
  <si>
    <t>C_GD</t>
  </si>
  <si>
    <t>C_DG</t>
  </si>
  <si>
    <t>MLR_LKG_GD2PT</t>
  </si>
  <si>
    <t>LG_D</t>
  </si>
  <si>
    <t>LG_D_&lt;FORCE&gt;G</t>
  </si>
  <si>
    <t>Notes</t>
  </si>
  <si>
    <t>term1_drain_f</t>
  </si>
  <si>
    <t xml:space="preserve"> term1_drain_s</t>
  </si>
  <si>
    <t>term2_source_s</t>
  </si>
  <si>
    <t xml:space="preserve"> term2_source_f</t>
  </si>
  <si>
    <t>R4_RTD</t>
  </si>
  <si>
    <t>R = (V_Drain_S - V_Source_S) / I_Source_F</t>
  </si>
  <si>
    <t>IF=&lt;FORCE&gt;</t>
  </si>
  <si>
    <t>HIZ(HI)</t>
  </si>
  <si>
    <t>HIZ(LO)</t>
  </si>
  <si>
    <t>Anode</t>
  </si>
  <si>
    <t>Cathode</t>
  </si>
  <si>
    <t>ESD_VFIM_SWEEP</t>
  </si>
  <si>
    <t>I2_&lt;Sweep&gt;V</t>
  </si>
  <si>
    <t>No Force needed in Atlantis</t>
  </si>
  <si>
    <t>VFIM=+1 .. -4</t>
  </si>
  <si>
    <t>ESD_VFIM</t>
  </si>
  <si>
    <t>Force Voltage</t>
  </si>
  <si>
    <t>ESD_C2</t>
  </si>
  <si>
    <t>C2_&lt;FORCE&gt;V</t>
  </si>
  <si>
    <t>CMH=&lt;FORCE&gt;</t>
  </si>
  <si>
    <t>ESD_DIODE</t>
  </si>
  <si>
    <t>N_&lt;FORCE&gt;A</t>
  </si>
  <si>
    <t>Force Current</t>
  </si>
  <si>
    <t>emitter_f</t>
  </si>
  <si>
    <t>collector_f</t>
  </si>
  <si>
    <t>base_f</t>
  </si>
  <si>
    <t>BGD_DIODE</t>
  </si>
  <si>
    <t>BGD_IB_IE</t>
  </si>
  <si>
    <t>IB_1.1VB</t>
  </si>
  <si>
    <t>VFIM=1.1V</t>
  </si>
  <si>
    <t>IE_-1.1VE</t>
  </si>
  <si>
    <t>VFIM=-1.1</t>
  </si>
  <si>
    <t>BGD_LKG</t>
  </si>
  <si>
    <t>IE_0.3VE;IC=0.3VE;IB=0.3VE</t>
  </si>
  <si>
    <t>VFIM=0.3</t>
  </si>
  <si>
    <t>IE_0.4VE;IC=0.4VE;IB=0.4VE</t>
  </si>
  <si>
    <t>VFIM=0.4</t>
  </si>
  <si>
    <t>IE_0.5VE;IC=0.5VE;IB=0.5VE</t>
  </si>
  <si>
    <t>VFIM=0.5</t>
  </si>
  <si>
    <t>IE_0.6VE;IC=0.6VE;IB=0.6VE</t>
  </si>
  <si>
    <t>VFIM=0.6</t>
  </si>
  <si>
    <t>IE_0.7VE;IC=0.7VE;IB=0.7VE</t>
  </si>
  <si>
    <t>VFIM=0.7</t>
  </si>
  <si>
    <t>IE_0.8VE;IC=0.8VE;IB=0.8VE</t>
  </si>
  <si>
    <t>VFIM=0.8</t>
  </si>
  <si>
    <t>ID_SUITE_2G</t>
  </si>
  <si>
    <t>X</t>
  </si>
  <si>
    <t>COMBHI</t>
  </si>
  <si>
    <t>COMBLO</t>
  </si>
  <si>
    <t>I2_CMP</t>
  </si>
  <si>
    <t>BGD_DIODE_2PT</t>
  </si>
  <si>
    <t>BGD_IE_2PT</t>
  </si>
  <si>
    <t>BGD_LKG_2PT</t>
  </si>
  <si>
    <t>IE_0.3VE;IC=0.3VE</t>
  </si>
  <si>
    <t>IE_0.4VE;IC=0.4VE</t>
  </si>
  <si>
    <t>IE_0.5VE;IC=0.5VE</t>
  </si>
  <si>
    <t>IE_0.6VE;IC=0.6VE</t>
  </si>
  <si>
    <t>IE_0.7VE;IC=0.7VE</t>
  </si>
  <si>
    <t>IE_0.8VE;IC=0.8VE</t>
  </si>
  <si>
    <t>I2_CMB_CMP</t>
  </si>
  <si>
    <t>Algorithm</t>
  </si>
  <si>
    <t>INSTANCE</t>
  </si>
  <si>
    <t>Sweep Points</t>
  </si>
  <si>
    <t>TTA (ms)</t>
  </si>
  <si>
    <t>SWEEP1_SML</t>
  </si>
  <si>
    <t>smlsweep</t>
  </si>
  <si>
    <t>1V .. 0V x 0.05V</t>
  </si>
  <si>
    <t>0.05V</t>
  </si>
  <si>
    <t>HIZ</t>
  </si>
  <si>
    <t>0V</t>
  </si>
  <si>
    <t>SWEEP2_SML</t>
  </si>
  <si>
    <t>1V .. 0V x 0.1V</t>
  </si>
  <si>
    <t>0.3V</t>
  </si>
  <si>
    <t>SWEEP3_SML</t>
  </si>
  <si>
    <t>0.65V</t>
  </si>
  <si>
    <t>SWEEP4_SML</t>
  </si>
  <si>
    <t>1.1V</t>
  </si>
  <si>
    <t>KEY_LOGIC_VTGM</t>
  </si>
  <si>
    <t>VTGM_SWEEP</t>
  </si>
  <si>
    <t>VTGM4_0.05D</t>
  </si>
  <si>
    <t>vtgm_sml</t>
  </si>
  <si>
    <t>KEY_LOGIC_DEFECT_NO_FILTER</t>
  </si>
  <si>
    <t>R2_DRAIN</t>
  </si>
  <si>
    <t>forcemeas</t>
  </si>
  <si>
    <t>R2_SOURCE</t>
  </si>
  <si>
    <t>IGSO2_1.1G/0S</t>
  </si>
  <si>
    <t>IGDO2_1.1G/0D</t>
  </si>
  <si>
    <t>IS2_1.1D/0G</t>
  </si>
  <si>
    <t>LDSO2_1.1D/0B</t>
  </si>
  <si>
    <t>IS4_1_CONTACT_SML</t>
  </si>
  <si>
    <t>IS4_0D/1.1G</t>
  </si>
  <si>
    <t>idatvg_sml</t>
  </si>
  <si>
    <t>IS4_2_CONTACT_SML</t>
  </si>
  <si>
    <t>0.15V</t>
  </si>
  <si>
    <t>IS4_0.15D/1.1G</t>
  </si>
  <si>
    <t>IS4_3_CONTACT_SML</t>
  </si>
  <si>
    <t>IS4_0.3D/1.1G</t>
  </si>
  <si>
    <t>IS4_4_CONTACT_SML</t>
  </si>
  <si>
    <t>0.45V</t>
  </si>
  <si>
    <t>IS4_0.45D/1.1G</t>
  </si>
  <si>
    <t>ISLIN4_SML</t>
  </si>
  <si>
    <t>IS4_0.05D/1.1G</t>
  </si>
  <si>
    <t>ISON2_SML</t>
  </si>
  <si>
    <t>IS2_0D/1.1G</t>
  </si>
  <si>
    <t>SSLIN4_SML</t>
  </si>
  <si>
    <t>0.65V .. -0.4V x 0.01V</t>
  </si>
  <si>
    <t>SS4_0.05D</t>
  </si>
  <si>
    <t>sub_vt_swing_sml</t>
  </si>
  <si>
    <t>VG_SS_0.05D</t>
  </si>
  <si>
    <t>IS4_SS_0.05D</t>
  </si>
  <si>
    <t>ID4_SS_0.05D</t>
  </si>
  <si>
    <t>SSSAT_4_SML</t>
  </si>
  <si>
    <t>SS4_0.65D</t>
  </si>
  <si>
    <t>VG_SS_0.65D</t>
  </si>
  <si>
    <t>IS4_SS_0.65D</t>
  </si>
  <si>
    <t>LD_0.65D/0G</t>
  </si>
  <si>
    <t>LS_0.65D/0G</t>
  </si>
  <si>
    <t>LG_0.65D/0G</t>
  </si>
  <si>
    <t>LS_0.65D/0.1G</t>
  </si>
  <si>
    <t>0.1V</t>
  </si>
  <si>
    <t>LS_0.65D/0.2G</t>
  </si>
  <si>
    <t>0.2V</t>
  </si>
  <si>
    <t>LS_0.65D/-0.1G</t>
  </si>
  <si>
    <t>-0.1</t>
  </si>
  <si>
    <t>IG_0D/0.65G</t>
  </si>
  <si>
    <t>ISLIN4_0.65_SML</t>
  </si>
  <si>
    <t>0.85V .. 0.55V x 0.1V</t>
  </si>
  <si>
    <t>IS4_0.05D/0.65G</t>
  </si>
  <si>
    <t>IS4_0.05D/0.75G</t>
  </si>
  <si>
    <t>0.75V</t>
  </si>
  <si>
    <t>IS4_0.05D/0.85G</t>
  </si>
  <si>
    <t>0.85V</t>
  </si>
  <si>
    <t>IS4_0.05D/0.55G</t>
  </si>
  <si>
    <t>0.55V</t>
  </si>
  <si>
    <t>ISSAT4_0.65_SML</t>
  </si>
  <si>
    <t>IS4_0.65D/0.65G</t>
  </si>
  <si>
    <t>IS4_0.65D/0.75G</t>
  </si>
  <si>
    <t>IS4_0.65D/0.85G</t>
  </si>
  <si>
    <t>IS4_0.65D/0.55G</t>
  </si>
  <si>
    <t>ISLO4_0.65_SML</t>
  </si>
  <si>
    <t>0.6V .. 0.3V x 0.1V</t>
  </si>
  <si>
    <t>IS4_0.65D/0.4G</t>
  </si>
  <si>
    <t>0.4V</t>
  </si>
  <si>
    <t>IS4_0.65D/0.5G</t>
  </si>
  <si>
    <t>0.5V</t>
  </si>
  <si>
    <t>IS4_0.65D/0.6G</t>
  </si>
  <si>
    <t>0.6V</t>
  </si>
  <si>
    <t>IS4_0.65D/0.3G</t>
  </si>
  <si>
    <t>ISHI4_0.65_SML</t>
  </si>
  <si>
    <t>IS4_0.4D/0.65G</t>
  </si>
  <si>
    <t>IS4_0.4D/0.75G</t>
  </si>
  <si>
    <t>IS4_0.4D/0.85G</t>
  </si>
  <si>
    <t>IS4_0.4D/0.55G</t>
  </si>
  <si>
    <t>ISEFF4_0.65</t>
  </si>
  <si>
    <t>uCalc</t>
  </si>
  <si>
    <t>ISEFF4_0.65/0.1G</t>
  </si>
  <si>
    <t>ISEFF4_0.65/0.2G</t>
  </si>
  <si>
    <t>ISEFF4_0.65/-0.1G</t>
  </si>
  <si>
    <t>IVT_0.65_SML</t>
  </si>
  <si>
    <t>IS4_0.05D/VTGM</t>
  </si>
  <si>
    <t>VTGM4_0.65D</t>
  </si>
  <si>
    <t>vgatid_sml</t>
  </si>
  <si>
    <t>0.65V .. -0.4 x 0.01</t>
  </si>
  <si>
    <t>VTCC4_0.05D/1E-8</t>
  </si>
  <si>
    <t>VTCC4_0.05D/1E-7</t>
  </si>
  <si>
    <t>ID4_SS_0.05D/1E-8</t>
  </si>
  <si>
    <t>ID4_VTCC_0.05D/1E-8_2_M</t>
  </si>
  <si>
    <t>VTCC4_0.05D/1E-8 + 0.025V</t>
  </si>
  <si>
    <t>ID4_VTCC_0.05D/1E-8_3_M</t>
  </si>
  <si>
    <t>VTCC4_0.05D/1E-8 + 0.05V</t>
  </si>
  <si>
    <t>ID4_VTCC_0.05D/1E-8_4_M</t>
  </si>
  <si>
    <t>VTCC4_0.05D/1E-8 - 0.025V</t>
  </si>
  <si>
    <t>ID4_VTCC_0.05D/1E-8_5_M</t>
  </si>
  <si>
    <t>VTCC4_0.05D/1E-8 - 0.05V</t>
  </si>
  <si>
    <t>SS4_0.05D/1E-8</t>
  </si>
  <si>
    <t>VTCC4_0.65D/1E-8</t>
  </si>
  <si>
    <t>VTCC4_0.65D/1E-7</t>
  </si>
  <si>
    <t>ID4_SS_0.65D/1E-8</t>
  </si>
  <si>
    <t>ID4_VTCC_0.65D/1E-8_2_M</t>
  </si>
  <si>
    <t>VTCC4_0.65D/1E-8 + 0.025</t>
  </si>
  <si>
    <t>ID4_VTCC_0.65D/1E-8_3_M</t>
  </si>
  <si>
    <t>VTCC4_0.65D/1E-8 + 0.05</t>
  </si>
  <si>
    <t>ID4_VTCC_0.65D/1E-8_4_M</t>
  </si>
  <si>
    <t>VTCC4_0.65D/1E-8 - 0.025</t>
  </si>
  <si>
    <t>ID4_VTCC_0.65D/1E-8_5_M</t>
  </si>
  <si>
    <t>VTCC4_0.65D/1E-8 - 0.05</t>
  </si>
  <si>
    <t>SS4_0.65D/1E-8</t>
  </si>
  <si>
    <t>DBL4_0.65D</t>
  </si>
  <si>
    <t>DBLCC4_1E-8_0.65D</t>
  </si>
  <si>
    <t>DBLCC4_1E-7_0.65D</t>
  </si>
  <si>
    <t>LS_0.65D/VTGM-0.6G</t>
  </si>
  <si>
    <t>VTGM4_0.05D - 0.6</t>
  </si>
  <si>
    <t>LD_0.65D/VTGM-0.6G</t>
  </si>
  <si>
    <t>ID_0.05D_VTGM_SML</t>
  </si>
  <si>
    <t>(VTGM4_0.05D + 0.65V) .. (VTGM4_0.05D + 0.15V) x 0.1V</t>
  </si>
  <si>
    <t>IS4_0.05D/VTGM+0.15G</t>
  </si>
  <si>
    <t>VTGM4_0.05D + 0.15V</t>
  </si>
  <si>
    <t>IS4_0.05D/VTGM+0.3G</t>
  </si>
  <si>
    <t>VTGM4_0.05D + 0.3V</t>
  </si>
  <si>
    <t>IS4_0.05D/VTGM+0.65G</t>
  </si>
  <si>
    <t>VTGM4_0.05D + 0.65V</t>
  </si>
  <si>
    <t>ID_0.65D_VTGM_SML</t>
  </si>
  <si>
    <t>(VTGM4_0.05D + 0.65) .. (VTGM4_0.05D + 0.15) x 0.1</t>
  </si>
  <si>
    <t>IS4_0.65D/VTGM+0.15G</t>
  </si>
  <si>
    <t>VTGM4_0.05D + 0.15</t>
  </si>
  <si>
    <t>IS4_0.65D/VTGM+0.3G</t>
  </si>
  <si>
    <t>VTGM4_0.05D + 0.3</t>
  </si>
  <si>
    <t>IS4_0.65D/VTGM+0.65G</t>
  </si>
  <si>
    <t>VTGM4_0.05D + 0.65</t>
  </si>
  <si>
    <t>ID_0.05D_VTCC_0.05D_SML_1</t>
  </si>
  <si>
    <t>(VTCC4_0.05D/1E-7 + 0.3V) .. (VTCC4_0.05D/1E-7 + 0.15V) x 0.15V</t>
  </si>
  <si>
    <t>ID_0.05D_VTCC_0.05D_SML_2</t>
  </si>
  <si>
    <t>(VTCC4_0.05D/1E-7 + 1.1V) .. (VTCC4_0.05D/1E-7 + 0.65V) x 0.05V</t>
  </si>
  <si>
    <t>IS4_0.05D/VTCC_0.05D+0.15G</t>
  </si>
  <si>
    <t>VTCC4_0.05D/1E-7 + 0.15V</t>
  </si>
  <si>
    <t>IS4_0.05D/VTCC_0.05D+0.3G</t>
  </si>
  <si>
    <t>VTCC4_0.05D/1E-7 + 0.3V</t>
  </si>
  <si>
    <t>IS4_0.05D/VTCC_0.05D+0.65G</t>
  </si>
  <si>
    <t>VTCC4_0.05D/1E-7 + 0.65V</t>
  </si>
  <si>
    <t>IS4_0.05D/VTCC_0.05D+0.85G</t>
  </si>
  <si>
    <t>VTCC4_0.05D/1E-7 + 0.85V</t>
  </si>
  <si>
    <t>IS4_0.05D/VTCC_0.05D+0.90G</t>
  </si>
  <si>
    <t>VTCC4_0.05D/1E-7 + 0.9V</t>
  </si>
  <si>
    <t>IS4_0.05D/VTCC_0.05D+0.95G</t>
  </si>
  <si>
    <t>VTCC4_0.05D/1E-7 + 0.95V</t>
  </si>
  <si>
    <t>IS4_0.05D/VTCC_0.05D+1.0G</t>
  </si>
  <si>
    <t>VTCC4_0.05D/1E-7 + 1V</t>
  </si>
  <si>
    <t>IS4_0.05D/VTCC_0.05D+1.05G</t>
  </si>
  <si>
    <t>VTCC4_0.05D/1E-7 + 1.05V</t>
  </si>
  <si>
    <t>IS4_0.05D/VTCC_0.05D+1.1G</t>
  </si>
  <si>
    <t>VTCC4_0.05D/1E-7 + 1.1V</t>
  </si>
  <si>
    <t>ID_0.05D_VTCC_0.65D_SML_1</t>
  </si>
  <si>
    <t>(VTCC4_0.65D/1E-7 + 0.3V) .. (VTCC4_0.65D/1E-7 + 0.15V) x 0.15V</t>
  </si>
  <si>
    <t>ID_0.05D_VTCC_0.65D_SML_2</t>
  </si>
  <si>
    <t>(VTCC4_0.65D/1E-7 + 0.85) .. (VTCC4_0.65D/1E-7 + 0.65) x 0.2</t>
  </si>
  <si>
    <t>IS4_0.05D/VTCC_0.65D+0.15G</t>
  </si>
  <si>
    <t>VTCC4_0.65D/1E-7 + 0.15V</t>
  </si>
  <si>
    <t>IS4_0.05D/VTCC_0.65D+0.3G</t>
  </si>
  <si>
    <t>VTCC4_0.65D/1E-7 + 0.3V</t>
  </si>
  <si>
    <t>IS4_0.05D/VTCC_0.65D+0.65G</t>
  </si>
  <si>
    <t>VTCC4_0.65D/1E-7 + 0.65</t>
  </si>
  <si>
    <t>IS4_0.05D/VTCC_0.65D+0.85G</t>
  </si>
  <si>
    <t>VTCC4_0.65D/1E-7 + 0.85</t>
  </si>
  <si>
    <t>ID_0.65D_VTCC_0.65D_SML_1</t>
  </si>
  <si>
    <t>(VTCC4_0.65D/1E-7 + 0.3) .. (VTCC4_0.65D/1E-7 + 0.15) x 0.15</t>
  </si>
  <si>
    <t>ID_0.65D_VTCC_0.65D_SML_2</t>
  </si>
  <si>
    <t>IS4_0.65D/VTCC_0.65D+0.15G</t>
  </si>
  <si>
    <t>VTCC4_0.65D/1E-7 + 0.15</t>
  </si>
  <si>
    <t>IS4_0.65D/VTCC_0.65D+0.3G</t>
  </si>
  <si>
    <t>VTCC4_0.65D/1E-7 + 0.3</t>
  </si>
  <si>
    <t>IS4_0.65D/VTCC_0.65D+0.65G</t>
  </si>
  <si>
    <t>ID_1.1D_VTCC_0.65D_SML_1</t>
  </si>
  <si>
    <t>ID_1.1D_VTCC_0.65D_SML_2</t>
  </si>
  <si>
    <t>IS4_1.1D/VTCC_0.65D+0.15G</t>
  </si>
  <si>
    <t>IS4_1.1D/VTCC_0.65D+0.3G</t>
  </si>
  <si>
    <t>IS4_1.1D/VTCC_0.65D+0.65G</t>
  </si>
  <si>
    <t>REXTBETA_0.65_SML</t>
  </si>
  <si>
    <t>(VTGM4_0.05D + 0.8V) .. (VTGM4_0.05D + 0.2V) X 0.02V</t>
  </si>
  <si>
    <t>REXTB4_0.05D</t>
  </si>
  <si>
    <t>rext_sml</t>
  </si>
  <si>
    <t>BETA4_0.05D</t>
  </si>
  <si>
    <t>VTB4_0.05D</t>
  </si>
  <si>
    <t>KEY_LOGIC_GM_RO</t>
  </si>
  <si>
    <t>SML_SWEEPGM1</t>
  </si>
  <si>
    <t>(VTGM4_0.05D + 0.25) .. (VTGM4_0.05D + 0.05) x 0.05</t>
  </si>
  <si>
    <t>SML_SWEEPGM2</t>
  </si>
  <si>
    <t>SML_SWEEPGM3</t>
  </si>
  <si>
    <t>0.25V</t>
  </si>
  <si>
    <t>SML_SWEEPGM4</t>
  </si>
  <si>
    <t>SML_SWEEPGM5</t>
  </si>
  <si>
    <t>0.35V</t>
  </si>
  <si>
    <t>SML_SWEEPGM6</t>
  </si>
  <si>
    <t>SML_SWEEPGM7</t>
  </si>
  <si>
    <t>ID4_0.15D/VTGM+0.05G</t>
  </si>
  <si>
    <t>VTGM4_0.05D + 0.05</t>
  </si>
  <si>
    <t>ID4_0.15D/VTGM+0.1G</t>
  </si>
  <si>
    <t>VTGM4_0.05D + 0.1</t>
  </si>
  <si>
    <t>ID4_0.15D/VTGM+0.15G</t>
  </si>
  <si>
    <t>ID4_0.15D/VTGM+0.2G</t>
  </si>
  <si>
    <t>VTGM4_0.05D + 0.2</t>
  </si>
  <si>
    <t>ID4_0.15D/VTGM+0.25G</t>
  </si>
  <si>
    <t>VTGM4_0.05D + 0.25</t>
  </si>
  <si>
    <t>ID4_0.2D/VTGM+0.05G</t>
  </si>
  <si>
    <t>ID4_0.2D/VTGM+0.1G</t>
  </si>
  <si>
    <t>ID4_0.2D/VTGM+0.15G</t>
  </si>
  <si>
    <t>ID4_0.2D/VTGM+0.2G</t>
  </si>
  <si>
    <t>ID4_0.2D/VTGM+0.25G</t>
  </si>
  <si>
    <t>ID4_0.25D/VTGM+0.05G</t>
  </si>
  <si>
    <t>ID4_0.25D/VTGM+0.1G</t>
  </si>
  <si>
    <t>ID4_0.25D/VTGM+0.15G</t>
  </si>
  <si>
    <t>ID4_0.25D/VTGM+0.2G</t>
  </si>
  <si>
    <t>ID4_0.25D/VTGM+0.25G</t>
  </si>
  <si>
    <t>ID4_0.3D/VTGM+0.05G</t>
  </si>
  <si>
    <t>ID4_0.3D/VTGM+0.1G</t>
  </si>
  <si>
    <t>ID4_0.3D/VTGM+0.15G</t>
  </si>
  <si>
    <t>ID4_0.3D/VTGM+0.2G</t>
  </si>
  <si>
    <t>ID4_0.3D/VTGM+0.25G</t>
  </si>
  <si>
    <t>ID4_0.35D/VTGM+0.05G</t>
  </si>
  <si>
    <t>ID4_0.35D/VTGM+0.1G</t>
  </si>
  <si>
    <t>ID4_0.35D/VTGM+0.15G</t>
  </si>
  <si>
    <t>ID4_0.35D/VTGM+0.2G</t>
  </si>
  <si>
    <t>ID4_0.35D/VTGM+0.25G</t>
  </si>
  <si>
    <t>ID4_0.4D/VTGM+0.05G</t>
  </si>
  <si>
    <t>ID4_0.4D/VTGM+0.1G</t>
  </si>
  <si>
    <t>ID4_0.4D/VTGM+0.15G</t>
  </si>
  <si>
    <t>ID4_0.4D/VTGM+0.2G</t>
  </si>
  <si>
    <t>ID4_0.4D/VTGM+0.25G</t>
  </si>
  <si>
    <t>ID4_0.45D/VTGM+0.05G</t>
  </si>
  <si>
    <t>ID4_0.45D/VTGM+0.1G</t>
  </si>
  <si>
    <t>ID4_0.45D/VTGM+0.15G</t>
  </si>
  <si>
    <t>ID4_0.45D/VTGM+0.2G</t>
  </si>
  <si>
    <t>ID4_0.45D/VTGM+0.25G</t>
  </si>
  <si>
    <t>GM_0.2D/VTGM+0.1G</t>
  </si>
  <si>
    <t>RO_0.2D/VTGM+0.1G</t>
  </si>
  <si>
    <t>GM_RO_0.2D/VTGM+0.1G</t>
  </si>
  <si>
    <t>GM/ID_0.2D/VTGM+0.1G</t>
  </si>
  <si>
    <t>RO_ID_0.2D/VTGM+0.1G</t>
  </si>
  <si>
    <t>GM_0.2D/VTGM+0.15G</t>
  </si>
  <si>
    <t>RO_0.2D/VTGM+0.15G</t>
  </si>
  <si>
    <t>GM_RO_0.2D/VTGM+0.15G</t>
  </si>
  <si>
    <t>GM/ID_0.2D/VTGM+0.15G</t>
  </si>
  <si>
    <t>RO_ID_0.2D/VTGM+0.15G</t>
  </si>
  <si>
    <t>GM_0.2D/VTGM+0.2G</t>
  </si>
  <si>
    <t>RO_0.2D/VTGM+0.2G</t>
  </si>
  <si>
    <t>GM_RO_0.2D/VTGM+0.2G</t>
  </si>
  <si>
    <t>GM/ID_0.2D/VTGM+0.2G</t>
  </si>
  <si>
    <t>RO_ID_0.2D/VTGM+0.2G</t>
  </si>
  <si>
    <t>GM_0.3D/VTGM+0.1G</t>
  </si>
  <si>
    <t>RO_0.3D/VTGM+0.1G</t>
  </si>
  <si>
    <t>GM_RO_0.3D/VTGM+0.1G</t>
  </si>
  <si>
    <t>GM/ID_0.3D/VTGM+0.1G</t>
  </si>
  <si>
    <t>RO_ID_0.3D/VTGM+0.1G</t>
  </si>
  <si>
    <t>GM_0.3D/VTGM+0.15G</t>
  </si>
  <si>
    <t>RO_0.3D/VTGM+0.15G</t>
  </si>
  <si>
    <t>GM_RO_0.3D/VTGM+0.15G</t>
  </si>
  <si>
    <t>GM/ID_0.3D/VTGM+0.15G</t>
  </si>
  <si>
    <t>RO_ID_0.3D/VTGM+0.15G</t>
  </si>
  <si>
    <t>GM_0.3D/VTGM+0.2G</t>
  </si>
  <si>
    <t>RO_0.3D/VTGM+0.2G</t>
  </si>
  <si>
    <t>GM_RO_0.3D/VTGM+0.2G</t>
  </si>
  <si>
    <t>GM/ID_0.3D/VTGM+0.2G</t>
  </si>
  <si>
    <t>RO_ID_0.3D/VTGM+0.2G</t>
  </si>
  <si>
    <t>GM_0.4D/VTGM+0.1G</t>
  </si>
  <si>
    <t>RO_0.4D/VTGM+0.1G</t>
  </si>
  <si>
    <t>GM_RO_0.4D/VTGM+0.1G</t>
  </si>
  <si>
    <t>GM/ID_0.4D/VTGM+0.1G</t>
  </si>
  <si>
    <t>RO_ID_0.4D/VTGM+0.1G</t>
  </si>
  <si>
    <t>GM_0.4D/VTGM+0.15G</t>
  </si>
  <si>
    <t>RO_0.4D/VTGM+0.15G</t>
  </si>
  <si>
    <t>GM_RO_0.4D/VTGM+0.15G</t>
  </si>
  <si>
    <t>GM/ID_0.4D/VTGM+0.15G</t>
  </si>
  <si>
    <t>RO_ID_0.4D/VTGM+0.15G</t>
  </si>
  <si>
    <t>GM_0.4D/VTGM+0.2G</t>
  </si>
  <si>
    <t>RO_0.4D/VTGM+0.2G</t>
  </si>
  <si>
    <t>GM_RO_0.4D/VTGM+0.2G</t>
  </si>
  <si>
    <t>GM/ID_0.4D/VTGM+0.2G</t>
  </si>
  <si>
    <t>RO_ID_0.4D/VTGM+0.2G</t>
  </si>
  <si>
    <t>ID4_0.05_SML1</t>
  </si>
  <si>
    <t>ID4_0.05D/0.85G</t>
  </si>
  <si>
    <t>ID4_0.85_SML1</t>
  </si>
  <si>
    <t>ID4_0.85D/0.85G</t>
  </si>
  <si>
    <t>LD_0.85D/0G</t>
  </si>
  <si>
    <t>LS_0.85D/0G</t>
  </si>
  <si>
    <t>VG_0.65D/0.22NA</t>
  </si>
  <si>
    <t>0.65 .. -0.4 x 0.01</t>
  </si>
  <si>
    <t>ISLIN4_0.65_NA_SML</t>
  </si>
  <si>
    <t>VG_0.65D/0.22NA + 0.65V</t>
  </si>
  <si>
    <t>IS4_0.05D/0.22NA+0.65G</t>
  </si>
  <si>
    <t>ISLO4_0.65_NA_SML</t>
  </si>
  <si>
    <t>VG_0.65D/0.22NA + 0.4</t>
  </si>
  <si>
    <t>IS4_0.65D/0.22NA+0.4G</t>
  </si>
  <si>
    <t>ISHI4_0.65_NA_SML</t>
  </si>
  <si>
    <t>VG_0.65D/0.22NA + 0.65</t>
  </si>
  <si>
    <t>IS4_0.4D/0.22NA+0.65G</t>
  </si>
  <si>
    <t>ISEFF4_0.65/0.22NA</t>
  </si>
  <si>
    <t>ISSAT4_0.65_NA_SML</t>
  </si>
  <si>
    <t>IS4_0.65D/0.22NA+0.65G</t>
  </si>
  <si>
    <t>VTCC_0.65/0.22NA</t>
  </si>
  <si>
    <t>LD_1.1D/0G</t>
  </si>
  <si>
    <t>LS_1.1D/0G</t>
  </si>
  <si>
    <t>LG_1.1D/0G</t>
  </si>
  <si>
    <t>LS_1.1D/-0.1G</t>
  </si>
  <si>
    <t>IG_0D/1.1G</t>
  </si>
  <si>
    <t>ISLIN4_1.1_SML</t>
  </si>
  <si>
    <t>1.1V .. 1.0V x 0.1V</t>
  </si>
  <si>
    <t>IS4_0.05D/1.0G</t>
  </si>
  <si>
    <t>1V</t>
  </si>
  <si>
    <t>ISSAT4_1.1_SML</t>
  </si>
  <si>
    <t>1.1 .. 1.0 x 0.1</t>
  </si>
  <si>
    <t>IS4_1.1D/1.1G</t>
  </si>
  <si>
    <t>IS4_1.1D/1.0G</t>
  </si>
  <si>
    <t>ISLO4_1.1_SML</t>
  </si>
  <si>
    <t>0.65 .. 0.55 x 0.1</t>
  </si>
  <si>
    <t>IS4_1.1D/0.65G</t>
  </si>
  <si>
    <t>IS4_1.1D/0.55G</t>
  </si>
  <si>
    <t>ISHI4_1.1_SML</t>
  </si>
  <si>
    <t>IS4_0.65D/1.1G</t>
  </si>
  <si>
    <t>IS4_0.65D/1.0G</t>
  </si>
  <si>
    <t>ISEFF4_1.1</t>
  </si>
  <si>
    <t>ISEFF4_1.1/-0.1G</t>
  </si>
  <si>
    <t>SS4_1.1_SML</t>
  </si>
  <si>
    <t>VTGM4_1.1D</t>
  </si>
  <si>
    <t>VTCC4_1.1D/1E-8</t>
  </si>
  <si>
    <t>VTCC4_1.1D/1E-7</t>
  </si>
  <si>
    <t>DBL4_1.1D</t>
  </si>
  <si>
    <t>DBLCC4_1E-8_1.1D</t>
  </si>
  <si>
    <t>DBLCC4_1E-7_1.1D</t>
  </si>
  <si>
    <t>ID_1.1D_VTCC_1.1D_SML_1</t>
  </si>
  <si>
    <t>(VTCC4_1.1D/1E-7 + 0.3) .. (VTCC4_1.1D/1E-7 + 0.15) x 0.15</t>
  </si>
  <si>
    <t>ID_1.1D_VTCC_1.1D_SML_2</t>
  </si>
  <si>
    <t>(VTCC4_1.1D/1E-7 + 0.85) .. (VTCC4_1.1D/1E-7 + 0.65) x 0.2</t>
  </si>
  <si>
    <t>IS4_1.1D/VTCC_1.1D+0.15G</t>
  </si>
  <si>
    <t>VTCC4_1.1D/1E-7 + 0.15</t>
  </si>
  <si>
    <t>IS4_1.1D/VTCC_1.1D+0.3G</t>
  </si>
  <si>
    <t>VTCC4_1.1D/1E-7 + 0.3</t>
  </si>
  <si>
    <t>IS4_1.1D/VTCC_1.1D+0.65G</t>
  </si>
  <si>
    <t>VTCC4_1.1D/1E-7 + 0.65</t>
  </si>
  <si>
    <t>IS4_1.1D/VTCC_1.1D+0.85G</t>
  </si>
  <si>
    <t>VTCC4_1.1D/1E-7 + 0.85</t>
  </si>
  <si>
    <t>SS4_1.1D</t>
  </si>
  <si>
    <t>VG_SS_1.1D</t>
  </si>
  <si>
    <t>IS4_SS_1.1D</t>
  </si>
  <si>
    <t>ISLIN4_1.1_NA_SML</t>
  </si>
  <si>
    <t>VG_0.65D/0.22NA + 1.1V</t>
  </si>
  <si>
    <t>IS4_0.05D/0.22NA+1.1G</t>
  </si>
  <si>
    <t>ISLO4_1.1_NA_SML</t>
  </si>
  <si>
    <t>IS4_1.1D/0.22NA+0.65G</t>
  </si>
  <si>
    <t>ISHI4_1.1_NA_SML</t>
  </si>
  <si>
    <t>VG_0.65D/0.22NA + 1.1</t>
  </si>
  <si>
    <t>IS4_0.65D/0.22NA+1.1G</t>
  </si>
  <si>
    <t>ISEFF4_1.1/0.22NA</t>
  </si>
  <si>
    <t>ISSAT4_1.1_NA_SML</t>
  </si>
  <si>
    <t>IS4_1.1D/0.22NA+1.1G</t>
  </si>
  <si>
    <t>KEY_LOGIC_1.1V_TRIM</t>
  </si>
  <si>
    <t>VTGMSAT4_1.1_SML</t>
  </si>
  <si>
    <t>VTGM4_0.05D .. 0 x 0.05</t>
  </si>
  <si>
    <t>KEY_LOGIC_LINEAR</t>
  </si>
  <si>
    <t>IDVG_LIN_COARSE_SML</t>
  </si>
  <si>
    <t>1.1V .. -0.4V x 0.05V</t>
  </si>
  <si>
    <t>VTCC4_0.05D/1E-7_COARSE</t>
  </si>
  <si>
    <t>0.65V .. -0.4V x 0.05V</t>
  </si>
  <si>
    <t>VTCC_LIN_1E-7_FINE_SML</t>
  </si>
  <si>
    <t>VTCC + 0.05V .. VTCC - 0.05V x 0.01V</t>
  </si>
  <si>
    <t>VTCC4_0.05D/1E-8_COARSE</t>
  </si>
  <si>
    <t>VTCC_LIN_1E-8_FINE_SML</t>
  </si>
  <si>
    <t>IS4_0.05D/VTCC_0.05D/1E-8_-10</t>
  </si>
  <si>
    <t>VTCC - 0.01V</t>
  </si>
  <si>
    <t>IS4_0.05D/VTCC_0.05D/1E-8_-20</t>
  </si>
  <si>
    <t>VTCC - 0.02V</t>
  </si>
  <si>
    <t>IS4_0.05D/VTCC_0.05D/1E-8_-30</t>
  </si>
  <si>
    <t>VTCC - 0.03V</t>
  </si>
  <si>
    <t>IS4_0.05D/VTCC_0.05D/1E-8_-40</t>
  </si>
  <si>
    <t>VTCC - 0.04V</t>
  </si>
  <si>
    <t>IS4_0.05D/VTCC_0.05D/1E-8_-50</t>
  </si>
  <si>
    <t>VTCC - 0.05V</t>
  </si>
  <si>
    <t>SSC_0.05D/1E-8</t>
  </si>
  <si>
    <t>RSS_0.05D/1E-8</t>
  </si>
  <si>
    <t>SSC_0.05D/1E-8_2</t>
  </si>
  <si>
    <t>SS4_0.05D_COARSE</t>
  </si>
  <si>
    <t>VG_SS_0.05D_COARSE</t>
  </si>
  <si>
    <t>IDVG_0.65V_COARSE_SML</t>
  </si>
  <si>
    <t>VTGM4_0.65D_COARSE</t>
  </si>
  <si>
    <t>VTGM4_0.65D_FINE_SML</t>
  </si>
  <si>
    <t>VTGM + 0.05V .. VTGM - 0.05V x 0.01V</t>
  </si>
  <si>
    <t>VTCC4_0.65D/1E-7_COARSE</t>
  </si>
  <si>
    <t>VTCC4_0.65D/1E-7_FINE_SML</t>
  </si>
  <si>
    <t>VTCC4_0.65D/1E-8_COARSE</t>
  </si>
  <si>
    <t>VTCC4_0.65D/1E-8_FINE_SML</t>
  </si>
  <si>
    <t>IS4_0.65D/VTCC_0.65D/1E-8_-10</t>
  </si>
  <si>
    <t>IS4_0.65D/VTCC_0.65D/1E-8_-20</t>
  </si>
  <si>
    <t>IS4_0.65D/VTCC_0.65D/1E-8_-30</t>
  </si>
  <si>
    <t>IS4_0.65D/VTCC_0.65D/1E-8_-40</t>
  </si>
  <si>
    <t>IS4_0.65D/VTCC_0.65D/1E-8_-50</t>
  </si>
  <si>
    <t>SSC_0.65D/1E-8</t>
  </si>
  <si>
    <t>RSS_0.65D/1E-8</t>
  </si>
  <si>
    <t>SSC_0.65D/1E-8_2</t>
  </si>
  <si>
    <t>SS4_0.65D_COARSE</t>
  </si>
  <si>
    <t>VG_SS_0.65D_COARSE</t>
  </si>
  <si>
    <t>KEY_LOGIC_ID+VT_0.65V</t>
  </si>
  <si>
    <t>KEY_LOGIC_VGNA</t>
  </si>
  <si>
    <t>VG_0.65D/0.22NA_COARSE</t>
  </si>
  <si>
    <t>0.65 .. -0.4V x 0.05V</t>
  </si>
  <si>
    <t>VG_0.65D/0.22NA_FINE_SML</t>
  </si>
  <si>
    <t>VGNA + 0.05V .. VGNA - 0.05V x 0.01V</t>
  </si>
  <si>
    <t>KEY_LOGIC_AUTOBIAS_0.65V</t>
  </si>
  <si>
    <t>KEY_LOGIC_0.95V_TRIM</t>
  </si>
  <si>
    <t>LD_0.95D/0G</t>
  </si>
  <si>
    <t>0.95V</t>
  </si>
  <si>
    <t>LS_0.95D/0G</t>
  </si>
  <si>
    <t>LG_0.95D/0G</t>
  </si>
  <si>
    <t>LS_0.95D/-0.1G</t>
  </si>
  <si>
    <t>IG_0D/0.95G</t>
  </si>
  <si>
    <t>IS4_0.05D/0.95G</t>
  </si>
  <si>
    <t>ISSAT4_0.95_SML</t>
  </si>
  <si>
    <t>0.95V .. 0.85V x 0.1V</t>
  </si>
  <si>
    <t>IS4_0.95D/0.95G</t>
  </si>
  <si>
    <t>IS4_0.95D/0.85G</t>
  </si>
  <si>
    <t>ISLO4_0.95_SML</t>
  </si>
  <si>
    <t>0.55V .. 0.45V x 0.1V</t>
  </si>
  <si>
    <t>IS4_0.95D/0.55G</t>
  </si>
  <si>
    <t>IS4_0.95D/0.45G</t>
  </si>
  <si>
    <t>ISHI4_0.95_SML</t>
  </si>
  <si>
    <t>IS4_0.55D/0.95G</t>
  </si>
  <si>
    <t>IS4_0.55D/0.85G</t>
  </si>
  <si>
    <t>ISEFF4_0.95</t>
  </si>
  <si>
    <t>ISEFF4_0.95/-0.1G</t>
  </si>
  <si>
    <t>KEY_LOGIC_AUTOBIAS_0.95V</t>
  </si>
  <si>
    <t>ISLIN4_0.95_NA_SML</t>
  </si>
  <si>
    <t>VG_0.95D/0.22NA + 0.95V</t>
  </si>
  <si>
    <t>IS4_0.05D/0.22NA+0.95G</t>
  </si>
  <si>
    <t>ISLO4_0.95_NA_SML</t>
  </si>
  <si>
    <t>VG_0.95D/0.22NA + 0.55V</t>
  </si>
  <si>
    <t>IS4_0.95D/0.22NA+0.55G</t>
  </si>
  <si>
    <t>ISHI4_0.95_NA_SML</t>
  </si>
  <si>
    <t>IS4_0.55D/0.22NA+0.95G</t>
  </si>
  <si>
    <t>ISEFF4_0.95/0.22NA</t>
  </si>
  <si>
    <t>ISSAT4_0.95_NA_SML</t>
  </si>
  <si>
    <t>IS4_0.95D/0.22NA+0.95G</t>
  </si>
  <si>
    <t>VTGM4_1.1D_COARSE</t>
  </si>
  <si>
    <t>VTGM4_1.1D_FINE_SML</t>
  </si>
  <si>
    <t>VTCC4_1.1D/1E-7_COARSE</t>
  </si>
  <si>
    <t>VTCC4_1.1D/1E-7_FINE_SML</t>
  </si>
  <si>
    <t>VTCC4_1.1D/1E-8_COARSE</t>
  </si>
  <si>
    <t>VTCC4_1.1D/1E-8_FINE_SML</t>
  </si>
  <si>
    <t>IS4_1.1D/VTCC_1.1D/1E-8_-10</t>
  </si>
  <si>
    <t>IS4_1.1D/VTCC_1.1D/1E-8_-20</t>
  </si>
  <si>
    <t>IS4_1.1D/VTCC_1.1D/1E-8_-30</t>
  </si>
  <si>
    <t>IS4_1.1D/VTCC_1.1D/1E-8_-40</t>
  </si>
  <si>
    <t>IS4_1.1D/VTCC_1.1D/1E-8_-50</t>
  </si>
  <si>
    <t>SSC_1.1D/1E-8</t>
  </si>
  <si>
    <t>RSS_1.1D/1E-8</t>
  </si>
  <si>
    <t>SSC_1.1D/1E-8_2</t>
  </si>
  <si>
    <t>SS4_1.1D_COARSE</t>
  </si>
  <si>
    <t>VG_SS_1.1D_COARSE</t>
  </si>
  <si>
    <t>KEY_LOGIC_ID+VT_1.1V</t>
  </si>
  <si>
    <t>0.65V .. 0.55V x 0.1</t>
  </si>
  <si>
    <t>KEY_LOGIC_1.1V_TRIM_FD</t>
  </si>
  <si>
    <t>1.1V .. 1.1V x 0.1V</t>
  </si>
  <si>
    <t>TERMINALS</t>
  </si>
  <si>
    <t>HI/FS</t>
  </si>
  <si>
    <t>LO/BS_R</t>
  </si>
  <si>
    <t>S1</t>
  </si>
  <si>
    <t>S2</t>
  </si>
  <si>
    <t>R5_KLV_OGDLO</t>
  </si>
  <si>
    <t>R5_S1_&lt;ABS(FORCE)&gt;A</t>
  </si>
  <si>
    <t>=ABS((V(S1)-V(OGDLO)/I(PGDLO))</t>
  </si>
  <si>
    <t>HiZ (Lo)</t>
  </si>
  <si>
    <t>HiZ (Hi)</t>
  </si>
  <si>
    <t>R5_S2_&lt;ABS(FORCE)&gt;A</t>
  </si>
  <si>
    <t>=ABS((V(S2)-V(OGDLO)/I(PGDLO))</t>
  </si>
  <si>
    <t>R5_KLV_PGDHI</t>
  </si>
  <si>
    <t>=ABS((V(S1)-V(PGDHI)/I(PGDLO))</t>
  </si>
  <si>
    <t>=ABS((V(S2)-V(PGDHI)/I(PGDLO))</t>
  </si>
  <si>
    <t>R4_DVB_MULTI_TCN1_PLUS</t>
  </si>
  <si>
    <t>R4_TCN1_&lt;FORCE&gt;A</t>
  </si>
  <si>
    <t>R4_DVB_MULTI_TCN2_PLUS</t>
  </si>
  <si>
    <t>R4_TCN2_&lt;FORCE&gt;A</t>
  </si>
  <si>
    <t>R4_DVB_MULTI_TCN3_PLUS</t>
  </si>
  <si>
    <t>R4_TCN3_&lt;FORCE&gt;A</t>
  </si>
  <si>
    <t>R4_DVB_MULTI_TCN4_PLUS</t>
  </si>
  <si>
    <t>R4_TCN4_&lt;FORCE&gt;A</t>
  </si>
  <si>
    <t>R4_DVB_MULTI_TCN5_PLUS</t>
  </si>
  <si>
    <t>R4_TCN5_&lt;FORCE&gt;A</t>
  </si>
  <si>
    <t>R4_TCN2_LAT</t>
  </si>
  <si>
    <t>R4_TCN2_LAT_&lt;FORCE&gt;A</t>
  </si>
  <si>
    <t>R4_TCN3_LAT</t>
  </si>
  <si>
    <t>R4_TCN3_LAT_&lt;FORCE&gt;A</t>
  </si>
  <si>
    <t>R4_TCN4_LAT</t>
  </si>
  <si>
    <t>R4_TCN4_LAT_&lt;FORCE&gt;A</t>
  </si>
  <si>
    <t>R4_TCN5_LAT</t>
  </si>
  <si>
    <t>R4_TCN5_LAT_&lt;FORCE&gt;A</t>
  </si>
  <si>
    <t>R4_TCN2_VERT</t>
  </si>
  <si>
    <t>R4_TCN2_VERT_&lt;FORCE&gt;A</t>
  </si>
  <si>
    <t>R4_TCN3_VERT</t>
  </si>
  <si>
    <t>R4_TCN3_VERT_&lt;FORCE&gt;A</t>
  </si>
  <si>
    <t>R4_TCN4_VERT</t>
  </si>
  <si>
    <t>R4_TCN4_VERT_&lt;FORCE&gt;A</t>
  </si>
  <si>
    <t>COV_0.5G</t>
  </si>
  <si>
    <t>LD_&lt;FORCE&gt;D
LS_&lt;FORCE&gt;D
LG_&lt;FORCE&gt;D</t>
  </si>
  <si>
    <t>LD_&lt;FORCE&gt;D
LS_&lt;FORCE&gt;D
LG_&lt;FORCE&gt;D
LB_&lt;FORCE&gt;D</t>
  </si>
  <si>
    <t>IG_D_4PT</t>
  </si>
  <si>
    <t>BGD_PARASITIC_RES</t>
  </si>
  <si>
    <t>RE_1.5VE/1.7VE
RB_1.5VE/1.7VE</t>
  </si>
  <si>
    <t>DF/DF_M0</t>
  </si>
  <si>
    <t>DS/DS_M0</t>
  </si>
  <si>
    <t>SS/SS_M0</t>
  </si>
  <si>
    <t>SF/SF_M0</t>
  </si>
  <si>
    <t>GATE/GATE_M0</t>
  </si>
  <si>
    <t>KTCN_0.85V</t>
  </si>
  <si>
    <t>R_&lt;FORCE&gt;A_0.85V</t>
  </si>
  <si>
    <t>R=(VSS - VDF) / ISF</t>
  </si>
  <si>
    <t>IFVM=0A</t>
  </si>
  <si>
    <t>IFVM=&lt;FORCE&gt;A</t>
  </si>
  <si>
    <t>VF=0.85V</t>
  </si>
  <si>
    <t>KTCN_1.1V</t>
  </si>
  <si>
    <t>R_&lt;FORCE&gt;A_1.1V</t>
  </si>
  <si>
    <t>VF=1.1V</t>
  </si>
  <si>
    <t>KTCN_1.2V</t>
  </si>
  <si>
    <t>R_&lt;FORCE&gt;A_1.2V</t>
  </si>
  <si>
    <t>VF=1.2V</t>
  </si>
  <si>
    <t>FKTCN_0.85V</t>
  </si>
  <si>
    <t>RSOURCE_0.85V
RDRAIN_0.85V</t>
  </si>
  <si>
    <t>RS=(VDF - VSS) / [IS_LIN/VTCCLIN+0.65G]
RD=(VD2S - VDS) / [IS_LIN/VTCCLIN+0.65G]</t>
  </si>
  <si>
    <t>IF=&lt;IS4_0.05D/VTCC_0.05D+0.65G&gt;</t>
  </si>
  <si>
    <t>FKTCN_1.1V</t>
  </si>
  <si>
    <t>RSOURCE_1.1V
RDRAIN_1.1V</t>
  </si>
  <si>
    <t>FKTCN_1.2V</t>
  </si>
  <si>
    <t>RSOURCE_1.2V
RDRAIN_1.2V</t>
  </si>
  <si>
    <t>R2_ISO</t>
  </si>
  <si>
    <t>R2_&lt;FORCE&gt;V/0G</t>
  </si>
  <si>
    <t>I3D_ISO</t>
  </si>
  <si>
    <t>LD_&lt;FORCE&gt;D
LS_&lt;FORCE&gt;D
LB_&lt;FORCE&gt;D</t>
  </si>
  <si>
    <t>I3S_ISO</t>
  </si>
  <si>
    <t>LD_&lt;FORCE&gt;S
LS_&lt;FORCE&gt;S
LB_&lt;FORCE&gt;S</t>
  </si>
  <si>
    <t>VCC</t>
  </si>
  <si>
    <t>BL</t>
  </si>
  <si>
    <t>WL</t>
  </si>
  <si>
    <t>BLB</t>
  </si>
  <si>
    <t>VSS</t>
  </si>
  <si>
    <t>BCLA_5PAD</t>
  </si>
  <si>
    <t>LCC_&lt;FORCE&gt;V
LBL_&lt;FORCE&gt;V
LWL_&lt;FORCE&gt;V
LBB_&lt;FORCE&gt;V
LSS_&lt;FORCE&gt;V</t>
  </si>
  <si>
    <t>RFVCC</t>
  </si>
  <si>
    <t>WBL</t>
  </si>
  <si>
    <t>WWL</t>
  </si>
  <si>
    <t>WBLB</t>
  </si>
  <si>
    <t>RFVSS</t>
  </si>
  <si>
    <t>RWL</t>
  </si>
  <si>
    <t>RBL</t>
  </si>
  <si>
    <t>BCLA_7PAD</t>
  </si>
  <si>
    <t>LCC_&lt;FORCE&gt;V
LWBL_&lt;FORCE&gt;V
LWWL_&lt;FORCE&gt;V
LWBB_&lt;FORCE&gt;V
LSS_&lt;FORCE&gt;V
LRWL_&lt;FORCE&gt;V
LRBL_&lt;FORCE&gt;V</t>
  </si>
  <si>
    <t>C_A_B</t>
  </si>
  <si>
    <t>C_A_B_&lt;FORCE&gt;V</t>
  </si>
  <si>
    <t>C_A_M12_FILL</t>
  </si>
  <si>
    <t>C_A_M12_FILL_&lt;FORCE&gt;V</t>
  </si>
  <si>
    <t>C_B_M12_FILL</t>
  </si>
  <si>
    <t>C_B_M12_FILL_&lt;FORCE&gt;V</t>
  </si>
  <si>
    <t>C_A_VSSX</t>
  </si>
  <si>
    <t>C_A_VSSX_&lt;FORCE&gt;V</t>
  </si>
  <si>
    <t>C_B_VSSX</t>
  </si>
  <si>
    <t>C_B_VSSX_&lt;FORCE&gt;V</t>
  </si>
  <si>
    <t>I2_A_B</t>
  </si>
  <si>
    <t>I2_A_B_&lt;FORCE&gt;V</t>
  </si>
  <si>
    <t>R2_A_B</t>
  </si>
  <si>
    <t>R2_A_B_&lt;FORCE&gt;A</t>
  </si>
  <si>
    <t>V_LS</t>
  </si>
  <si>
    <t>MLR_CAP</t>
  </si>
  <si>
    <t>COV</t>
  </si>
  <si>
    <t>COV_0.05G</t>
  </si>
  <si>
    <t>CGT</t>
  </si>
  <si>
    <t>CURRENT_MIRROR_IOUT_IFORCE</t>
  </si>
  <si>
    <t>CURRENT_MIRROR_IOUT_-0.02MA_D</t>
  </si>
  <si>
    <t>CURRENT_MIRROR_IOUT_VFORCE</t>
  </si>
  <si>
    <t>CURRENT_MIRROR_IOUT_&lt;FORCE&gt;D</t>
  </si>
  <si>
    <t>DIFFAMP_GM_ROUT</t>
  </si>
  <si>
    <t>DIFFAMP_GM_ROUT_-0.3D_-0.3G</t>
  </si>
  <si>
    <t>DIFFAMP_IOUT</t>
  </si>
  <si>
    <t>DIFFAMP_IOUT_-0.3D_-0.3G</t>
  </si>
  <si>
    <t>DIFFAMP_VTCC_VTGM_ROUT</t>
  </si>
  <si>
    <t>DIFFAMP_IOUT_GM_ROUT_-0.3D/VTCC+0.1G</t>
  </si>
  <si>
    <t>IG_PRE_2PT_TAP</t>
  </si>
  <si>
    <t>IG_POST_2PT_TAP</t>
  </si>
  <si>
    <t>IG_&lt;FORCE&gt;G_PST</t>
  </si>
  <si>
    <t>IG_PRE_DS2PT</t>
  </si>
  <si>
    <t>IG_POST_DS2PT</t>
  </si>
  <si>
    <t>IG_PRE_GD2PT</t>
  </si>
  <si>
    <t>IG_POST_GD2PT</t>
  </si>
  <si>
    <t>IG_PRE_GS2PT</t>
  </si>
  <si>
    <t>IG_POST_GS2PT</t>
  </si>
  <si>
    <t>MIM_I2_ALL</t>
  </si>
  <si>
    <t>I2_ALL_&lt;FORCE&gt;V</t>
  </si>
  <si>
    <t>MIM_I2_BOT</t>
  </si>
  <si>
    <t>I2_BOT_&lt;FORCE&gt;V</t>
  </si>
  <si>
    <t>MIM_I2_COMB</t>
  </si>
  <si>
    <t>I2_COMB_&lt;FORCE&gt;V</t>
  </si>
  <si>
    <t>MIM_I2_COMBHI</t>
  </si>
  <si>
    <t>I2_COMBHI_&lt;FORCE&gt;V</t>
  </si>
  <si>
    <t>MIM_I2_COMBLO</t>
  </si>
  <si>
    <t>I2_COMBLO_&lt;FORCE&gt;V</t>
  </si>
  <si>
    <t>MLR_5PT</t>
  </si>
  <si>
    <t>R2_TOPSOURCE</t>
  </si>
  <si>
    <t>R2_TOPSOURCE_&lt;FORCE&gt;V</t>
  </si>
  <si>
    <t>ROS_ALL_BIAS_OFF</t>
  </si>
  <si>
    <t>LROS_0.65R_0D
LDIG_0.65R_0D
LVSS_0.65R_0D</t>
  </si>
  <si>
    <t>LROS_0.8R_0D
LDIG_0.8R_0D
LVSS_0.8R_0D</t>
  </si>
  <si>
    <t>LROS_0.95R_0D
LDIG_0.95R_0D
LVSS_0.95R_0D</t>
  </si>
  <si>
    <t>LROS_1.1R_0D
LDIG_1.1R_0D
LVSS_1.1R_0D</t>
  </si>
  <si>
    <t>ROS_ALL_BIAS_ON</t>
  </si>
  <si>
    <t>FROS_0.65R_0.65D
IROS_0.65R_0.65D
IDIG_0.65R_0.65D
IVSS_0.65R_0.65D</t>
  </si>
  <si>
    <t>FROS_0.65R_0.8D
IROS_0.65R_0.8D
IDIG_0.65R_0.8D
IVSS_0.65R_0.8D</t>
  </si>
  <si>
    <t>FROS_0.8R_0.8D
IROS_0.8R_0.8D
IDIG_0.8R_0.8D
IVSS_0.8R_0.8D</t>
  </si>
  <si>
    <t>FROS_0.95R_0.95D
IROS_0.95R_0.95D
IDIG_0.95R_0.95D
IVSS_0.95R_0.95D</t>
  </si>
  <si>
    <t>FROS_1.1R_1.1D
IROS_1.1R_1.1D
IDIG_1.1R_1.1D
IVSS_1.1R_1.1D</t>
  </si>
  <si>
    <t>PWR1</t>
  </si>
  <si>
    <t>VSS1</t>
  </si>
  <si>
    <t>CLPDC</t>
  </si>
  <si>
    <t>ICCHI1_&lt;BIAS&gt;VHI2</t>
  </si>
  <si>
    <t>VFIM = &lt;BIAS&gt;</t>
  </si>
  <si>
    <t>VFIM = 0V</t>
  </si>
  <si>
    <t>ISSLO_&lt;BIAS&gt;VHI2</t>
  </si>
  <si>
    <t>CLP_SWEEP</t>
  </si>
  <si>
    <t>ICCHI1_RAMP_0.8V</t>
  </si>
  <si>
    <t>ISSLO_RAMP_0.8V</t>
  </si>
  <si>
    <t>ICCHI1_RAMP_0.4V</t>
  </si>
  <si>
    <t>ISSLO_RAMP_0.4V</t>
  </si>
  <si>
    <t>JL_TG_VG0</t>
  </si>
  <si>
    <t>JL_VG0_0G_-2.9D</t>
  </si>
  <si>
    <t>PMOS</t>
  </si>
  <si>
    <t>JL_TG</t>
  </si>
  <si>
    <t>JL_-0.8G_-2.2D</t>
  </si>
  <si>
    <t>HCI_HIVDB_TG</t>
  </si>
  <si>
    <t>HCI_3D/2.9G/1.2S_1.2V</t>
  </si>
  <si>
    <t>HCI_3.3D/2.6G/1.2S_1.2V</t>
  </si>
  <si>
    <t>NMOS</t>
  </si>
  <si>
    <t>HCI_TG</t>
  </si>
  <si>
    <t>HCI_1.8D/1.7G_1.2V</t>
  </si>
  <si>
    <t>HCI_2.1D/1.4G_1.2V</t>
  </si>
  <si>
    <t>BTI_TG</t>
  </si>
  <si>
    <t>BTI_3.7G_1.2V</t>
  </si>
  <si>
    <t>BTI_3.8G_1.2V</t>
  </si>
  <si>
    <t>HCI</t>
  </si>
  <si>
    <t>HCI_1.3D/1.2G_0.65V</t>
  </si>
  <si>
    <t>BTI</t>
  </si>
  <si>
    <t>BTI_1.9G_0.65V</t>
  </si>
  <si>
    <t>MIM_I2_CE12</t>
  </si>
  <si>
    <t>MIM_CAP_CE12</t>
  </si>
  <si>
    <t>MIM_VBD_CE12</t>
  </si>
  <si>
    <t>MIM_I2_CE23</t>
  </si>
  <si>
    <t>MIM_CAP_CE23</t>
  </si>
  <si>
    <t>MIM_VBD_CE23</t>
  </si>
  <si>
    <t>MIM_I2_CE13</t>
  </si>
  <si>
    <t>MIM_CAP_CE13</t>
  </si>
  <si>
    <t>MIM_VBD_CE13</t>
  </si>
  <si>
    <t>MIM_I2_2T</t>
  </si>
  <si>
    <t>Structure</t>
  </si>
  <si>
    <t>12MIMCAP</t>
  </si>
  <si>
    <t>MIM_I2_3T</t>
  </si>
  <si>
    <t>Pads</t>
  </si>
  <si>
    <t>Bias</t>
  </si>
  <si>
    <t>Lo/Floating</t>
  </si>
  <si>
    <t>MIM_VBD5</t>
  </si>
  <si>
    <t>Tests</t>
  </si>
  <si>
    <t>MIM Cap, Leakage, VBD</t>
  </si>
  <si>
    <t>23MIMCAP</t>
  </si>
  <si>
    <t>Lo/floating</t>
  </si>
  <si>
    <t>13MIMCAP</t>
  </si>
  <si>
    <t>floating</t>
  </si>
  <si>
    <t>123MIMCAP</t>
  </si>
  <si>
    <t>Leakage, VBD, MIM Cap</t>
  </si>
  <si>
    <t>DS/DS_M0/TOPSOURCE</t>
  </si>
  <si>
    <t>SF/SF_M0/SF_BS</t>
  </si>
  <si>
    <t>R=(VSS - VDS) / ISF</t>
  </si>
  <si>
    <t>IF=&lt;FORCE&gt;A</t>
  </si>
  <si>
    <t>BCLA_CAP_5PAD</t>
  </si>
  <si>
    <t>C_BL_WL</t>
  </si>
  <si>
    <t>Freq = 100kHz</t>
  </si>
  <si>
    <t>C_BL_VCC</t>
  </si>
  <si>
    <t>C_BL_VSS</t>
  </si>
  <si>
    <t>BCLA_CAP_7PAD</t>
  </si>
  <si>
    <t>C_WBL_WWL</t>
  </si>
  <si>
    <t>C_WBL_RWL</t>
  </si>
  <si>
    <t>C_WBL_RFVCC</t>
  </si>
  <si>
    <t>C_WBL_RFVSS</t>
  </si>
  <si>
    <t>C_RBL_WWL</t>
  </si>
  <si>
    <t>C_RBL_RWL</t>
  </si>
  <si>
    <t>C_RBL_RFVCC</t>
  </si>
  <si>
    <t>C_RBL_RFVSS</t>
  </si>
  <si>
    <t>VDAC_CALIB</t>
  </si>
  <si>
    <t>VAC_CALIB</t>
  </si>
  <si>
    <t>F_&lt;RO_BIAS&gt;V</t>
  </si>
  <si>
    <t>APM_EN_OSC_PAD</t>
  </si>
  <si>
    <t>APM_OSC_SEL_PAD</t>
  </si>
  <si>
    <t>VCC_PAD</t>
  </si>
  <si>
    <t>VSSX_PAD</t>
  </si>
  <si>
    <t>RO_BIAS_PAD</t>
  </si>
  <si>
    <t>OSC_OUT_PAD</t>
  </si>
  <si>
    <t>VF = 0/1V</t>
  </si>
  <si>
    <t>VF = 1.05V</t>
  </si>
  <si>
    <t>VF = 0V</t>
  </si>
  <si>
    <t>VF = &lt;BIAS&gt;</t>
  </si>
  <si>
    <t>ROS, Vcc/2</t>
  </si>
  <si>
    <t>RDAC</t>
  </si>
  <si>
    <t>V_OUTPUT</t>
  </si>
  <si>
    <t>EN&lt;3&gt;_PAD</t>
  </si>
  <si>
    <t>EN&lt;2&gt;_PAD</t>
  </si>
  <si>
    <t>EN&lt;1&gt;_PAD</t>
  </si>
  <si>
    <t>EN&lt;0&gt;_PAD</t>
  </si>
  <si>
    <t>EN_4to1_BANKSEL_PAD</t>
  </si>
  <si>
    <t>VCCH_PAD</t>
  </si>
  <si>
    <t>OUTPUT_PAD</t>
  </si>
  <si>
    <t>NRDAC&lt;7&gt;_PAD</t>
  </si>
  <si>
    <t>NRDAC&lt;6&gt;_PAD</t>
  </si>
  <si>
    <t>NRDAC&lt;5&gt;_PAD</t>
  </si>
  <si>
    <t>NRDAC&lt;4&gt;_PAD</t>
  </si>
  <si>
    <t>NRDAC&lt;3&gt;_PAD</t>
  </si>
  <si>
    <t>NRDAC&lt;2&gt;_PAD</t>
  </si>
  <si>
    <t>NRDAC&lt;1&gt;_PAD</t>
  </si>
  <si>
    <t>V_RDAC_7</t>
  </si>
  <si>
    <t>VF = 1.2V</t>
  </si>
  <si>
    <t>HiZ</t>
  </si>
  <si>
    <t>V_RDAC_6</t>
  </si>
  <si>
    <t>V_RDAC_5</t>
  </si>
  <si>
    <t>V_RDAC_4</t>
  </si>
  <si>
    <t>V_RDAC_3</t>
  </si>
  <si>
    <t>V_RDAC_2</t>
  </si>
  <si>
    <t>V_RDAC_1</t>
  </si>
  <si>
    <t>ET_DEFECT</t>
  </si>
  <si>
    <t>checklimit</t>
  </si>
  <si>
    <t>ET_WORKING</t>
  </si>
  <si>
    <t>IS4_0.05D/VT+0.65G_SML</t>
  </si>
  <si>
    <t>IS4_0.05D/VT+0.65G</t>
  </si>
  <si>
    <t>lin</t>
  </si>
  <si>
    <t>sat_0.65</t>
  </si>
  <si>
    <t>sat_1.1</t>
  </si>
  <si>
    <t>ss</t>
  </si>
  <si>
    <t>vtcc_lin</t>
  </si>
  <si>
    <t>vtgm_sat</t>
  </si>
  <si>
    <t>ET_PERFORMANCE</t>
  </si>
  <si>
    <t>vtcc_sat (1e-7)</t>
  </si>
  <si>
    <t>vtcc_sat (1e-8)</t>
  </si>
  <si>
    <t>1V .. -0.4V x 0.01V</t>
  </si>
  <si>
    <t>IG2_SS_0.05D/1E-8</t>
  </si>
  <si>
    <t>1 .. -0.4 x 0.01</t>
  </si>
  <si>
    <t>IS4_SS_0.65D/1E-8</t>
  </si>
  <si>
    <t>IG2_SS_0.05D</t>
  </si>
  <si>
    <t>GM4</t>
  </si>
  <si>
    <t>IS4_0.05D/GM</t>
  </si>
  <si>
    <t>VTGMSAT4_0.65_SML</t>
  </si>
  <si>
    <t>~7</t>
  </si>
  <si>
    <t>IG2_SS_0.65D/1E-8</t>
  </si>
  <si>
    <t>VTB_0.05_SML</t>
  </si>
  <si>
    <t>VTB4_0.05D + 0.4 .. VTB4_0.05D x 0.05</t>
  </si>
  <si>
    <t>IS4_0.05D/VTB</t>
  </si>
  <si>
    <t>VTB</t>
  </si>
  <si>
    <t>IS4_0.05D/VTB+0.05</t>
  </si>
  <si>
    <t>VTB + 0.05V</t>
  </si>
  <si>
    <t>IS4_0.05D/VTB+0.1</t>
  </si>
  <si>
    <t>VTB + 0.1V</t>
  </si>
  <si>
    <t>IS4_0.05D/VTB+0.15</t>
  </si>
  <si>
    <t>VTB + 0.15V</t>
  </si>
  <si>
    <t>IS4_0.05D/VTB+0.2</t>
  </si>
  <si>
    <t>VTB + 0.2V</t>
  </si>
  <si>
    <t>IS4_0.05D/VTB+0.25</t>
  </si>
  <si>
    <t>VTB + 0.25V</t>
  </si>
  <si>
    <t>IS4_0.05D/VTB+0.3</t>
  </si>
  <si>
    <t>VTB + 0.3V</t>
  </si>
  <si>
    <t>IS4_0.05D/VTB+0.35</t>
  </si>
  <si>
    <t>VTB + 0.35V</t>
  </si>
  <si>
    <t>IS4_0.05D/VTB+0.4</t>
  </si>
  <si>
    <t>VTB + 0.4V</t>
  </si>
  <si>
    <t>LS_1.1D/0.1G</t>
  </si>
  <si>
    <t>LS_1.1D/0.2G</t>
  </si>
  <si>
    <t>1.3V .. 1.0V x 0.1V</t>
  </si>
  <si>
    <t>IS4_0.05D/1.2G</t>
  </si>
  <si>
    <t>1.2V</t>
  </si>
  <si>
    <t>IS4_0.05D/1.3G</t>
  </si>
  <si>
    <t>1.3V</t>
  </si>
  <si>
    <t>1.3 .. 1.0 x 0.1</t>
  </si>
  <si>
    <t>IS4_1.1D/1.2G</t>
  </si>
  <si>
    <t>IS4_1.1D/1.3G</t>
  </si>
  <si>
    <t>0.85 .. 0.55 x 0.1</t>
  </si>
  <si>
    <t>IS4_1.1D/0.75G</t>
  </si>
  <si>
    <t>IS4_1.1D/0.85G</t>
  </si>
  <si>
    <t>IS4_0.65D/1.2G</t>
  </si>
  <si>
    <t>IS4_0.65D/1.3G</t>
  </si>
  <si>
    <t>ISEFF4_1.1/0.1G</t>
  </si>
  <si>
    <t>ISEFF4_1.1/0.2G</t>
  </si>
  <si>
    <t>DEVICE_A</t>
  </si>
  <si>
    <t>DEVICE_B</t>
  </si>
  <si>
    <t>0V .. 1V x 0.05V</t>
  </si>
  <si>
    <t>0V .. 1V x 0.1V</t>
  </si>
  <si>
    <t>idatvg</t>
  </si>
  <si>
    <t>ID4_0.05D/1.1G</t>
  </si>
  <si>
    <t>ID2_0D/1.1G</t>
  </si>
  <si>
    <t>0.65V .. -0.4V x 0.1V</t>
  </si>
  <si>
    <t>0.65V .. -0.1V x 0.05V</t>
  </si>
  <si>
    <t>ID4_0.05D/GM</t>
  </si>
  <si>
    <t>ID4_0.05D/VT+0.65G</t>
  </si>
  <si>
    <t>ID4_SS_0.65D</t>
  </si>
  <si>
    <t>LD_0.65D/0.1G</t>
  </si>
  <si>
    <t>LD_0.65D/0.2G</t>
  </si>
  <si>
    <t>-0.1V</t>
  </si>
  <si>
    <t>LD_0.65D/-0.1G</t>
  </si>
  <si>
    <t>ID4_0.05D/0.65G</t>
  </si>
  <si>
    <t>ID4_0.05D/0.75G</t>
  </si>
  <si>
    <t>ID4_0.05D/0.55G</t>
  </si>
  <si>
    <t>ID4_0.65D/0.65G</t>
  </si>
  <si>
    <t>ID4_0.65D/0.75G</t>
  </si>
  <si>
    <t>ID4_0.65D/0.85G</t>
  </si>
  <si>
    <t>ID4_0.65D/0.55G</t>
  </si>
  <si>
    <t>ID4_0.65D/0.4G</t>
  </si>
  <si>
    <t>ID4_0.65D/0.5G</t>
  </si>
  <si>
    <t>ID4_0.65D/0.6G</t>
  </si>
  <si>
    <t>ID4_0.65D/0.3G</t>
  </si>
  <si>
    <t>ID4_0.4D/0.65G</t>
  </si>
  <si>
    <t>ID4_0.4D/0.75G</t>
  </si>
  <si>
    <t>ID4_0.4D/0.85G</t>
  </si>
  <si>
    <t>ID4_0.4D/0.55G</t>
  </si>
  <si>
    <t>IDEFF4_0.65</t>
  </si>
  <si>
    <t>IDEFF4_0.65/0.1G</t>
  </si>
  <si>
    <t>IDEFF4_0.65/0.2G</t>
  </si>
  <si>
    <t>IDEFF4_0.65/-0.1G</t>
  </si>
  <si>
    <t>ID4_0.05D/VTGM</t>
  </si>
  <si>
    <t>VTGM4_0.05D .. 0V x 0.05V</t>
  </si>
  <si>
    <t>VTCC4_0.05D/1E-8_S</t>
  </si>
  <si>
    <t>VTCC4_0.05D/1E-7_S</t>
  </si>
  <si>
    <t>VTGM4_0.05D - 0.6V</t>
  </si>
  <si>
    <t>VTGM4_0.05D + 0.65V .. VTGM4_0.05D + 0.15V x 0.1V</t>
  </si>
  <si>
    <t>ID4_0.05D/VTGM+0.15G</t>
  </si>
  <si>
    <t>ID4_0.05D/VTGM+0.3G</t>
  </si>
  <si>
    <t>ID4_0.05D/VTGM+0.65G</t>
  </si>
  <si>
    <t>ID4_0.65D/VTGM+0.15G</t>
  </si>
  <si>
    <t>ID4_0.65D/VTGM+0.3G</t>
  </si>
  <si>
    <t>ID4_0.65D/VTGM+0.65G</t>
  </si>
  <si>
    <t>VTCC4_0.05D + 0.3V .. VTCC4_0.05D + 0.15V x 0.15V</t>
  </si>
  <si>
    <t>VTCC4_0.05D + 0.85V .. VTCC4_0.05D + 0.65V x 0.2V</t>
  </si>
  <si>
    <t>VTCC4_0.05D + 0.15V</t>
  </si>
  <si>
    <t>ID4_0.05D/VTCC_0.05D+0.15G</t>
  </si>
  <si>
    <t>VTCC4_0.05D + 0.3V</t>
  </si>
  <si>
    <t>ID4_0.05D/VTCC_0.05D+0.3G</t>
  </si>
  <si>
    <t>VTCC4_0.05D + 0.65V</t>
  </si>
  <si>
    <t>ID4_0.05D/VTCC_0.05D+0.65G</t>
  </si>
  <si>
    <t>VTCC4_0.05D + 0.85V</t>
  </si>
  <si>
    <t>ID4_0.05D/VTCC_0.05D+0.85G</t>
  </si>
  <si>
    <t>VTCC4_0.65D + 0.3V .. VTCC4_0.65D + 0.15V x 0.15V</t>
  </si>
  <si>
    <t>VTCC4_0.65D + 0.85V .. VTCC4_0.65D + 0.65V x 0.2V</t>
  </si>
  <si>
    <t>VTCC4_0.65D + 0.15V</t>
  </si>
  <si>
    <t>ID4_0.05D/VTCC_0.65D+0.15G</t>
  </si>
  <si>
    <t>VTCC4_0.65D + 0.3V</t>
  </si>
  <si>
    <t>ID4_0.05D/VTCC_0.65D+0.3G</t>
  </si>
  <si>
    <t>VTCC4_0.65D + 0.65V</t>
  </si>
  <si>
    <t>ID4_0.05D/VTCC_0.65D+0.65G</t>
  </si>
  <si>
    <t>VTCC4_0.65D + 0.85V</t>
  </si>
  <si>
    <t>ID4_0.05D/VTCC_0.65D+0.85G</t>
  </si>
  <si>
    <t>ID4_0.65D/VTCC_0.65D+0.15G</t>
  </si>
  <si>
    <t>ID4_0.65D/VTCC_0.65D+0.3G</t>
  </si>
  <si>
    <t>ID4_0.65D/VTCC_0.65D+0.65G</t>
  </si>
  <si>
    <t>ID_1.1D_VTCC_0.65D_1</t>
  </si>
  <si>
    <t>ID_1.1D_VTCC_0.65D_2</t>
  </si>
  <si>
    <t>ID4_1.1D/VTCC_0.65D+0.15G</t>
  </si>
  <si>
    <t>ID4_1.1D/VTCC_0.65D+0.3G</t>
  </si>
  <si>
    <t>ID4_1.1D/VTCC_0.65D+0.65G</t>
  </si>
  <si>
    <t>DELTA_VTGM4_0.05D</t>
  </si>
  <si>
    <t>DELTA_ID4_0.05D/0.65G</t>
  </si>
  <si>
    <t>DELTA_IS4_0.05D/0.65G</t>
  </si>
  <si>
    <t>DELTA_ID4_0.65D/0.65G</t>
  </si>
  <si>
    <t>DELTA_IS4_0.65D/0.65G</t>
  </si>
  <si>
    <t>DELTA_LOG_LD_0.65D/0G</t>
  </si>
  <si>
    <t>DELTA_LOG_LS_0.65D/0G</t>
  </si>
  <si>
    <t>(VTGM4_0.05D + 0.8V) .. (VTGM4_0.05D + 0.2V) x 0.2V</t>
  </si>
  <si>
    <t>(VTB4_0.05D + 0.4V) .. (VTB4_0.05D) x 0.05V</t>
  </si>
  <si>
    <t>ID4_0.05D/VTB</t>
  </si>
  <si>
    <t>ID4_0.05D/VTB+0.05</t>
  </si>
  <si>
    <t>VTB4_0.05D + 0.05V</t>
  </si>
  <si>
    <t>ID4_0.05D/VTB+0.1</t>
  </si>
  <si>
    <t>VTB4_0.05D + 0.1V</t>
  </si>
  <si>
    <t>ID4_0.05D/VTB+0.15</t>
  </si>
  <si>
    <t>VTB4_0.05D + 0.15V</t>
  </si>
  <si>
    <t>ID4_0.05D/VTB+0.2</t>
  </si>
  <si>
    <t>VTB4_0.05D + 0.2V</t>
  </si>
  <si>
    <t>ID4_0.05D/VTB+0.25</t>
  </si>
  <si>
    <t>VTB4_0.05D + 0.25V</t>
  </si>
  <si>
    <t>ID4_0.05D/VTB+0.3</t>
  </si>
  <si>
    <t>VTB4_0.05D + 0.3V</t>
  </si>
  <si>
    <t>ID4_0.05D/VTB+0.35</t>
  </si>
  <si>
    <t>VTB4_0.05D + 0.35V</t>
  </si>
  <si>
    <t>ID4_0.05D/VTB+0.4</t>
  </si>
  <si>
    <t>VTB4_0.05D + 0.4V</t>
  </si>
  <si>
    <t>LB_1.1D/0G</t>
  </si>
  <si>
    <t>LD_1.1D/0.1G</t>
  </si>
  <si>
    <t>LD_1.1D/0.2G</t>
  </si>
  <si>
    <t>LD_1.1D/-0.1G</t>
  </si>
  <si>
    <t>1.3V .. 1.1V x 0.1V</t>
  </si>
  <si>
    <t>ID4_0.05D/1.2G</t>
  </si>
  <si>
    <t>ID4_0.05D/1.3G</t>
  </si>
  <si>
    <t>1.0V</t>
  </si>
  <si>
    <t>ID4_0.05D/1.0G</t>
  </si>
  <si>
    <t>ID4_1.1D/1.1G</t>
  </si>
  <si>
    <t>ID4_1.1D/1.2G</t>
  </si>
  <si>
    <t>ID4_1.1D/1.3G</t>
  </si>
  <si>
    <t>ID4_1.1D/1.0G</t>
  </si>
  <si>
    <t>ID4_1.1D/0.65G</t>
  </si>
  <si>
    <t>ID4_1.1D/0.75G</t>
  </si>
  <si>
    <t>ID4_1.1D/0.85G</t>
  </si>
  <si>
    <t>ID4_1.1D/0.55G</t>
  </si>
  <si>
    <t>ID4_0.65D/1.1G</t>
  </si>
  <si>
    <t>ID4_0.65D/1.2G</t>
  </si>
  <si>
    <t>ID4_0.65D/1.3G</t>
  </si>
  <si>
    <t>ID4_0.65D/1.0G</t>
  </si>
  <si>
    <t>IDEFF4_1.1</t>
  </si>
  <si>
    <t>IDEFF4_1.1/0.1G</t>
  </si>
  <si>
    <t>IDEFF4_1.1/0.2G</t>
  </si>
  <si>
    <t>IDEFF4_1.1/-0.1G</t>
  </si>
  <si>
    <t>(VTGM4_0.05D) .. 0V x 0.05V</t>
  </si>
  <si>
    <t>VTCC4_1.1D/1E-8_S</t>
  </si>
  <si>
    <t>VTCC4_1.1D/1E-7_S</t>
  </si>
  <si>
    <t>(VTCC4_1.1D + 0.3V) .. (VTCC4_1.1D + 0.15V) x 0.15V</t>
  </si>
  <si>
    <t>(VTCC4_1.1D + 0.85V) .. (VTCC4_1.1D + 0.65V) x 0.2V</t>
  </si>
  <si>
    <t>VTCC4_1.1D + 0.15V</t>
  </si>
  <si>
    <t>ID4_1.1D/VTCC_1.1D+0.15G</t>
  </si>
  <si>
    <t>VTCC4_1.1D + 0.3V</t>
  </si>
  <si>
    <t>ID4_1.1D/VTCC_1.1D+0.3G</t>
  </si>
  <si>
    <t>VTCC4_1.1D + 0.65V</t>
  </si>
  <si>
    <t>ID4_1.1D/VTCC_1.1D+0.65G</t>
  </si>
  <si>
    <t>VTCC4_1.1D + 0.85V</t>
  </si>
  <si>
    <t>ID4_1.1D/VTCC_1.1D+0.85G</t>
  </si>
  <si>
    <t>ID4_SS_1.1D</t>
  </si>
  <si>
    <t>(VTGM4_0.05D + 0.25V) .. (VTGM4_0.05D + 0.05V) x 0.05V</t>
  </si>
  <si>
    <t>VTGM4_0.05D + 0.05V</t>
  </si>
  <si>
    <t>VTGM4_0.05D + 0.1V</t>
  </si>
  <si>
    <t>VTGM4_0.05D + 0.2V</t>
  </si>
  <si>
    <t>VTGM4_0.05D + 0.25V</t>
  </si>
  <si>
    <t>DELTA_GM_0.3D/VTGM+0.2G</t>
  </si>
  <si>
    <t>DELTA_RO_0.3D/VTGM+0.2G</t>
  </si>
  <si>
    <t>MAT10P_SLIM</t>
  </si>
  <si>
    <t>IDVG_0.05D_SML</t>
  </si>
  <si>
    <t>IVT_SML</t>
  </si>
  <si>
    <t>IDVG_0.65D_SML</t>
  </si>
  <si>
    <t>IDVG_1.1D</t>
  </si>
  <si>
    <t>VG_0.65D/&lt;TARGET&gt;NA</t>
  </si>
  <si>
    <t>IDLO_0.65D</t>
  </si>
  <si>
    <t>VGNA + 0.4V</t>
  </si>
  <si>
    <t>IS4_0.65D/&lt;TARGET&gt;NA+0.4G</t>
  </si>
  <si>
    <t>IDHI_0.65D</t>
  </si>
  <si>
    <t>VGNA + 0.65V</t>
  </si>
  <si>
    <t>IS4_0.4D/&lt;TARGET&gt;NA+0.65G</t>
  </si>
  <si>
    <t>IDLO_1.1D</t>
  </si>
  <si>
    <t>VGNA + 0.55V</t>
  </si>
  <si>
    <t>IS4_1.1D/&lt;TARGET&gt;NA+0.55G</t>
  </si>
  <si>
    <t>IDHI_1.1D</t>
  </si>
  <si>
    <t>VGNA + 1.1V</t>
  </si>
  <si>
    <t>IS4_0.55D/&lt;TARGET&gt;NA+1.1G</t>
  </si>
  <si>
    <t>CNODE</t>
  </si>
  <si>
    <t>LDSO2_1.1D/0S</t>
  </si>
  <si>
    <t>IS4_0.05D/1.1G (availavle in MAT only)</t>
  </si>
  <si>
    <t>(VTGM+0.05) - (VTGM+0.15)</t>
  </si>
  <si>
    <t>VTGM+0.1</t>
  </si>
  <si>
    <t>(0.15V) - (0.25V)</t>
  </si>
  <si>
    <t>(VTGM+0.1) - (VTGM+0.2)</t>
  </si>
  <si>
    <t>VTGM+0.15</t>
  </si>
  <si>
    <t>(VTGM+0.15) - (VTGM+0.25)</t>
  </si>
  <si>
    <t>VTGM+0.2</t>
  </si>
  <si>
    <t>(0.25V) - (0.35V)</t>
  </si>
  <si>
    <t>(0.35V) - (0.45V)</t>
  </si>
  <si>
    <t>IVT_0.22NA</t>
  </si>
  <si>
    <t>ucalc</t>
  </si>
  <si>
    <t>KEY_LOGIC_BASIC</t>
  </si>
  <si>
    <t>0.65… -0.2 x 0.05V</t>
  </si>
  <si>
    <t>VTCC4_0.65D/1e-7</t>
  </si>
  <si>
    <t>ID4_0.05D/V</t>
  </si>
  <si>
    <t>KEY_LOGIC_SLIM_S/D</t>
  </si>
  <si>
    <t>VTCC_0.05D/1E-7</t>
  </si>
  <si>
    <t>ID4_0.05D/0.95G</t>
  </si>
  <si>
    <t>ID4_0.05D/VTCC_0.05D+0.90G</t>
  </si>
  <si>
    <t>ID4_0.05D/VTCC_0.05D+0.95G</t>
  </si>
  <si>
    <t>ID4_0.05D/VTCC_0.05D+1.0G</t>
  </si>
  <si>
    <t>ID4_0.05D/VTCC_0.05D+1.05G</t>
  </si>
  <si>
    <t>ID4_0.05D/VTCC_0.05D+1.1G</t>
  </si>
  <si>
    <t xml:space="preserve"> ID4_0.65D/VTCC_0.65D+0.3G</t>
  </si>
  <si>
    <t xml:space="preserve"> IS4_0.65D/VTCC_0.65D+0.65G</t>
  </si>
  <si>
    <t xml:space="preserve"> ID4_0.65D/VTCC_0.65D+0.65G</t>
  </si>
  <si>
    <t>GM_0.3D/VTCC+0.15G</t>
  </si>
  <si>
    <t>RO_0.3D/VTCC+0.15G</t>
  </si>
  <si>
    <t>GM_RO_0.3D/VTCC+0.15G</t>
  </si>
  <si>
    <t>KEY_LOGIC_SLIM_0.55V_S/D</t>
  </si>
  <si>
    <t>LD_0.55D/0G</t>
  </si>
  <si>
    <t>LS_0.55D/0G</t>
  </si>
  <si>
    <t>LG_0.55D/0G</t>
  </si>
  <si>
    <t>IDEFF4_0.55</t>
  </si>
  <si>
    <t>ISEFF4_0.55</t>
  </si>
  <si>
    <t>KEY_LOGIC_VGNA_LLE_SLIM_S/D</t>
  </si>
  <si>
    <t>IVT_OPT_LLE</t>
  </si>
  <si>
    <t>VG_0.65D/OPT_LLE</t>
  </si>
  <si>
    <t>VTCC_0.65/OPT_LLE</t>
  </si>
  <si>
    <t>KEY_LOGIC_VGNA_LVT_SLIM_S/D</t>
  </si>
  <si>
    <t>IVT_OPT_LVT</t>
  </si>
  <si>
    <t>VG_0.65D/OPT_LVT</t>
  </si>
  <si>
    <t>VTCC_0.65/OPT_LVT</t>
  </si>
  <si>
    <t>KEY_LOGIC_AUTOBIAS_0.65V_LLE_SLIM_S/D</t>
  </si>
  <si>
    <t>ISEFF4_0.65/OPT_LLE</t>
  </si>
  <si>
    <t>IDEFF4_0.65/OPT_LLE</t>
  </si>
  <si>
    <t>1745 (including VGNA)</t>
  </si>
  <si>
    <t>KEY_LOGIC_AUTOBIAS_0.65V_LVT_SLIM_S/D</t>
  </si>
  <si>
    <t>ISEFF4_0.65/OPT_LVT</t>
  </si>
  <si>
    <t>IDEFF4_0.65/OPT_LVT</t>
  </si>
  <si>
    <t>KEY_LOGIC_AUTOBIAS_0.65V_LLE_FIT_SLIM_S/D</t>
  </si>
  <si>
    <t>VG_0.65D/OPT_LLE_FIT</t>
  </si>
  <si>
    <t>LS_0.65D/0G_OPT_LLE_FIT</t>
  </si>
  <si>
    <t>LD_0.65D/0G_OPT_LLE_FIT</t>
  </si>
  <si>
    <t>VTCC_0.65/OPT_LLE_FIT_FD</t>
  </si>
  <si>
    <t>IS4_0.05D/OPT_LLE_FIT+0.65G</t>
  </si>
  <si>
    <t>ID4_0.05D/OPT_LLE_FIT+0.65G</t>
  </si>
  <si>
    <t>IS4_0.65D/OPT_LLE_FIT+0.65G</t>
  </si>
  <si>
    <t>ID4_0.65D/OPT_LLE_FIT+0.65G</t>
  </si>
  <si>
    <t>ISEFF4_0.65/OPT_LLE_FIT</t>
  </si>
  <si>
    <t>IDEFF4_0.65/OPT_LLE_FIT</t>
  </si>
  <si>
    <t>KEY_LOGIC_AUTOBIAS_0.55V_LLE_SLIM_S/D</t>
  </si>
  <si>
    <t>ISEFF4_0.55/OPT_LLE</t>
  </si>
  <si>
    <t>IDEFF4_0.55/OPT_LLE</t>
  </si>
  <si>
    <t>KEY_LOGIC_AUTOBIAS_0.55V_LVT_SLIM_S/D</t>
  </si>
  <si>
    <t>ISEFF4_0.55/OPT_LVT</t>
  </si>
  <si>
    <t>IDEFF4_0.55/OPT_LVT</t>
  </si>
  <si>
    <t>KEY_LOGIC_AUTOBIAS_0.55V_LLE_FIT_SLIM_S/D</t>
  </si>
  <si>
    <t>ISEFF4_0.55/OPT_LLE_FIT</t>
  </si>
  <si>
    <t>IDEFF4_0.55/OPT_LLE_FIT</t>
  </si>
  <si>
    <t>KEY_LOGIC_SLIM_0.95V_S/D</t>
  </si>
  <si>
    <t>IDEFF4_0.95</t>
  </si>
  <si>
    <t>KEY_LOGIC_AUTOBIAS_0.95V_LLE_SLIM_S/D</t>
  </si>
  <si>
    <t>ISEFF4_0.95/OPT_LLE</t>
  </si>
  <si>
    <t>IDEFF4_0.95/OPT_LLE</t>
  </si>
  <si>
    <t>KEY_LOGIC_AUTOBIAS_0.95V_LVT_SLIM_S/D</t>
  </si>
  <si>
    <t>ISEFF4_0.95/OPT_LVT</t>
  </si>
  <si>
    <t>IDEFF4_0.95/OPT_LVT</t>
  </si>
  <si>
    <t>KEY_LOGIC_AUTOBIAS_0.95V_LLE_FIT_SLIM_S/D</t>
  </si>
  <si>
    <t>IS4_0.05D/OPT_LLE_FIT+0.95G</t>
  </si>
  <si>
    <t>ID4_0.05D/OPT_LLE_FIT+0.95G</t>
  </si>
  <si>
    <t>ISEFF4_0.95/OPT_LLE_FIT</t>
  </si>
  <si>
    <t>IDEFF4_0.95/OPT_LLE_FIT</t>
  </si>
  <si>
    <t>KEY_LOGIC_SLIM_1.1V_S/D</t>
  </si>
  <si>
    <t>KEY_LOGIC_AUTOBIAS_1.1V_LLE_SLIM_S/D</t>
  </si>
  <si>
    <t>ISEFF4_1.1/OPT_LLE</t>
  </si>
  <si>
    <t>IDEFF4_1.1/OPT_LLE</t>
  </si>
  <si>
    <t>KEY_LOGIC_AUTOBIAS_1.1V_LVT_SLIM_S/D</t>
  </si>
  <si>
    <t>KEY_LOGIC_AUTOBIAS_1.1V_LLE_FIT_SLIM_S/D</t>
  </si>
  <si>
    <t>ISEFF4_1.1/OPT_LLE_FIT</t>
  </si>
  <si>
    <t>IDEFF4_1.1/OPT_LLE_FIT</t>
  </si>
  <si>
    <t>KEY LOGIC SUITE</t>
  </si>
  <si>
    <t>highlighted ones are in KEY_LOGIC_SUITE config</t>
  </si>
  <si>
    <t>WW45</t>
  </si>
  <si>
    <t>WW48</t>
  </si>
  <si>
    <t>KEY_LOGIC_SUITE_S/D</t>
  </si>
  <si>
    <t>KEY_LOGIC_WORKING_S</t>
  </si>
  <si>
    <t>KEY_LOGIC_LINEAR_S</t>
  </si>
  <si>
    <t>KEY_LOGIC_WORKING_D</t>
  </si>
  <si>
    <t>KEY_LOGIC_0.65V_S</t>
  </si>
  <si>
    <t>KEY_LOGIC_ID+VT_0.65V_S</t>
  </si>
  <si>
    <t>KEY_LOGIC_LINEAR_D</t>
  </si>
  <si>
    <t>KEY_LOGIC_X_0.65V_S</t>
  </si>
  <si>
    <t>KEY_LOGIC_GM_RO_S</t>
  </si>
  <si>
    <t>KEY_LOGIC_0.65V_D</t>
  </si>
  <si>
    <t>KEY_LOGIC_0.95V_TRIM_S</t>
  </si>
  <si>
    <t>KEY_LOGIC_VGNA_S</t>
  </si>
  <si>
    <t>KEY_LOGIC_1.1V_S</t>
  </si>
  <si>
    <t>KEY_LOGIC_VGNA_S_X78A</t>
  </si>
  <si>
    <t>KEY_LOGIC_ID+VT_0.65V_D</t>
  </si>
  <si>
    <t>KEY_LOGIC_ID+VT_1.1V_S</t>
  </si>
  <si>
    <t>KEY_LOGIC_AUTOBIAS_0.65V_S</t>
  </si>
  <si>
    <t>KEY_LOGIC_AUTOBIAS_0.65V_S_X78A</t>
  </si>
  <si>
    <t>KEY_LOGIC_X_0.65V_D</t>
  </si>
  <si>
    <t>KEY_LOGIC_LINEAR_FD_S</t>
  </si>
  <si>
    <t>KEY_LOGIC_TOPEX,KEY_LOGIC_DEFECT,KEY_LOGIC_WORKING_S,KEY_LOGIC_WORKING_D,KEY_LOGIC_LINEAR_S,KEY_LOGIC_LINEAR_D,KEY_LOGIC_0.65V_S,KEY_LOGIC_0.65V_D,KEY_LOGIC_ID+VT_0.65V_S,KEY_LOGIC_ID+VT_0.65V_D,KEY_LOGIC_X_0.65V_S,KEY_LOGIC_X_0.65V_D,KEY_LOGIC_GM_RO_S,KEY_LOGIC_GM_RO_D,KEY_LOGIC_BASIC_S,KEY_LOGIC_BASIC_D,KEY_LOGIC_SLIM_S,KEY_LOGIC_SLIM_D,KEY_LOGIC_VGNA_S,KEY_LOGIC_VGNA_D,KEY_LOGIC_VGNA_LLE_S,KEY_LOGIC_VGNA_LLE_D,KEY_LOGIC_VGNA_LVT_S,KEY_LOGIC_VGNA_LVT_D,KEY_LOGIC_VGNA_S_X78A,KEY_LOGIC_VGNA_D_X78A,KEY_LOGIC_VGNA_LLE_SLIM_S,KEY_LOGIC_VGNA_LLE_SLIM_D,KEY_LOGIC_AUTOBIAS_0.65V_LLE_S,KEY_LOGIC_AUTOBIAS_0.65V_LLE_D,KEY_LOGIC_AUTOBIAS_0.65V_LVT_S,KEY_LOGIC_AUTOBIAS_0.65V_LVT_D,KEY_LOGIC_AUTOBIAS_0.65V_S,KEY_LOGIC_AUTOBIAS_0.65V_D,KEY_LOGIC_AUTOBIAS_0.65V_S_X78A,KEY_LOGIC_AUTOBIAS_0.65V_D_X78A,KEY_LOGIC_AUTOBIAS_0.65V_LLE_SLIM_S,KEY_LOGIC_AUTOBIAS_0.65V_LLE_SLIM_D,KEY_LOGIC_LINEAR_FD_S,KEY_LOGIC_0.65V_FD_S,KEY_LOGIC_ID+VT_0.65V_FD_S,KEY_LOGIC_VGNA_FD_S,KEY_LOGIC_VGNA_LLE_FD_S,KEY_LOGIC_VGNA_LVT_FD_S,KEY_LOGIC_VGNA_LLE_SLIM_FD_S,KEY_LOGIC_AUTOBIAS_0.65V_FD_S,KEY_LOGIC_AUTOBIAS_0.65V_LLE_FD_S,KEY_LOGIC_AUTOBIAS_0.65V_LVT_FD_S,KEY_LOGIC_AUTOBIAS_0.65V_LLE_SLIM_FD_S,KEY_LOGIC_0.95V_TRIM_S,KEY_LOGIC_0.95V_TRIM_D,KEY_LOGIC_0.95V_TRIM_FD_S,KEY_LOGIC_AUTOBIAS_0.95V_LLE_S,KEY_LOGIC_AUTOBIAS_0.95V_LLE_D,KEY_LOGIC_AUTOBIAS_0.95V_LVT_S,KEY_LOGIC_AUTOBIAS_0.95V_LVT_D,KEY_LOGIC_AUTOBIAS_0.95V_S,KEY_LOGIC_AUTOBIAS_0.95V_D,KEY_LOGIC_AUTOBIAS_0.95V_S_X78A,KEY_LOGIC_AUTOBIAS_0.95V_D_X78A,KEY_LOGIC_AUTOBIAS_0.95V_LLE_SLIM_S,KEY_LOGIC_AUTOBIAS_0.95V_LLE_SLIM_D,KEY_LOGIC_AUTOBIAS_0.95V_FD_S,KEY_LOGIC_AUTOBIAS_0.95V_LLE_FD_S,KEY_LOGIC_AUTOBIAS_0.95V_LVT_FD_S,KEY_LOGIC_AUTOBIAS_0.95V_LLE_SLIM_FD_S,KEY_LOGIC_1.1V_S,KEY_LOGIC_1.1V_D,KEY_LOGIC_ID+VT_1.1V_S,KEY_LOGIC_ID+VT_1.1V_D,KEY_LOGIC_1.1V_TRIM_S,KEY_LOGIC_1.1V_TRIM_D,KEY_LOGIC_AUTOBIAS_1.1V_LLE_S,KEY_LOGIC_AUTOBIAS_1.1V_LLE_D,KEY_LOGIC_AUTOBIAS_1.1V_LVT_S,KEY_LOGIC_AUTOBIAS_1.1V_LVT_D,KEY_LOGIC_AUTOBIAS_1.1V_S,KEY_LOGIC_AUTOBIAS_1.1V_D,KEY_LOGIC_AUTOBIAS_1.1V_S_X78A,KEY_LOGIC_AUTOBIAS_1.1V_D_X78A,KEY_LOGIC_AUTOBIAS_1.1V_FD_S,KEY_LOGIC_AUTOBIAS_1.1V_LLE_FD_S,KEY_LOGIC_AUTOBIAS_1.1V_LVT_FD_S,KEY_LOGIC_SUITE_S,KEY_LOGIC_SUITE_D</t>
  </si>
  <si>
    <t>KEY_LOGIC_0.65V_FD_S</t>
  </si>
  <si>
    <t>KEY_LOGIC_GM_RO_D</t>
  </si>
  <si>
    <t>KEY_LOGIC_ID+VT_0.65V_FD_S</t>
  </si>
  <si>
    <t>KEY_LOGIC_BASIC_S</t>
  </si>
  <si>
    <t>KEY_LOGIC_VGNA_FD_S</t>
  </si>
  <si>
    <t>KEY_LOGIC_BASIC_D</t>
  </si>
  <si>
    <t>KEY_LOGIC_AUTOBIAS_0.65V_FD_S</t>
  </si>
  <si>
    <t>KEY_LOGIC_SLIM_S</t>
  </si>
  <si>
    <t>KEY_LOGIC_SLIM_D</t>
  </si>
  <si>
    <t>KEY_LOGIC_AUTOBIAS_0.95V_S</t>
  </si>
  <si>
    <t>KEY_LOGIC_AUTOBIAS_0.95V_S_X78A</t>
  </si>
  <si>
    <t>KEY_LOGIC_VGNA_D</t>
  </si>
  <si>
    <t>KEY_LOGIC_AUTOBIAS_0.95V_FD_S</t>
  </si>
  <si>
    <t>KEY_LOGIC_VGNA_LLE_S</t>
  </si>
  <si>
    <t>KEY_LOGIC_VGNA_D_X78A</t>
  </si>
  <si>
    <t>KEY_LOGIC_VGNA_LLE_D</t>
  </si>
  <si>
    <t>KEY_LOGIC_VGNA_LLE_SLIM_S</t>
  </si>
  <si>
    <t>KEY_LOGIC_VGNA_LVT_S</t>
  </si>
  <si>
    <t>KEY_LOGIC_1.1V_TRIM_S</t>
  </si>
  <si>
    <t>KEY_LOGIC_VGNA_LLE_SLIM_D</t>
  </si>
  <si>
    <t>KEY_LOGIC_VGNA_LVT_D</t>
  </si>
  <si>
    <t>KEY_LOGIC_AUTOBIAS_1.1V_S</t>
  </si>
  <si>
    <t>KEY_LOGIC_AUTOBIAS_1.1V_S_X78A</t>
  </si>
  <si>
    <t>KEY_LOGIC_AUTOBIAS_0.65V_D</t>
  </si>
  <si>
    <t>KEY_LOGIC_AUTOBIAS_1.1V_FD_S</t>
  </si>
  <si>
    <t>KEY_LOGIC_AUTOBIAS_0.65V_D_X78A</t>
  </si>
  <si>
    <t>KEY_LOGIC_AUTOBIAS_0.65V_LLE_SLIM_S</t>
  </si>
  <si>
    <t>KEY_LOGIC_AUTOBIAS_0.65V_LLE_S</t>
  </si>
  <si>
    <t>KEY_LOGIC_AUTOBIAS_0.65V_LLE_SLIM_D</t>
  </si>
  <si>
    <t>KEY_LOGIC_AUTOBIAS_0.65V_LLE_D</t>
  </si>
  <si>
    <t>KEY_LOGIC_AUTOBIAS_0.65V_LVT_S</t>
  </si>
  <si>
    <t>KEY_LOGIC_LINEAR_FD_D</t>
  </si>
  <si>
    <t>KEY_LOGIC_AUTOBIAS_0.65V_LVT_D</t>
  </si>
  <si>
    <t>KEY_LOGIC_0.65V_FD_D</t>
  </si>
  <si>
    <t>KEY_LOGIC_ID+VT_0.65V_FD_D</t>
  </si>
  <si>
    <t>KEY_LOGIC_VGNA_FD_D</t>
  </si>
  <si>
    <t>KEY_LOGIC_VGNA_LLE_SLIM_FD_S</t>
  </si>
  <si>
    <t>KEY_LOGIC_AUTOBIAS_0.65V_FD_D</t>
  </si>
  <si>
    <t>KEY_LOGIC_AUTOBIAS_0.65V_LLE_SLIM_FD_S</t>
  </si>
  <si>
    <t>KEY_LOGIC_0.95V_TRIM_D</t>
  </si>
  <si>
    <t>KEY_LOGIC_VGNA_LLE_FD_S</t>
  </si>
  <si>
    <t>KEY_LOGIC_AUTOBIAS_0.95V_D</t>
  </si>
  <si>
    <t>KEY_LOGIC_VGNA_LVT_FD_S</t>
  </si>
  <si>
    <t>KEY_LOGIC_AUTOBIAS_0.95V_D_X78A</t>
  </si>
  <si>
    <t>KEY_LOGIC_AUTOBIAS_0.95V_FD_D</t>
  </si>
  <si>
    <t>KEY_LOGIC_1.1V_D</t>
  </si>
  <si>
    <t>KEY_LOGIC_AUTOBIAS_0.65V_LLE_FD_S</t>
  </si>
  <si>
    <t>KEY_LOGIC_ID+VT_1.1V_D</t>
  </si>
  <si>
    <t>KEY_LOGIC_AUTOBIAS_0.65V_LVT_FD_S</t>
  </si>
  <si>
    <t>KEY_LOGIC_1.1V_TRIM_D</t>
  </si>
  <si>
    <t>KEY_LOGIC_AUTOBIAS_0.95V_LLE_SLIM_S</t>
  </si>
  <si>
    <t>KEY_LOGIC_AUTOBIAS_1.1V_D</t>
  </si>
  <si>
    <t>KEY_LOGIC_AUTOBIAS_0.95V_LLE_SLIM_D</t>
  </si>
  <si>
    <t>KEY_LOGIC_AUTOBIAS_1.1V_D_X78A</t>
  </si>
  <si>
    <t>KEY_LOGIC_AUTOBIAS_1.1V_FD_D</t>
  </si>
  <si>
    <t>KEY_LOGIC_0.95V_TRIM_FD_S</t>
  </si>
  <si>
    <t>KEY_LOGIC_SUITE_S</t>
  </si>
  <si>
    <t>KEY_LOGIC_AUTOBIAS_0.95V_LLE_SLIM_FD_S</t>
  </si>
  <si>
    <t>KEY_LOGIC_AUTOBIAS_0.95V_LLE_S</t>
  </si>
  <si>
    <t>KEY_LOGIC_SUITE_D</t>
  </si>
  <si>
    <t>KEY_LOGIC_AUTOBIAS_0.95V_LLE_D</t>
  </si>
  <si>
    <t>KEY_LOGIC_AUTOBIAS_0.95V_LVT_S</t>
  </si>
  <si>
    <t>KEY_LOGIC_AUTOBIAS_0.95V_LVT_D</t>
  </si>
  <si>
    <t>KEY_LOGIC_AUTOBIAS_0.95V_LLE_FD_S</t>
  </si>
  <si>
    <t>KEY_LOGIC_AUTOBIAS_0.95V_LVT_FD_S</t>
  </si>
  <si>
    <t>KEY_LOGIC_AUTOBIAS_1.1V_LLE_S</t>
  </si>
  <si>
    <t>KEY_LOGIC_AUTOBIAS_1.1V_LLE_D</t>
  </si>
  <si>
    <t>KEY_LOGIC_AUTOBIAS_1.1V_LVT_S</t>
  </si>
  <si>
    <t>KEY_LOGIC_AUTOBIAS_1.1V_LVT_D</t>
  </si>
  <si>
    <t>KEY_LOGIC_AUTOBIAS_1.1V_LLE_FD_S</t>
  </si>
  <si>
    <t>KEY_LOGIC_AUTOBIAS_1.1V_LVT_FD_S</t>
  </si>
  <si>
    <t>MAT10P_LOGIC_DEFECT_NO_FILTER</t>
  </si>
  <si>
    <t>MAT10P_LOGIC_WORKING_S_TTR</t>
  </si>
  <si>
    <t>MAT10P_LOGIC_LINEAR_S_TTR</t>
  </si>
  <si>
    <t>MAT10P_LOGIC_WORKING_D_TTR</t>
  </si>
  <si>
    <t>MAT10P_LOGIC_0.65V_S_TTR</t>
  </si>
  <si>
    <t>MAT10P_LOGIC_ID+VT_0.65V_S_TTR</t>
  </si>
  <si>
    <t>MAT10P_LOGIC_LINEAR_D_TTR</t>
  </si>
  <si>
    <t>MAT10P_LOGIC_X_0.65V_S_TTR</t>
  </si>
  <si>
    <t>MAT10P_LOGIC_GM_RO_S_TTR</t>
  </si>
  <si>
    <t>MAT10P_LOGIC_0.65V_D_TTR</t>
  </si>
  <si>
    <t>MAT10P_LOGIC_VGNA_S_TTR</t>
  </si>
  <si>
    <t>MAT10P_LOGIC_VGNA_S_X78A_TTR</t>
  </si>
  <si>
    <t>MAT10P_LOGIC_ID+VT_0.65V_D_TTR</t>
  </si>
  <si>
    <t>MAT10P_AUTOBIAS_0.65V_S_TTR</t>
  </si>
  <si>
    <t>MAT10P_AUTOBIAS_0.65V_S_X78A_TTR</t>
  </si>
  <si>
    <t>MAT10P_LOGIC_X_0.65V_D_TTR</t>
  </si>
  <si>
    <t>MAT10P_LOGIC_0.95V_TRIM_S_TTR</t>
  </si>
  <si>
    <t>MAT10P_LOGIC_TOPEX,MAT10P_LOGIC_DEFECT_NO_FILTER,MAT10P_LOGIC_WORKING_S,MAT10P_LOGIC_WORKING_D,MAT10P_LOGIC_LINEAR_S,MAT10P_LOGIC_LINEAR_D,MAT10P_LOGIC_0.65V_S,MAT10P_LOGIC_0.65V_D,MAT10P_LOGIC_ID+VT_0.65V_S,MAT10P_LOGIC_ID+VT_0.65V_D,MAT10P_LOGIC_X_0.65V_S,MAT10P_LOGIC_X_0.65V_D,MAT10P_LOGIC_GM_RO_S,MAT10P_LOGIC_GM_RO_D,MAT10P_LOGIC_VGNA_S,MAT10P_LOGIC_VGNA_D,MAT10P_LOGIC_VGNA_S_X78A,MAT10P_LOGIC_VGNA_D_X78A,MAT10P_AUTOBIAS_0.65V_S,MAT10P_AUTOBIAS_0.65V_D,MAT10P_AUTOBIAS_0.65V_S_X78A,MAT10P_AUTOBIAS_0.65V_D_X78A,MAT10P_LOGIC_0.95V_TRIM_S,MAT10P_LOGIC_0.95V_TRIM_D,MAT10P_AUTOBIAS_0.95V_S,MAT10P_AUTOBIAS_0.95V_D,MAT10P_AUTOBIAS_0.95V_S_X78A,MAT10P_AUTOBIAS_0.95V_D_X78A,MAT10P_LOGIC_1.1V_S,MAT10P_LOGIC_1.1V_D,MAT10P_LOGIC_ID+VT_1.1V_S,MAT10P_LOGIC_ID+VT_1.1V_D,MAT10P_LOGIC_1.1V_TRIM_S,MAT10P_LOGIC_1.1V_TRIM_D,MAT10P_AUTOBIAS_1.1V_S,MAT10P_AUTOBIAS_1.1V_D,MAT10P_AUTOBIAS_1.1V_S_X78A,MAT10P_AUTOBIAS_1.1V_D_X78A,MAT10P_LOGIC_SUITE_S,MAT10P_LOGIC_SUITE_D,MAT10P_LOGIC_BASIC_S,MAT10P_LOGIC_BASIC_D</t>
  </si>
  <si>
    <t>MAT10P_AUTOBIAS_0.95V_S_TTR</t>
  </si>
  <si>
    <t>MAT10P_LOGIC_GM_RO_D_TTR</t>
  </si>
  <si>
    <t>MAT10P_AUTOBIAS_0.95V_S_X78A_TTR</t>
  </si>
  <si>
    <t>MAT10P_LOGIC_1.1V_S_TTR</t>
  </si>
  <si>
    <t>MAT10P_LOGIC_VGNA_D_TTR</t>
  </si>
  <si>
    <t>MAT10P_LOGIC_ID+VT_1.1V_S_TTR</t>
  </si>
  <si>
    <t>MAT10P_LOGIC_1.1V_TRIM_S_TTR</t>
  </si>
  <si>
    <t>MAT10P_LOGIC_VGNA_D_X78A_TTR</t>
  </si>
  <si>
    <t>MAT10P_AUTOBIAS_1.1V_S_TTR</t>
  </si>
  <si>
    <t>MAT10P_AUTOBIAS_1.1V_S_X78A_TTR</t>
  </si>
  <si>
    <t>MAT10P_AUTOBIAS_0.65V_D_TTR</t>
  </si>
  <si>
    <t>MAT10P_AUTOBIAS_0.65V_D_X78A_TTR</t>
  </si>
  <si>
    <t>MAT10P_LOGIC_0.95V_TRIM_D_TTR</t>
  </si>
  <si>
    <t>MAT10P_AUTOBIAS_0.95V_D_TTR</t>
  </si>
  <si>
    <t>MAT10P_AUTOBIAS_0.95V_D_X78A_TTR</t>
  </si>
  <si>
    <t>MAT10P_LOGIC_1.1V_D_TTR</t>
  </si>
  <si>
    <t>MAT10P_LOGIC_ID+VT_1.1V_D_TTR</t>
  </si>
  <si>
    <t>MAT10P_LOGIC_1.1V_TRIM_D_TTR</t>
  </si>
  <si>
    <t>MAT10P_AUTOBIAS_1.1V_D_TTR</t>
  </si>
  <si>
    <t>MAT10P_AUTOBIAS_1.1V_D_X78A_TTR</t>
  </si>
  <si>
    <t>MAT10P_LOGIC_SUITE_S_TTR</t>
  </si>
  <si>
    <t>MAT10P_LOGIC_SUITE_D_TTR</t>
  </si>
  <si>
    <t>MAT10P_LOGIC_BASIC_S</t>
  </si>
  <si>
    <t>MAT10P_LOGIC_BASIC_D</t>
  </si>
  <si>
    <t>KEY_LOGIC_TOPEX,KEY_LOGIC_DEFECT,KEY_LOGIC_WORKING_S,KEY_LOGIC_WORKING_D,KEY_LOGIC_LINEAR_S,KEY_LOGIC_LINEAR_D,KEY_LOGIC_0.65V_S,KEY_LOGIC_0.65V_D,KEY_LOGIC_ID+VT_0.65V_S,KEY_LOGIC_ID+VT_0.65V_D,KEY_LOGIC_X_0.65V_S,KEY_LOGIC_X_0.65V_D,KEY_LOGIC_GM_RO_S,KEY_LOGIC_GM_RO_D,KEY_LOGIC_BASIC_S,KEY_LOGIC_BASIC_D,KEY_LOGIC_SLIM_S,KEY_LOGIC_SLIM_D,KEY_LOGIC_VGNA_LLE_S,KEY_LOGIC_VGNA_LLE_D,KEY_LOGIC_VGNA_LVT_S,KEY_LOGIC_VGNA_LVT_D,KEY_LOGIC_VGNA_LLE_SLIM_S,KEY_LOGIC_VGNA_LLE_SLIM_D,KEY_LOGIC_AUTOBIAS_0.65V_LLE_S,KEY_LOGIC_AUTOBIAS_0.65V_LLE_D,KEY_LOGIC_AUTOBIAS_0.65V_LVT_S,KEY_LOGIC_AUTOBIAS_0.65V_LVT_D,KEY_LOGIC_AUTOBIAS_0.65V_LLE_SLIM_S,KEY_LOGIC_AUTOBIAS_0.65V_LLE_SLIM_D,KEY_LOGIC_0.95V_TRIM_S,KEY_LOGIC_0.95V_TRIM_D,KEY_LOGIC_AUTOBIAS_0.95V_LLE_S,KEY_LOGIC_AUTOBIAS_0.95V_LLE_D,KEY_LOGIC_AUTOBIAS_0.95V_LVT_S,KEY_LOGIC_AUTOBIAS_0.95V_LVT_D,KEY_LOGIC_AUTOBIAS_0.95V_LLE_SLIM_S,KEY_LOGIC_AUTOBIAS_0.95V_LLE_SLIM_D,KEY_LOGIC_1.1V_S,KEY_LOGIC_1.1V_D,KEY_LOGIC_ID+VT_1.1V_S,KEY_LOGIC_ID+VT_1.1V_D,KEY_LOGIC_1.1V_TRIM_S,KEY_LOGIC_1.1V_TRIM_D,KEY_LOGIC_AUTOBIAS_1.1V_LLE_S,KEY_LOGIC_AUTOBIAS_1.1V_LLE_D,KEY_LOGIC_AUTOBIAS_1.1V_LVT_S,KEY_LOGIC_AUTOBIAS_1.1V_LVT_D,KEY_LOGIC_SUITE_S,KEY_LOGIC_SUITE_D</t>
  </si>
  <si>
    <t>SRP_CAP_NOTOP_NOBOT</t>
  </si>
  <si>
    <t>SRP_LKG_NOTOP_NOBOT</t>
  </si>
  <si>
    <r>
      <t xml:space="preserve">IS4_0.05D/1.1G </t>
    </r>
    <r>
      <rPr>
        <sz val="11"/>
        <color rgb="FFFF0000"/>
        <rFont val="Calibri"/>
        <family val="2"/>
        <scheme val="minor"/>
      </rPr>
      <t>(availavle in MAT only)</t>
    </r>
  </si>
  <si>
    <t>RODLIN_0.65</t>
  </si>
  <si>
    <t>RODLIN_0.85</t>
  </si>
  <si>
    <t>RODLIN_0.90</t>
  </si>
  <si>
    <t>RODLIN_0.95</t>
  </si>
  <si>
    <t>RODLIN_1.0</t>
  </si>
  <si>
    <t>RODLIN_1.05</t>
  </si>
  <si>
    <t>RODLIN_1.1</t>
  </si>
  <si>
    <t>REXT_NOVG</t>
  </si>
  <si>
    <t>RCH_SP_0.65</t>
  </si>
  <si>
    <t>RCH_SP_0.95</t>
  </si>
  <si>
    <t>RCH_SP_1.1</t>
  </si>
  <si>
    <t>RO_0.2D/VTGM+0.1G(_5PT)</t>
  </si>
  <si>
    <t>GM_RO_0.2D/VTGM+0.1G(_5PT)</t>
  </si>
  <si>
    <t>RO_ID_0.2D/VTGM+0.1G(_5PT)</t>
  </si>
  <si>
    <t>RO_0.2D/VTGM+0.15G(_5PT)</t>
  </si>
  <si>
    <t>GM_RO_0.2D/VTGM+0.15G(_5PT)</t>
  </si>
  <si>
    <t>RO_ID_0.2D/VTGM+0.15G(_5PT)</t>
  </si>
  <si>
    <t>RO_0.2D/VTGM+0.2G(_5PT)</t>
  </si>
  <si>
    <t>GM_RO_0.2D/VTGM+0.2G(_5PT)</t>
  </si>
  <si>
    <t>RO_ID_0.2D/VTGM+0.2G(_5PT)</t>
  </si>
  <si>
    <t>RO_0.3D/VTGM+0.1G(_5PT)</t>
  </si>
  <si>
    <t>GM_RO_0.3D/VTGM+0.1G(_5PT)</t>
  </si>
  <si>
    <t>RO_ID_0.3D/VTGM+0.1G(_5PT)</t>
  </si>
  <si>
    <t>RO_0.3D/VTGM+0.15G(_5PT)</t>
  </si>
  <si>
    <t>GM_RO_0.3D/VTGM+0.15G(_5PT)</t>
  </si>
  <si>
    <t>RO_ID_0.3D/VTGM+0.15G(_5PT)</t>
  </si>
  <si>
    <t>RO_0.3D/VTGM+0.2G(_5PT)</t>
  </si>
  <si>
    <t>GM_RO_0.3D/VTGM+0.2G(_5PT)</t>
  </si>
  <si>
    <t>RO_ID_0.3D/VTGM+0.2G(_5PT)</t>
  </si>
  <si>
    <t>RO_0.4D/VTGM+0.1G(_5PT)</t>
  </si>
  <si>
    <t>GM_RO_0.4D/VTGM+0.1G(_5PT)</t>
  </si>
  <si>
    <t>RO_ID_0.4D/VTGM+0.1G(_5PT)</t>
  </si>
  <si>
    <t>RO_0.4D/VTGM+0.15G(_5PT)</t>
  </si>
  <si>
    <t>GM_RO_0.4D/VTGM+0.15G(_5PT)</t>
  </si>
  <si>
    <t>RO_ID_0.4D/VTGM+0.15G(_5PT)</t>
  </si>
  <si>
    <t>RO_0.4D/VTGM+0.2G(_5PT)</t>
  </si>
  <si>
    <t>GM_RO_0.4D/VTGM+0.2G(_5PT)</t>
  </si>
  <si>
    <t>RO_ID_0.4D/VTGM+0.2G(_5PT)</t>
  </si>
  <si>
    <t>AUTOBIAS_0.95V</t>
  </si>
  <si>
    <t>VTCC4_0.65D/5E-7</t>
  </si>
  <si>
    <t>LOG_LS[D]_PROJ</t>
  </si>
  <si>
    <t>KEY_LOGIC_LINEAR_PACK_S/D</t>
  </si>
  <si>
    <t>0.65V …... -0.2V x 0.05V</t>
  </si>
  <si>
    <t>0.65V .. -0.2V x 0.05V</t>
  </si>
  <si>
    <t>VTCC - 0.01V .. VTCC - 0.05V x 0.01V</t>
  </si>
  <si>
    <t>IDLIN4_0.95_SML</t>
  </si>
  <si>
    <t>IDLIN4_1.1_SML</t>
  </si>
  <si>
    <t>ISLO4_0.65V_SML</t>
  </si>
  <si>
    <t>VTCC_0.05D+0.3</t>
  </si>
  <si>
    <t>VTCC_0.05D+1.1 … VTCC_0.05D+0.65 x 0.05</t>
  </si>
  <si>
    <t>KEY_LOGIC_LLE_S/D</t>
  </si>
  <si>
    <t>(VTCC4_0.65D/1E-7 + 0.65) .. (VTCC4_0.65D/1E-7 + 0.3) x 0.35</t>
  </si>
  <si>
    <t>KEY_LOGIC_LOWBIAS_0.1V/0.2V/0.3V</t>
  </si>
  <si>
    <t>IDVG_0.1/0.2/0.3_COARSE_SML</t>
  </si>
  <si>
    <t>VTCC4_0.1/0.2/0.3D/1E-7_COARSE</t>
  </si>
  <si>
    <t>VTCC_0.1/0.2/0.3_1E-7_FINE_SML</t>
  </si>
  <si>
    <t>VTCC4_0.1/0.2/0.3D/1E-7</t>
  </si>
  <si>
    <t>ID_0.1/0.2/0.3V_VTCC_0.1/0.2/0.3V_SML</t>
  </si>
  <si>
    <t>ID4_0.1/VTCC_0.1+0.1</t>
  </si>
  <si>
    <t>IS4_0.1/VTCC_0.1+0.1</t>
  </si>
  <si>
    <t>IS4_0.1D/0.1G</t>
  </si>
  <si>
    <t>ID4_0.1D/0.1G</t>
  </si>
  <si>
    <t>DF/DF_M0/DF1</t>
  </si>
  <si>
    <t>DS/DS_M0/DS1</t>
  </si>
  <si>
    <t>SF /SF_BS/SF_M0/SF1</t>
  </si>
  <si>
    <t>SS /SS_BS/SS_M0/SS1</t>
  </si>
  <si>
    <t>KEY_LOGIC_0.7V</t>
  </si>
  <si>
    <t>LD_0.7D/0G</t>
  </si>
  <si>
    <t>0.7V</t>
  </si>
  <si>
    <t>LS_0.7D/0G</t>
  </si>
  <si>
    <t>LG_0.7D/0G</t>
  </si>
  <si>
    <t>LS_0.7D/0.1G</t>
  </si>
  <si>
    <t>LS_0.7D/0.2G</t>
  </si>
  <si>
    <t>LS_0.7D/-0.1G</t>
  </si>
  <si>
    <t>IG_0D/0.7G</t>
  </si>
  <si>
    <t>IS4_0.05D/0.7G</t>
  </si>
  <si>
    <t>IS4_0.05D/0.8G</t>
  </si>
  <si>
    <t>0.8V</t>
  </si>
  <si>
    <t>IS4_0.05D/0.9G</t>
  </si>
  <si>
    <t>0.9V</t>
  </si>
  <si>
    <t>IS4_0.05D/0.6G</t>
  </si>
  <si>
    <t>IDVG_0.7V_COARSE_SML</t>
  </si>
  <si>
    <t>IS4_0.7D/0.7G</t>
  </si>
  <si>
    <t>IS4_0.7D/0.8G</t>
  </si>
  <si>
    <t>IS4_0.7D/0.9G</t>
  </si>
  <si>
    <t>IS4_0.7D/0.6G</t>
  </si>
  <si>
    <t>IS4_0.7D/0.35G</t>
  </si>
  <si>
    <t>ISHI4_IFS_0.7_SML</t>
  </si>
  <si>
    <t>IS4_0.35D/0.7G</t>
  </si>
  <si>
    <t>ISLO4_0.7_SML</t>
  </si>
  <si>
    <t>0.425V</t>
  </si>
  <si>
    <t>ISHI4_0.7_SML</t>
  </si>
  <si>
    <t>IS4_0.425D/0.7G</t>
  </si>
  <si>
    <t>ISEFF4_IFS_0.7</t>
  </si>
  <si>
    <t>ISEFF4_IFS</t>
  </si>
  <si>
    <t>VTGM4_0.7D_COARSE</t>
  </si>
  <si>
    <t>VTGM4_0.7D_FINE_SML</t>
  </si>
  <si>
    <t>VTGM4_0.7D</t>
  </si>
  <si>
    <t>VTCC4_0.7D/1E-7_COARSE</t>
  </si>
  <si>
    <t>VTCC4_0.7D/1E-7_FINE_SML</t>
  </si>
  <si>
    <t>VTCC4_0.7D/1E-7</t>
  </si>
  <si>
    <t>VTCC4_0.7D/1E-8_COARSE</t>
  </si>
  <si>
    <t>VTCC4_0.7D/1E-8_FINE_SML</t>
  </si>
  <si>
    <t>VTCC4_0.7D/1E-8</t>
  </si>
  <si>
    <t>IS4_0.7D/VTCC_0.7D/1E-8_-10</t>
  </si>
  <si>
    <t>IS4_0.7D/VTCC_0.7D/1E-8_-20</t>
  </si>
  <si>
    <t>IS4_0.7D/VTCC_0.7D/1E-8_-30</t>
  </si>
  <si>
    <t>IS4_0.7D/VTCC_0.7D/1E-8_-40</t>
  </si>
  <si>
    <t>IS4_0.7D/VTCC_0.7D/1E-8_-50</t>
  </si>
  <si>
    <t>SSC_0.7D/1E-8</t>
  </si>
  <si>
    <t>RSS_0.7D/1E-8</t>
  </si>
  <si>
    <t>SSC_0.7D/1E-8_2</t>
  </si>
  <si>
    <t>SS4_0.7D_COARSE</t>
  </si>
  <si>
    <t>VG_SS_0.7D_COARSE</t>
  </si>
  <si>
    <t>DBL4_0.7D</t>
  </si>
  <si>
    <t>DBLCC4_1E-8_0.7D</t>
  </si>
  <si>
    <t>DBLCC4_1E-7_0.7D</t>
  </si>
  <si>
    <t>LS_0.7D/VTGM-0.6G</t>
  </si>
  <si>
    <t>LD_0.7D/VTGM-0.6G</t>
  </si>
  <si>
    <t>KEY_LOGIC_0.7V_HV</t>
  </si>
  <si>
    <t>IDVG_0.7V_COARSE_SML_HV</t>
  </si>
  <si>
    <t>0.9V .. 0.7V x 0.1V</t>
  </si>
  <si>
    <t>KEY_LOGIC_ID+VT_0.7V</t>
  </si>
  <si>
    <t>VTGM4_0.05D + 0.7V</t>
  </si>
  <si>
    <t>IS4_0.05D/VTGM+0.7G</t>
  </si>
  <si>
    <t>ID_0.7D_VTGM_SML_2</t>
  </si>
  <si>
    <t>(VTGM4_0.05D + 0.3) .. (VTGM4_0.05D + 0.15) x 0.15</t>
  </si>
  <si>
    <t>IS4_0.7D/VTGM+0.15G</t>
  </si>
  <si>
    <t>IS4_0.7D/VTGM+0.3G</t>
  </si>
  <si>
    <t>IS4_0.05D/VTCC_0.05D+0.7G</t>
  </si>
  <si>
    <t>VTCC4_0.05D/1E-7 + 0.7V</t>
  </si>
  <si>
    <t>ID_0.05D_VTCC_0.7D_SML_1</t>
  </si>
  <si>
    <t>(VTCC4_0.7D/1E-7 + 0.3V) .. (VTCC4_0.7D/1E-7 + 0.15V) x 0.15V</t>
  </si>
  <si>
    <t>ID_0.05D_VTCC_0.7D_SML_2</t>
  </si>
  <si>
    <t>(VTCC4_0.7D/1E-7 + 0.85) .. (VTCC4_0.7D/1E-7 + 0.65) x 0.1</t>
  </si>
  <si>
    <t>IS4_0.05D/VTCC_0.7D+0.15G</t>
  </si>
  <si>
    <t>VTCC4_0.7D/1E-7 + 0.15V</t>
  </si>
  <si>
    <t>IS4_0.05D/VTCC_0.7D+0.3G</t>
  </si>
  <si>
    <t>VTCC4_0.7D/1E-7 + 0.3V</t>
  </si>
  <si>
    <t>IS4_0.05D/VTCC_0.7D+0.65G</t>
  </si>
  <si>
    <t>VTCC4_0.7D/1E-7 + 0.65</t>
  </si>
  <si>
    <t>IS4_0.05D/VTCC_0.7D+0.7G</t>
  </si>
  <si>
    <t>VTCC4_0.7D/1E-7 + 0.7</t>
  </si>
  <si>
    <t>IS4_0.05D/VTCC_0.7D+0.85G</t>
  </si>
  <si>
    <t>VTCC4_0.7D/1E-7 + 0.85</t>
  </si>
  <si>
    <t>ID_0.7D_VTCC_0.7D_SML_1</t>
  </si>
  <si>
    <t>(VTCC4_0.7D/1E-7 + 0.3) .. (VTCC4_0.7D/1E-7 + 0.15) x 0.15</t>
  </si>
  <si>
    <t>ID_0.7D_VTCC_0.7D_SML_2</t>
  </si>
  <si>
    <t>(VTCC4_0.7D/1E-7 + 0.7) .. (VTCC4_0.7D/1E-7 + 0.65) x 0.05</t>
  </si>
  <si>
    <t>IS4_0.7D/VTCC_0.7D+0.15G</t>
  </si>
  <si>
    <t>VTCC4_0.7D/1E-7 + 0.15</t>
  </si>
  <si>
    <t>IS4_0.7D/VTCC_0.7D+0.3G</t>
  </si>
  <si>
    <t>VTCC4_0.7D/1E-7 + 0.3</t>
  </si>
  <si>
    <t>IS4_0.7D/VTCC_0.7D+0.65G</t>
  </si>
  <si>
    <t>IS4_0.7D/VTCC_0.7D+0.7G</t>
  </si>
  <si>
    <t>ID_0.7D_VTGM_SML_1</t>
  </si>
  <si>
    <t>VTGM4_0.05D + 0.7</t>
  </si>
  <si>
    <t>IS4_0.7D/VTGM+0.7G</t>
  </si>
  <si>
    <t>RODLIN_0.7</t>
  </si>
  <si>
    <t>RCH_SP_0.7</t>
  </si>
  <si>
    <t>KEY_LOGIC_1.1V_SAFE</t>
  </si>
  <si>
    <t>KEY_LOGIC_BASIC_0.7V</t>
  </si>
  <si>
    <t>forceemas</t>
  </si>
  <si>
    <t>VTCC4_0.7D/1e-7</t>
  </si>
  <si>
    <t>0.7… -0.2 x 0.05V</t>
  </si>
  <si>
    <t>ID4_0.7D/0.7G</t>
  </si>
  <si>
    <t>ID4_0.05D/VTCC_0.05D+0.7G</t>
  </si>
  <si>
    <t>ID4_0.7D/VTCC_0.7D+0.3G</t>
  </si>
  <si>
    <t>ID4_0.7D/VTCC_0.7D+0.7G</t>
  </si>
  <si>
    <t>KEY_LOGIC_SLIM_0.7V_S/D</t>
  </si>
  <si>
    <t>IDLIN4_0.7_SML</t>
  </si>
  <si>
    <t>ID4_0.05D/0.7G</t>
  </si>
  <si>
    <t>IDVG_0.7_COARSE_SML</t>
  </si>
  <si>
    <t>0.7 … -0.2 x0.05</t>
  </si>
  <si>
    <t>ID4_0.7D/0.35G</t>
  </si>
  <si>
    <t>ID4_0.35D/0.7G</t>
  </si>
  <si>
    <t>IDEFF4_IFS_0.7</t>
  </si>
  <si>
    <t>ID4_0.7D/0.425G</t>
  </si>
  <si>
    <t>ID4_0.425D/0.7G</t>
  </si>
  <si>
    <t>IDEFF4_0.7</t>
  </si>
  <si>
    <t>VTCC4_0.7D/5E-7_COARSE</t>
  </si>
  <si>
    <t>VTCC4_0.7D/5E-7_FINE_SML</t>
  </si>
  <si>
    <t>VTCC4_0.7D/5E-7+0.05 … VTCC4_0.7D/5E-7-0.05 x 0.01</t>
  </si>
  <si>
    <t>VTCC4_0.7D/5E-7</t>
  </si>
  <si>
    <t>VTCC4_0.7D/1E-7+0.05 … VTCC4_0.7D/1E-7-0.05 x 0.01</t>
  </si>
  <si>
    <t>VTCC4_0.7D/1E-8+0.05 … VTCC4_0.7D/1E-8-0.05 x 0.01</t>
  </si>
  <si>
    <t>ID_0.05D_VTCC_0.05D_0.7V_1</t>
  </si>
  <si>
    <t>VTCC4_0.05D/1E-7+0.7</t>
  </si>
  <si>
    <t>VTCC4_0.7D/1E-7+0.7 … VTCC4_0.7D/1E-7+0.3 x 0.4</t>
  </si>
  <si>
    <t>1V …... -0.2V x 0.05V</t>
  </si>
  <si>
    <t>KEY_LOGIC_GM_RO_LLE</t>
  </si>
  <si>
    <t>(VTGM4_0.05D + 0.15) .. (VTGM4_0.05D ) x 0.15</t>
  </si>
  <si>
    <t>(VTGM4_0.05D + 0.2) .. (VTGM4_0.05D + 0.05) x 0.05</t>
  </si>
  <si>
    <t>(VTGM4_0.05D + 0.15) .. (VTGM4_0.05D) x 0.15</t>
  </si>
  <si>
    <t>ID4_0.2D/VTGM+0G</t>
  </si>
  <si>
    <t>VTGM4_0.05D + 0</t>
  </si>
  <si>
    <t>ID4_0.25D/VTGM+0G</t>
  </si>
  <si>
    <t>ID4_0.3D/VTGM-0.05G</t>
  </si>
  <si>
    <t>VTGM4_0.05D - 0.05</t>
  </si>
  <si>
    <t>ID4_0.3D/VTGM+0G</t>
  </si>
  <si>
    <t>ID4_0.35D/VTGM+0G</t>
  </si>
  <si>
    <t>ID4_0.4D/VTGM+0G</t>
  </si>
  <si>
    <t>GM_0.3D/VTGM+0G</t>
  </si>
  <si>
    <t>RO_0.3D/VTGM+0G(_5PT)</t>
  </si>
  <si>
    <t>GM_RO_0.3D/VTGM+0G(_5PT)</t>
  </si>
  <si>
    <t>GM/ID_0.3D/VTGM+0G</t>
  </si>
  <si>
    <t>RO_ID_0.3D/VTGM+0G(_5PT)</t>
  </si>
  <si>
    <t>3300ms (including KEY_LOGIC_LLE)</t>
  </si>
  <si>
    <t>SLIM</t>
  </si>
  <si>
    <t>LLE</t>
  </si>
  <si>
    <t>MAT10P_LOGIC_GM_RO_PDK_S/D</t>
  </si>
  <si>
    <t>GM_0.3D/VTGM+0.3G</t>
  </si>
  <si>
    <t>GM_0.65D/VTGM+0.15G</t>
  </si>
  <si>
    <t>GM_0.65D/VTGM+0.1G</t>
  </si>
  <si>
    <t>GM_0.65D/VTGM+0.3G</t>
  </si>
  <si>
    <t>RO_0.3D/VTGM+0.3G</t>
  </si>
  <si>
    <t>RO_0.65D/VTGM+0.15G</t>
  </si>
  <si>
    <t>RO_0.65D/VTGM+0.1G</t>
  </si>
  <si>
    <t>RO_0.65D/VTGM+0.3G</t>
  </si>
  <si>
    <t>MAT10P_LOGIC_LOWBIAS_S/D</t>
  </si>
  <si>
    <t>VTCC4_0.3D/1E-7</t>
  </si>
  <si>
    <t>VTCC4_0.4D/1E-7</t>
  </si>
  <si>
    <t>VTCC4_0.5D/1E-7</t>
  </si>
  <si>
    <t>ID4_0.05D/0.3G</t>
  </si>
  <si>
    <t>ID4_0.05D/0.4G</t>
  </si>
  <si>
    <t>ID4_0.05D/0.5G</t>
  </si>
  <si>
    <t>IS4_0.05D/0.3G</t>
  </si>
  <si>
    <t>IS4_0.05D/0.4G</t>
  </si>
  <si>
    <t>IS4_0.05D/0.5G</t>
  </si>
  <si>
    <t>LD_0.3D/0G</t>
  </si>
  <si>
    <t>LS_0.3D/0G</t>
  </si>
  <si>
    <t>LG_0.3D/0G</t>
  </si>
  <si>
    <t>LD_0.4D/0G</t>
  </si>
  <si>
    <t>LS_0.4D/0G</t>
  </si>
  <si>
    <t>LG_0.4D/0G</t>
  </si>
  <si>
    <t>LD_0.5D/0G</t>
  </si>
  <si>
    <t>LS_0.5D/0G</t>
  </si>
  <si>
    <t>LG_0.5D/0G</t>
  </si>
  <si>
    <t>ID4_0.3D/0.3G</t>
  </si>
  <si>
    <t>ID4_0.4D/0.4G</t>
  </si>
  <si>
    <t>ID4_0.5D/0.5G</t>
  </si>
  <si>
    <t>IS4_0.3D/0.3G</t>
  </si>
  <si>
    <t>IS4_0.4D/0.4G</t>
  </si>
  <si>
    <t>IS4_0.5D/0.5G</t>
  </si>
  <si>
    <t>→</t>
  </si>
  <si>
    <t>MAT10P_LOGIC_WORKING_S</t>
  </si>
  <si>
    <t>MAT10P_LOGIC_WORKING_D</t>
  </si>
  <si>
    <t>MAT10P_LOGIC_LINEAR_S</t>
  </si>
  <si>
    <t>MAT10P_LOGIC_LINEAR_D</t>
  </si>
  <si>
    <t>MAT10P_LOGIC_LOWBIAS_S</t>
  </si>
  <si>
    <t>MAT10P_LOGIC_LOWBIAS_D</t>
  </si>
  <si>
    <t>MAT10P_LOGIC_0.65V_S</t>
  </si>
  <si>
    <t>MAT10P_LOGIC_0.65V_D</t>
  </si>
  <si>
    <t>MAT10P_LOGIC_ID+VT_0.65V_S</t>
  </si>
  <si>
    <t>MAT10P_LOGIC_ID+VT_0.65V_D</t>
  </si>
  <si>
    <t>MAT10P_LOGIC_X_0.65V_S</t>
  </si>
  <si>
    <t>MAT10P_LOGIC_X_0.65V_D</t>
  </si>
  <si>
    <t>MAT10P_LOGIC_GM_RO_S</t>
  </si>
  <si>
    <t>MAT10P_LOGIC_GM_RO_D</t>
  </si>
  <si>
    <t>MAT10P_LOGIC_GM_RO_PDK_S</t>
  </si>
  <si>
    <t>MAT10P_LOGIC_GM_RO_PDK_D</t>
  </si>
  <si>
    <t>MAT10P_LOGIC_SLIM_0.55V_S</t>
  </si>
  <si>
    <t>MAT10P_LOGIC_SLIM_0.55V_D</t>
  </si>
  <si>
    <t>MAT10P_LOGIC_0.95V_TRIM_S</t>
  </si>
  <si>
    <t>MAT10P_LOGIC_0.95V_TRIM_D</t>
  </si>
  <si>
    <t>MAT10P_LOGIC_1.1V_S</t>
  </si>
  <si>
    <t>MAT10P_LOGIC_1.1V_D</t>
  </si>
  <si>
    <t>MAT10P_LOGIC_ID+VT_1.1V_S</t>
  </si>
  <si>
    <t>MAT10P_LOGIC_ID+VT_1.1V_D</t>
  </si>
  <si>
    <t>MAT10P_LOGIC_1.1V_TRIM_S</t>
  </si>
  <si>
    <t>MAT10P_LOGIC_1.1V_TRIM_D</t>
  </si>
  <si>
    <t>MAT10P_LOGIC_SUITE_S</t>
  </si>
  <si>
    <t>combo of →</t>
  </si>
  <si>
    <t>MAT_LOGIC_DEFECT_NO_FILTER</t>
  </si>
  <si>
    <t>MAT10P_LOGIC_SUITE_D</t>
  </si>
  <si>
    <t>MAT_LOGIC_WORKING_S/D</t>
  </si>
  <si>
    <t>MAT_LOGIC_LINEAR_S/D</t>
  </si>
  <si>
    <t>MAT_LOGIC_0.65V_S/D</t>
  </si>
  <si>
    <t>MAT_LOGIC_ID+VT_0.65V_S/D</t>
  </si>
  <si>
    <t>MAT_LOGIC_X_0.65V_S/D</t>
  </si>
  <si>
    <t>MAT_LOGIC_GM_RO_S/D</t>
  </si>
  <si>
    <t>MAT_LOGIC_SLIM_0.55V_S/D</t>
  </si>
  <si>
    <t>MAT_LOGIC_0.95V_TRIM_S/D</t>
  </si>
  <si>
    <t>MAT_LOGIC_1.1V_S/D</t>
  </si>
  <si>
    <t>MAT_LOGIC_ID+VT_1.1V_S/D</t>
  </si>
  <si>
    <t>KEY_LOGIC_FKTCN_SUITE</t>
  </si>
  <si>
    <t>KEY_LOGIC_DEFECT_FKTCN</t>
  </si>
  <si>
    <t>KEY_LOGIC_WORKING_FKTCN_S</t>
  </si>
  <si>
    <t>KEY_LOGIC_LINEAR_FKTCN_S</t>
  </si>
  <si>
    <t>KEY_LOGIC_0.65V_FKTCN_S</t>
  </si>
  <si>
    <t>KEY_LOGIC_ID+VT_0.65V_FKTCN_S</t>
  </si>
  <si>
    <t>KEY_LOGIC_X_0.65V_FKTCN_S</t>
  </si>
  <si>
    <t>KEY_LOGIC_FKTCN_SUITE_S</t>
  </si>
  <si>
    <t>KEY_LOGIC_WORKING_FKTCN_D</t>
  </si>
  <si>
    <t>KEY_LOGIC_LINEAR_FKTCN_D</t>
  </si>
  <si>
    <t>KEY_LOGIC_0.65V_FKTCN_D</t>
  </si>
  <si>
    <t>KEY_LOGIC_ID+VT_0.65V_FKTCN_D</t>
  </si>
  <si>
    <t>KEY_LOGIC_X_0.65V_FKTCN_D</t>
  </si>
  <si>
    <t>KEY_LOGIC_FKTCN_SUITE_D</t>
  </si>
  <si>
    <t>KEY_TG_FKTCN_SUITE</t>
  </si>
  <si>
    <t>KEY_TG_TOPEX_FKTCN</t>
  </si>
  <si>
    <t>KEY_TG_DEFECT_FKTCN_S</t>
  </si>
  <si>
    <t>KEY_TG_WORKING_FKTCN_S</t>
  </si>
  <si>
    <t>KEY_TG_PERFORMANCE_FKTCN_S</t>
  </si>
  <si>
    <t>KEY_TG_FKTCN_S</t>
  </si>
  <si>
    <t>KEY_TG_X_1.2V_FKTCN_S</t>
  </si>
  <si>
    <t>KEY_TG_GM_RO_FKTCN_S</t>
  </si>
  <si>
    <t>KEY_TG_X_1.1V_FKTCN_S</t>
  </si>
  <si>
    <t>KEY_TG_FKTCN_SUITE_S</t>
  </si>
  <si>
    <t>KEY_TG_DEFECT_FKTCN_D</t>
  </si>
  <si>
    <t>KEY_TG_WORKING_FKTCN_D</t>
  </si>
  <si>
    <t>KEY_TG_PERFORMANCE_FKTCN_D</t>
  </si>
  <si>
    <t>KEY_TG_FKTCN_D</t>
  </si>
  <si>
    <t>KEY_TG_X_1.2V_FKTCN_D</t>
  </si>
  <si>
    <t>KEY_TG_GM_RO_FKTCN_D</t>
  </si>
  <si>
    <t>KEY_TG_X_1.1V_FKTCN_D</t>
  </si>
  <si>
    <t>KEY_TG_FKTCN_SUITE_D</t>
  </si>
  <si>
    <t>KEY_TG_SUITE</t>
  </si>
  <si>
    <t>KEY_TG_TOPEX</t>
  </si>
  <si>
    <t>KEY_TG_DEFECT_S</t>
  </si>
  <si>
    <t>KEY_TG_WORKING_S</t>
  </si>
  <si>
    <t>KEY_TG_PERFORMANCE_S</t>
  </si>
  <si>
    <t>KEY_TG_S</t>
  </si>
  <si>
    <t>KEY_TG_X_1.2V_S</t>
  </si>
  <si>
    <t>KEY_TG_GM_RO_S</t>
  </si>
  <si>
    <t>KEY_TG_X_1.1V_S</t>
  </si>
  <si>
    <t>KEY_TG_SUITE_S</t>
  </si>
  <si>
    <t>KEY_TG_DEFECT_D</t>
  </si>
  <si>
    <t>KEY_TG_WORKING_D</t>
  </si>
  <si>
    <t>KEY_TG_PERFORMANCE_D</t>
  </si>
  <si>
    <t>KEY_TG_D</t>
  </si>
  <si>
    <t>KEY_TG_X_1.2V_D</t>
  </si>
  <si>
    <t>KEY_TG_GM_RO_D</t>
  </si>
  <si>
    <t>KEY_TG_X_1.1V_D</t>
  </si>
  <si>
    <t>KEY_TG_SUITE_D</t>
  </si>
  <si>
    <t>Proposal</t>
  </si>
  <si>
    <t>Highest VD (V)</t>
  </si>
  <si>
    <t>X78A</t>
  </si>
  <si>
    <t>X78B (today)</t>
  </si>
  <si>
    <t>DF_M0</t>
  </si>
  <si>
    <t>DF1</t>
  </si>
  <si>
    <t>DF_PAD</t>
  </si>
  <si>
    <t>DS_M0</t>
  </si>
  <si>
    <t>DS1</t>
  </si>
  <si>
    <t>DS_PAD</t>
  </si>
  <si>
    <t>Z1 LVT</t>
  </si>
  <si>
    <t>0.21 nA NMOS</t>
  </si>
  <si>
    <t>GATE_M0</t>
  </si>
  <si>
    <t>0.16 nA PMOS</t>
  </si>
  <si>
    <t>GATE1</t>
  </si>
  <si>
    <t>GATE_PAD</t>
  </si>
  <si>
    <t>SF_M0</t>
  </si>
  <si>
    <t>SF1</t>
  </si>
  <si>
    <t>SF_PAD</t>
  </si>
  <si>
    <t>KEY_LOGIC_WORKING_D_GND</t>
  </si>
  <si>
    <t>SS_M0</t>
  </si>
  <si>
    <t>KEY_LOGIC_LINEAR_D_GND</t>
  </si>
  <si>
    <t>SS1</t>
  </si>
  <si>
    <t>KEY_LOGIC_0.65V_D_GND</t>
  </si>
  <si>
    <t>SS_PAD</t>
  </si>
  <si>
    <t>KEY_LOGIC_ID+VT_0.65V_D_GND</t>
  </si>
  <si>
    <t>KEY_LOGIC_X_0.65V_D_GND</t>
  </si>
  <si>
    <t>KEY_LOGIC_GM_RO_D_GND</t>
  </si>
  <si>
    <t>KEY_LOGIC_VGNA_D_GND</t>
  </si>
  <si>
    <t>KEY_LOGIC_AUTOBIAS_0.65V_D_GND</t>
  </si>
  <si>
    <t>KEY_LOGIC_0.95V_TRIM_D_GND</t>
  </si>
  <si>
    <t>KEY_LOGIC_AUTOBIAS_0.95V_D_GND</t>
  </si>
  <si>
    <t>KEY_LOGIC_1.1V_D_GND</t>
  </si>
  <si>
    <t>KEY_LOGIC_ID+VT_1.1V_D_GND</t>
  </si>
  <si>
    <t>KEY_LOGIC_1.1V_TRIM_D_GND</t>
  </si>
  <si>
    <t>KEY_LOGIC_AUTOBIAS_1.1V_D_GND</t>
  </si>
  <si>
    <t>KEY_LOGIC_SUITE_D_GND</t>
  </si>
  <si>
    <t>MAT10P_LOGIC_VTGM_S</t>
  </si>
  <si>
    <t>MAT10P_LOGIC_PERFORMANCE_S</t>
  </si>
  <si>
    <t>MAT10P_AUTOBIAS_0.65V_S</t>
  </si>
  <si>
    <t>MAT10P_AUTOBIAS_0.65V_S_X78A</t>
  </si>
  <si>
    <t>MAT10P_AUTOBIAS_0.95V_S</t>
  </si>
  <si>
    <t>MAT10P_AUTOBIAS_0.95V_S_X78A</t>
  </si>
  <si>
    <t>MAT10P_AUTOBIAS_1.1V_S</t>
  </si>
  <si>
    <t>MAT10P_AUTOBIAS_1.1V_S_X78A</t>
  </si>
  <si>
    <t>MAT10P_LOGIC_TOPEX_D</t>
  </si>
  <si>
    <t>MAT10P_LOGIC_VTGM_D</t>
  </si>
  <si>
    <t>MAT10P_LOGIC_PERFORMANCE_D</t>
  </si>
  <si>
    <t>MAT10P_AUTOBIAS_0.65V_D</t>
  </si>
  <si>
    <t>MAT10P_AUTOBIAS_0.65V_D_X78A</t>
  </si>
  <si>
    <t>MAT10P_AUTOBIAS_0.95V_D</t>
  </si>
  <si>
    <t>MAT10P_AUTOBIAS_0.95V_D_X78A</t>
  </si>
  <si>
    <t>MAT10P_AUTOBIAS_1.1V_D</t>
  </si>
  <si>
    <t>MAT10P_AUTOBIAS_1.1V_D_X78A</t>
  </si>
  <si>
    <t>MAT10P_LOGIC_VTGM</t>
  </si>
  <si>
    <t>ISLIN4_1.1_SML (X78A)</t>
  </si>
  <si>
    <t>IS4_0.05D/1.1G (X78A)</t>
  </si>
  <si>
    <t>ID4_0.05D/1.1G (X78A)</t>
  </si>
  <si>
    <t>ISSAT4_1.1_SML (X78A)</t>
  </si>
  <si>
    <t>IS4_0.65D/1.1G (X78A)</t>
  </si>
  <si>
    <t>ID4_0.65D/1.1G (X78A)</t>
  </si>
  <si>
    <t>ID_0.05D_VTGM_SML1</t>
  </si>
  <si>
    <t>VTGM4_0.05D + 0.3V .. VTGM4_0.05D + 0.15V x 0.15V</t>
  </si>
  <si>
    <t>ID_0.05D_VTGM_SML2</t>
  </si>
  <si>
    <t>ID_0.65D_VTGM_SML1</t>
  </si>
  <si>
    <t>ID_0.65D_VTGM_SML2</t>
  </si>
  <si>
    <t>MAT10P_LOGIC_GM_RO</t>
  </si>
  <si>
    <t>MAT10P_LOGIC_0.95V_TRIM</t>
  </si>
  <si>
    <t>forcemeas2</t>
  </si>
  <si>
    <t>ID4_0.05D/0.95G_SML</t>
  </si>
  <si>
    <t>IS4_0.95D/0.95G_SML</t>
  </si>
  <si>
    <t>IS4_0.95D/0.55G_SML</t>
  </si>
  <si>
    <t>ID4_0.55D/0.95G_SML</t>
  </si>
  <si>
    <t>ID4_0.55D/0.95G</t>
  </si>
  <si>
    <t>DELTA_IS4_1.1D/1.1G</t>
  </si>
  <si>
    <t>DELTA_LOG_LS_1.1D/0G</t>
  </si>
  <si>
    <t>D124FY60</t>
  </si>
  <si>
    <t>MAT10P_AUTOBIAS_0.65V</t>
  </si>
  <si>
    <t>VG_0.65D/0.21NA</t>
  </si>
  <si>
    <t>0.65 … -0.4V x 0.01V</t>
  </si>
  <si>
    <t>VG_NA+0.65</t>
  </si>
  <si>
    <t>IS4_0.05D/VG_NA+0.65G</t>
  </si>
  <si>
    <t>VG_NA+0.4</t>
  </si>
  <si>
    <t>IS4_0.65D/VG_NA+0.4</t>
  </si>
  <si>
    <t>ISHI4_0.65_NA_SM</t>
  </si>
  <si>
    <t>IS4_0.4D/VG_NA+0.65</t>
  </si>
  <si>
    <t>IS4_0.65D/VG_NA+0.65</t>
  </si>
  <si>
    <t>Testname</t>
  </si>
  <si>
    <t>CRITMOS</t>
  </si>
  <si>
    <t>MOS_SLIM</t>
  </si>
  <si>
    <t>MLR Devices</t>
  </si>
  <si>
    <t>TestName</t>
  </si>
  <si>
    <t>D</t>
  </si>
  <si>
    <t>S</t>
  </si>
  <si>
    <t>IG_B_1.1G</t>
  </si>
  <si>
    <t xml:space="preserve">IG_D_1.1G </t>
  </si>
  <si>
    <t>MOSVT TYPE</t>
  </si>
  <si>
    <t>In Catalog</t>
  </si>
  <si>
    <t>LVT</t>
  </si>
  <si>
    <t>SVT</t>
  </si>
  <si>
    <t>HVT</t>
  </si>
  <si>
    <t>Z1</t>
  </si>
  <si>
    <t>Z2</t>
  </si>
  <si>
    <t>Z3</t>
  </si>
  <si>
    <t>Z1-2LG</t>
  </si>
  <si>
    <t>Z2-2LG</t>
  </si>
  <si>
    <t>Z3-LG</t>
  </si>
  <si>
    <t>1e9 * AUTOBIAS WIDTH</t>
  </si>
  <si>
    <t>X78B</t>
  </si>
  <si>
    <t>ULVT</t>
  </si>
  <si>
    <t>X78ZB TG</t>
  </si>
  <si>
    <t>1e9*AUTOBIOS WIDTH</t>
  </si>
  <si>
    <t>VD_Stress_N</t>
  </si>
  <si>
    <t>VG_Stress_N</t>
  </si>
  <si>
    <t>VS_Stress_N</t>
  </si>
  <si>
    <t>VD_Stress_P</t>
  </si>
  <si>
    <t>VG_Stress_P</t>
  </si>
  <si>
    <t>VS_Stress_P</t>
  </si>
  <si>
    <t>HCI_HIVDB</t>
  </si>
  <si>
    <t>JL</t>
  </si>
  <si>
    <t>NA</t>
  </si>
  <si>
    <t>JL_VG0</t>
  </si>
  <si>
    <t>-2.9V</t>
  </si>
  <si>
    <t>TESTNAME</t>
  </si>
  <si>
    <t>VGS</t>
  </si>
  <si>
    <t>VDS</t>
  </si>
  <si>
    <t>(VTGM+0.1)-(VTGM+0.2)</t>
  </si>
  <si>
    <t>(0.2V)-(0.4V)</t>
  </si>
  <si>
    <t>(VTGM+0.1)-(VTGM+0.3)</t>
  </si>
  <si>
    <t>GM_0.6D/VTGM+0.2G</t>
  </si>
  <si>
    <t>RO_0.6D/VTGM+0.2G</t>
  </si>
  <si>
    <t>(0.5V)-(0.7V)</t>
  </si>
  <si>
    <t>GM_0.6D/VTGM+0.4G</t>
  </si>
  <si>
    <t>(VTGM+0.3)-(VTGM+0.5)</t>
  </si>
  <si>
    <t>RO_0.6D/VTGM+0.4G</t>
  </si>
  <si>
    <t>VTGM+0.4</t>
  </si>
  <si>
    <t>GM_0.9D/VTGM+0.2G</t>
  </si>
  <si>
    <t>RO_0.9D/VTGM+0.2G</t>
  </si>
  <si>
    <t>(0.8V)-(1V)</t>
  </si>
  <si>
    <t>GM_0.9D/VTGM+0.4G</t>
  </si>
  <si>
    <t>RO_0.9D/VTGM+0.4G</t>
  </si>
  <si>
    <t>X78B KTCN</t>
  </si>
  <si>
    <t>VF=0.85/1.1/1.2V</t>
  </si>
  <si>
    <t>X78C KTCN</t>
  </si>
  <si>
    <t>HD_LOGIC_BASIC</t>
  </si>
  <si>
    <t>VTGM_LIN_TEST</t>
  </si>
  <si>
    <t>ID_LIN_0.65V_TEST</t>
  </si>
  <si>
    <t>ID_LIN_1.1V_TEST</t>
  </si>
  <si>
    <t>VTCC_LIN_FINE_TEST</t>
  </si>
  <si>
    <t>ID_LIN_FOD_0.65G_TEST</t>
  </si>
  <si>
    <t>ID_LIN_FOD_0.3G_TEST</t>
  </si>
  <si>
    <t>HD_LOGIC_BETA</t>
  </si>
  <si>
    <t>BETA_TEST</t>
  </si>
  <si>
    <t>REXT_TES</t>
  </si>
  <si>
    <t>REXT4_0.05D</t>
  </si>
  <si>
    <t>HD_LOGIC_SHORT</t>
  </si>
  <si>
    <t>ID_SAT_1.1V_TEST</t>
  </si>
  <si>
    <t>ID_SAT_0.65V_TEST</t>
  </si>
  <si>
    <t>HD_LOGIC_LONG</t>
  </si>
  <si>
    <t>VTCC_SAT_FINE_TEST</t>
  </si>
  <si>
    <t>ID_SAT_FOD_0.65G_TEST</t>
  </si>
  <si>
    <t>ID_SAT_FOD_0.3G_TEST</t>
  </si>
  <si>
    <t>HD_LOGIC_LIN_2PT</t>
  </si>
  <si>
    <t>VTGM2_0.05D</t>
  </si>
  <si>
    <t>GM2_0.05D</t>
  </si>
  <si>
    <t>ID2_0.05D/GM</t>
  </si>
  <si>
    <t>VTCC2_0.05D/1E-7</t>
  </si>
  <si>
    <t>ID2_0.05D/0.65G</t>
  </si>
  <si>
    <t>IS2_0.05D/0.65G</t>
  </si>
  <si>
    <t>ID2_0.05D/1.1G</t>
  </si>
  <si>
    <t>IS2_0.05D/1.1G</t>
  </si>
  <si>
    <t>LD_0.05D/0G</t>
  </si>
  <si>
    <t>LS_0.05D/0G</t>
  </si>
  <si>
    <t>ID2_0.05D/VTCC_0.05D+0.3G</t>
  </si>
  <si>
    <t>ID2_0.05D/VTCC_0.05D+0.65G</t>
  </si>
  <si>
    <t>IS2_0.05D/VTCC_0.05D+0.3G</t>
  </si>
  <si>
    <t>IS2_0.05D/VTCC_0.05D+0.65G</t>
  </si>
  <si>
    <t>ID2_0.05D/VTGM_0.05D+0.3G</t>
  </si>
  <si>
    <t>ID2_0.05D/VTGM_0.05D+0.65G</t>
  </si>
  <si>
    <t>IS2_0.05D/VTGM_0.05D+0.3G</t>
  </si>
  <si>
    <t>IS2_0.05D/VTGM_0.05D+0.65G</t>
  </si>
  <si>
    <t>BETA2_0.05D</t>
  </si>
  <si>
    <t>REXT2_0.05D</t>
  </si>
  <si>
    <t>VTB2_0.05D</t>
  </si>
  <si>
    <t>HD_LOGIC_SAT_2PT</t>
  </si>
  <si>
    <t>VTGM2_0.65D</t>
  </si>
  <si>
    <t>GM2_0.65D</t>
  </si>
  <si>
    <t>ID2_0.65D/GM</t>
  </si>
  <si>
    <t>VTCC2_0.65D/1E-7</t>
  </si>
  <si>
    <t>ID2_0.65D/0.65G</t>
  </si>
  <si>
    <t>IS2_0.65D/0.65G</t>
  </si>
  <si>
    <t>ID2_0.65D/1.1G</t>
  </si>
  <si>
    <t>IS2_0.65D/1.1G</t>
  </si>
  <si>
    <t>ID2_0.65D/VTCC_0.65D+0.3G</t>
  </si>
  <si>
    <t>ID2_0.65D/VTCC_0.65D+0.65G</t>
  </si>
  <si>
    <t>IS2_0.65D/VTCC_0.65D+0.3G</t>
  </si>
  <si>
    <t>IS2_0.65D/VTCC_0.65D+0.65G</t>
  </si>
  <si>
    <t>ID2_0.65D/VTGM_0.65D+0.3G</t>
  </si>
  <si>
    <t>ID2_0.65D/VTGM_0.65D+0.65G</t>
  </si>
  <si>
    <t>IS2_0.65D/VTGM_0.65D+0.3G</t>
  </si>
  <si>
    <t>IS2_0.65D/VTGM_0.65D+0.65G</t>
  </si>
  <si>
    <t>DBLCC2_0.65D/1E-07</t>
  </si>
  <si>
    <t>DBL2_0.65D</t>
  </si>
  <si>
    <t>Test Times</t>
  </si>
  <si>
    <t>0.5 min/row/die</t>
  </si>
  <si>
    <t>LIN</t>
  </si>
  <si>
    <t>SAT</t>
  </si>
  <si>
    <t>HD_LOGIC_ID+VT_LIN_2PT_D</t>
  </si>
  <si>
    <t>ID2_0.05D/VTCC_0.05D+0.85G</t>
  </si>
  <si>
    <t>ID2_0.05D/VTCC_0.05D+0.90G</t>
  </si>
  <si>
    <t>ID2_0.05D/VTCC_0.05D+0.95G</t>
  </si>
  <si>
    <t>ID2_0.05D/VTCC_0.05D+1.0G</t>
  </si>
  <si>
    <t>ID2_0.05D/VTCC_0.05D+1.05G</t>
  </si>
  <si>
    <t>ID2_0.05D/VTCC_0.05D+1.1G</t>
  </si>
  <si>
    <t>HD_LOGIC_GM_RO_2PT_D</t>
  </si>
  <si>
    <t>ID2_0.3D/VTGM+0.2G</t>
  </si>
  <si>
    <t>ID2_0.3D/VTGM+0.1G</t>
  </si>
  <si>
    <t>ID2_0.35D/VTGM+0.15G</t>
  </si>
  <si>
    <t>ID2_0.25D/VTGM+0.15G</t>
  </si>
  <si>
    <t>VG</t>
  </si>
  <si>
    <t>VD</t>
  </si>
  <si>
    <t>VS</t>
  </si>
  <si>
    <t>BTI_PRE_LD_0.65D/0G_M</t>
  </si>
  <si>
    <t>MOS Type</t>
  </si>
  <si>
    <t>Vd (V)</t>
  </si>
  <si>
    <t>Vg (V)</t>
  </si>
  <si>
    <t>Vs (V)</t>
  </si>
  <si>
    <t xml:space="preserve"> test configurations</t>
  </si>
  <si>
    <t>BTI_PRE_LS_0.65D/0G_M</t>
  </si>
  <si>
    <t>N</t>
  </si>
  <si>
    <t>BTI_PRE_LG_0.65D/0G_M</t>
  </si>
  <si>
    <t>HCI_TG_HB</t>
  </si>
  <si>
    <t>BTI_PRE_LD_1.3D/0G_M</t>
  </si>
  <si>
    <t>HCI_HIVBD_TG</t>
  </si>
  <si>
    <t>BTI_PRE_LS_1.3D/0G_M</t>
  </si>
  <si>
    <t>P</t>
  </si>
  <si>
    <t>BTI_PRE_LG_1.3D/0G_M</t>
  </si>
  <si>
    <t>BTI_PRE_IG_0D/0.65G_M</t>
  </si>
  <si>
    <t>BTI_PRE_LD_0.65D/0G</t>
  </si>
  <si>
    <t>BTI_PRE_LS_0.65D/0G</t>
  </si>
  <si>
    <t>BTI_PRE_LG_0.65D/0G</t>
  </si>
  <si>
    <t>BTI_PRE_LD_1.3D/0G</t>
  </si>
  <si>
    <t>BTI_PRE_LS_1.3D/0G</t>
  </si>
  <si>
    <t>BTI_PRE_LG_1.3D/0G</t>
  </si>
  <si>
    <t>VG_STRESS</t>
  </si>
  <si>
    <t>BTI_PRE_IG_0D/0.65G</t>
  </si>
  <si>
    <t>VD_STRESS</t>
  </si>
  <si>
    <t>SWEEP1_BTI_PRE_VTGMLIN4</t>
  </si>
  <si>
    <t>1.0V .. 0V x 0.05V</t>
  </si>
  <si>
    <t>VS_STRESS</t>
  </si>
  <si>
    <t>BTI_PRE_VTGM4_0.05D</t>
  </si>
  <si>
    <t>BTI_PRE_GMLIN</t>
  </si>
  <si>
    <t>BTI_PRE_IS4_0.05D/GM</t>
  </si>
  <si>
    <t>BTI_PRE_IS4_0.05D/0.65G_M</t>
  </si>
  <si>
    <t>BTI_PRE_IS4_0.05D/0.65G</t>
  </si>
  <si>
    <t>BTI_PRE_IS4_0.05D/VTGMLIN_M</t>
  </si>
  <si>
    <t>BTI_PRE_IS4_0.05D/VTGMLIN</t>
  </si>
  <si>
    <t>REXT4</t>
  </si>
  <si>
    <t xml:space="preserve">BTI_PRE_VTGM4_0.05D+0.8V..BTI_PRE_VTGM4_0.05D+0.2Vx0.01V </t>
  </si>
  <si>
    <t>FE</t>
  </si>
  <si>
    <t>BTI_PRE_BETA_0.05D</t>
  </si>
  <si>
    <t>BTI_PRE_REXT_0.05D</t>
  </si>
  <si>
    <t>BTI_PRE_VTB_0.05D</t>
  </si>
  <si>
    <t>A</t>
  </si>
  <si>
    <t>B</t>
  </si>
  <si>
    <t>Default</t>
  </si>
  <si>
    <t>BTI_PRE_REXT_0.05D_FIN</t>
  </si>
  <si>
    <t>BTI_PRE_REXT_0.05D_WIDTH</t>
  </si>
  <si>
    <t>SWEEP1_BTI_PRE_VTGMSAT4</t>
  </si>
  <si>
    <t>BTI_PRE_VTGM4_0.65D</t>
  </si>
  <si>
    <t>BTI_PRE_GMSAT</t>
  </si>
  <si>
    <t>BTI_PRE_IS4_0.65D/GM</t>
  </si>
  <si>
    <t>BTI_PRE_IS4_0.65D/0.65G_M</t>
  </si>
  <si>
    <t>PID</t>
  </si>
  <si>
    <t>BTI_PRE_IS4_0.65D/0.65G</t>
  </si>
  <si>
    <t>ulet</t>
  </si>
  <si>
    <t>IG_BTI_M</t>
  </si>
  <si>
    <t>1.9V(-2.4V)</t>
  </si>
  <si>
    <t>IG_BTI</t>
  </si>
  <si>
    <t>BTI_POST_LD_0.65D/0G_M</t>
  </si>
  <si>
    <t>BTI_POST_LS_0.65D/0G_M</t>
  </si>
  <si>
    <t>BTI_POST_LG_0.65D/0G_M</t>
  </si>
  <si>
    <t>BTI_POST_LD_1.3D/0G_M</t>
  </si>
  <si>
    <t>BTI_POST_LS_1.3D/0G_M</t>
  </si>
  <si>
    <t>BTI_POST_LG_1.3D/0G_M</t>
  </si>
  <si>
    <t>BTI_POST_IG_0D/0.65G_M</t>
  </si>
  <si>
    <t>BTI_POST_LD_0.65D/0G</t>
  </si>
  <si>
    <t>BTI_POST_LS_0.65D/0G</t>
  </si>
  <si>
    <t>BTI_POST_LG_0.65D/0G</t>
  </si>
  <si>
    <t>BTI_POST_LD_1.3D/0G</t>
  </si>
  <si>
    <t>BTI_POST_LS_1.3D/0G</t>
  </si>
  <si>
    <t>BTI_POST_LG_1.3D/0G</t>
  </si>
  <si>
    <t>BTI_POST_IG_0D/0.65G</t>
  </si>
  <si>
    <t>SWEEP1_BTI_POST_VTGMLIN4</t>
  </si>
  <si>
    <t>BTI_POST_VTGM4_0.05D</t>
  </si>
  <si>
    <t>BTI_POST_GMLIN</t>
  </si>
  <si>
    <t>BTI_POST_IS4_0.05D/GM</t>
  </si>
  <si>
    <t>BTI_POST_IS4_0.05D/0.65G_M</t>
  </si>
  <si>
    <t>BTI_POST_IS4_0.05D/0.65G</t>
  </si>
  <si>
    <t>BTI_POST_IS4_0.05D/VTGMLIN_M</t>
  </si>
  <si>
    <t>BTI_POST_IS4_0.05D/VTGMLIN</t>
  </si>
  <si>
    <t xml:space="preserve">BTI_POST_VTGM4_0.05D+0.8V..BTI_POST_VTGM4_0.05D+0.2Vx0.01V </t>
  </si>
  <si>
    <t>BTI_POST_BETA_0.05D</t>
  </si>
  <si>
    <t>BTI_POST_REXT_0.05D</t>
  </si>
  <si>
    <t>BTI_POST_VTB_0.05D</t>
  </si>
  <si>
    <t>BTI_POST_REXT_0.05D_FIN</t>
  </si>
  <si>
    <t>BTI_POST_REXT_0.05D_WIDTH</t>
  </si>
  <si>
    <t>SWEEP1_BTI_POST_VTGMSAT4</t>
  </si>
  <si>
    <t>BTI_POST_VTGM4_0.65D</t>
  </si>
  <si>
    <t>BTI_POST_GMSAT</t>
  </si>
  <si>
    <t>BTI_POST_IS4_0.65D/GM</t>
  </si>
  <si>
    <t>BTI_POST_IS4_0.65D/0.65G_M</t>
  </si>
  <si>
    <t>BTI_POST_IS4_0.65D/0.65G</t>
  </si>
  <si>
    <t>BTI_PERC_ISLIN</t>
  </si>
  <si>
    <t>BTI_PERC_ISSAT</t>
  </si>
  <si>
    <t>BTI_DEL_VTGMLIN</t>
  </si>
  <si>
    <t>HCI_PRE_LD_0.65D/0G_M</t>
  </si>
  <si>
    <t>HCI_PRE_LS_0.65D/0G_M</t>
  </si>
  <si>
    <t>HCI_PRE_LG_0.65D/0G_M</t>
  </si>
  <si>
    <t>HCI_PRE_LD_1.3D/0G_M</t>
  </si>
  <si>
    <t>HCI_PRE_LS_1.3D/0G_M</t>
  </si>
  <si>
    <t>HCI_PRE_LG_1.3D/0G_M</t>
  </si>
  <si>
    <t>HCI_PRE_IG_0D/0.65G_M</t>
  </si>
  <si>
    <t>HCI_PRE_LD_0.65D/0G</t>
  </si>
  <si>
    <t>HCI_PRE_LS_0.65D/0G</t>
  </si>
  <si>
    <t>HCI_PRE_LG_0.65D/0G</t>
  </si>
  <si>
    <t>HCI_PRE_LD_1.3D/0G</t>
  </si>
  <si>
    <t>HCI_PRE_LS_1.3D/0G</t>
  </si>
  <si>
    <t>HCI_PRE_LG_1.3D/0G</t>
  </si>
  <si>
    <t>HCI_PRE_IG_0D/0.65G</t>
  </si>
  <si>
    <t>SWEEP1_HCI_PRE_VTGMLIN4</t>
  </si>
  <si>
    <t>HCI_PRE_VTGM4_0.05D</t>
  </si>
  <si>
    <t>HCI_PRE_GMLIN</t>
  </si>
  <si>
    <t>HCI_PRE_IS4_0.05D/GM</t>
  </si>
  <si>
    <t>HCI_PRE_IS4_0.05D/0.65G_M</t>
  </si>
  <si>
    <t>HCI_PRE_IS4_0.05D/0.65G</t>
  </si>
  <si>
    <t>HCI_PRE_IS4_0.05D/VTGMLIN_M</t>
  </si>
  <si>
    <t>HCI_PRE_IS4_0.05D/VTGMLIN</t>
  </si>
  <si>
    <t xml:space="preserve">HCI_PRE_VTGM4_0.05D+0.8V..HCI_PRE_VTGM4_0.05D+0.2Vx0.01V </t>
  </si>
  <si>
    <t>HCI_PRE_BETA_0.05D</t>
  </si>
  <si>
    <t>HCI_PRE_REXT_0.05D</t>
  </si>
  <si>
    <t>HCI_PRE_VTB_0.05D</t>
  </si>
  <si>
    <t>HCI_PRE_REXT_0.05D_FIN</t>
  </si>
  <si>
    <t>HCI_PRE_REXT_0.05D_WIDTH</t>
  </si>
  <si>
    <t>SWEEP1_HCI_PRE_VTGMSAT4</t>
  </si>
  <si>
    <t>HCI_PRE_VTGM4_0.65D</t>
  </si>
  <si>
    <t>HCI_PRE_GMSAT</t>
  </si>
  <si>
    <t>HCI_PRE_IS4_0.65D/GM</t>
  </si>
  <si>
    <t>HCI_PRE_IS4_0.65D/0.65G_M</t>
  </si>
  <si>
    <t>HCI_PRE_IS4_0.65D/0.65G</t>
  </si>
  <si>
    <t>SWEEP1_HCI_PRE_F_ISSAT4</t>
  </si>
  <si>
    <t>HCI_F_PRE_IS4_0.65D/0.65G_M</t>
  </si>
  <si>
    <t>HCI_F_PRE_IS4_0.65D/0.65G</t>
  </si>
  <si>
    <t>HCI_F_PRE_LD_0.65D/0G_M</t>
  </si>
  <si>
    <t>HCI_F_PRE_LS_0.65D/0G_M</t>
  </si>
  <si>
    <t>HCI_F_PRE_LG_0.65D/0G_M</t>
  </si>
  <si>
    <t>HCI_F_PRE_LD_0.65D/0G</t>
  </si>
  <si>
    <t>HCI_F_PRE_LS_0.65D/0G</t>
  </si>
  <si>
    <t>HCI_F_PRE_LG_0.65D/0G</t>
  </si>
  <si>
    <t>ID_HCI_Zero_M</t>
  </si>
  <si>
    <t>ID_HCI_Zero</t>
  </si>
  <si>
    <t>ID_HCI_Final_M</t>
  </si>
  <si>
    <t>ID_HCI_Final</t>
  </si>
  <si>
    <t>HCI_POST_LD_0.65D/0G_M</t>
  </si>
  <si>
    <t>HCI_POST_LS_0.65D/0G_M</t>
  </si>
  <si>
    <t>HCI_POST_LG_0.65D/0G_M</t>
  </si>
  <si>
    <t>HCI_POST_LD_1.3D/0G_M</t>
  </si>
  <si>
    <t>HCI_POST_LS_1.3D/0G_M</t>
  </si>
  <si>
    <t>HCI_POST_LG_1.3D/0G_M</t>
  </si>
  <si>
    <t>HCI_POST_IG_0D/0.65G_M</t>
  </si>
  <si>
    <t>HCI_POST_LD_0.65D/0G</t>
  </si>
  <si>
    <t>HCI_POST_LS_0.65D/0G</t>
  </si>
  <si>
    <t>HCI_POST_LG_0.65D/0G</t>
  </si>
  <si>
    <t>HCI_POST_LD_1.3D/0G</t>
  </si>
  <si>
    <t>HCI_POST_LS_1.3D/0G</t>
  </si>
  <si>
    <t>HCI_POST_LG_1.3D/0G</t>
  </si>
  <si>
    <t>HCI_POST_IG_0D/0.65G</t>
  </si>
  <si>
    <t>SWEEP1_HCI_POST_VTGMLIN4</t>
  </si>
  <si>
    <t>HCI_POST_VTGM4_0.05D</t>
  </si>
  <si>
    <t>HCI_POST_GMLIN</t>
  </si>
  <si>
    <t>HCI_POST_IS4_0.05D/GM</t>
  </si>
  <si>
    <t>HCI_POST_IS4_0.05D/0.65G_M</t>
  </si>
  <si>
    <t>HCI_POST_IS4_0.05D/0.65G</t>
  </si>
  <si>
    <t>HCI_POST_IS4_0.05D/VTGMLIN_M</t>
  </si>
  <si>
    <t>HCI_POST_IS4_0.05D/VTGMLIN</t>
  </si>
  <si>
    <t xml:space="preserve">HCI_POST_VTGM4_0.05D+0.8V..HCI_POST_VTGM4_0.05D+0.2Vx0.01V </t>
  </si>
  <si>
    <t>HCI_POST_BETA_0.05D</t>
  </si>
  <si>
    <t>HCI_POST_REXT_0.05D</t>
  </si>
  <si>
    <t>HCI_POST_VTB_0.05D</t>
  </si>
  <si>
    <t>HCI_POST_REXT_0.05D_FIN</t>
  </si>
  <si>
    <t>HCI_POST_REXT_0.05D_WIDTH</t>
  </si>
  <si>
    <t>SWEEP1_HCI_POST_VTGMSAT4</t>
  </si>
  <si>
    <t>HCI_POST_VTGM4_0.65D</t>
  </si>
  <si>
    <t>HCI_POST_GMSAT</t>
  </si>
  <si>
    <t>HCI_POST_IS4_0.65D/GM</t>
  </si>
  <si>
    <t>HCI_POST_IS4_0.65D/0.65G_M</t>
  </si>
  <si>
    <t>HCI_POST_IS4_0.65D/0.65G</t>
  </si>
  <si>
    <t>SWEEP1_HCI_POST_F_ISSAT4</t>
  </si>
  <si>
    <t>HCI_F_POST_IS4_0.65D/0.65G_M</t>
  </si>
  <si>
    <t>HCI_F_POST_IS4_0.65D/0.65G</t>
  </si>
  <si>
    <t>HCI_F_POST_LD_0.65D/0G_M</t>
  </si>
  <si>
    <t>HCI_F_POST_LS_0.65D/0G_M</t>
  </si>
  <si>
    <t>HCI_F_POST_LG_0.65D/0G_M</t>
  </si>
  <si>
    <t>HCI_F_POST_LD_0.65D/0G</t>
  </si>
  <si>
    <t>HCI_F_POST_LS_0.65D/0G</t>
  </si>
  <si>
    <t>HCI_F_POST_LG_0.65D/0G</t>
  </si>
  <si>
    <t>HCI_PERC_ISLIN</t>
  </si>
  <si>
    <t>HCI_PERC_ISSAT</t>
  </si>
  <si>
    <t>HCI_DEL_VTGMLIN</t>
  </si>
  <si>
    <t>IG_0.65G_PRE_M</t>
  </si>
  <si>
    <t>IG_0.65G_PRE</t>
  </si>
  <si>
    <t>LOG_IG_0.65G_PRE</t>
  </si>
  <si>
    <t>IG0</t>
  </si>
  <si>
    <t>vbd2</t>
  </si>
  <si>
    <t>1.5V..10Vx0.01V</t>
  </si>
  <si>
    <t>VBDMIN</t>
  </si>
  <si>
    <t>IBD</t>
  </si>
  <si>
    <t>QBD</t>
  </si>
  <si>
    <t>IG_0.65G_POST_M</t>
  </si>
  <si>
    <t>IG_0.65G_POST</t>
  </si>
  <si>
    <t>LOG_IG_0.65G_POST</t>
  </si>
  <si>
    <t>TEST_NAME</t>
  </si>
  <si>
    <t>TTA+X78CS_QCNP1_TC22_1</t>
  </si>
  <si>
    <t>TTA+X78CS_QCNP2_TC11_1</t>
  </si>
  <si>
    <t>TTA+X78CS_QXP2A_TC22_1 (BTI only)</t>
  </si>
  <si>
    <t>TTA+X78CS_WID03_TC22_1  (BTI only)</t>
  </si>
  <si>
    <t>Serial</t>
  </si>
  <si>
    <t>Alg</t>
  </si>
  <si>
    <t>TTR</t>
  </si>
  <si>
    <t>TTA+FORCEMEAS+1+T1</t>
  </si>
  <si>
    <t>FORCEMEAS</t>
  </si>
  <si>
    <t>TTA+FORCEMEAS2+1+T1</t>
  </si>
  <si>
    <t>FORCEMEAS2</t>
  </si>
  <si>
    <t>TTA+VBD2+5+T1</t>
  </si>
  <si>
    <t>VBD2</t>
  </si>
  <si>
    <t>TTA+FORCEMEAS+6+T1</t>
  </si>
  <si>
    <t>TTA+FORCEMEAS2+10+T1</t>
  </si>
  <si>
    <t>TTA+FORCEMEAS2+11+T1</t>
  </si>
  <si>
    <t>TTA+FORCEMEAS2+20+T1</t>
  </si>
  <si>
    <t>TTA+FORCEMEAS2+21+T1</t>
  </si>
  <si>
    <t>TTA+SMLSWEEP+24+T1</t>
  </si>
  <si>
    <t>SMLSWEEP</t>
  </si>
  <si>
    <t>TTA+VTGM_SML+25+T1</t>
  </si>
  <si>
    <t>VTGM_SML</t>
  </si>
  <si>
    <t>TTA+FORCEMEAS2+30+T1</t>
  </si>
  <si>
    <t>TTA+SMLSWEEP+32+T1</t>
  </si>
  <si>
    <t>TTA+SMLSWEEP+33+T1</t>
  </si>
  <si>
    <t>TTA+VTGM_SML+34+T1</t>
  </si>
  <si>
    <t>TTA+SMLSWEEP+36+T1</t>
  </si>
  <si>
    <t>TTA+VTGM_SML+37+T1</t>
  </si>
  <si>
    <t>TTA+FORCEMEAS2+40+T1</t>
  </si>
  <si>
    <t>TTA+SMLSWEEP+40+T1</t>
  </si>
  <si>
    <t>TTA+SMLSWEEP+41+T1</t>
  </si>
  <si>
    <t>TTA+FORCEMEAS2+43+T1</t>
  </si>
  <si>
    <t>TTA+FORCEMEAS2+45+T1</t>
  </si>
  <si>
    <t>TTA+SMLSWEEP+45+T1</t>
  </si>
  <si>
    <t>TTA+VTGM_SML+46+T1</t>
  </si>
  <si>
    <t>TTA+SMLSWEEP+49+T1</t>
  </si>
  <si>
    <t>TTA+FORCEMEAS2+53+T1</t>
  </si>
  <si>
    <t>TTA+FORCEMEAS2+54+T1</t>
  </si>
  <si>
    <t>TTA+FORCEMEAS2+55+T1</t>
  </si>
  <si>
    <t>TTA+FORCEMEAS2+58+T1</t>
  </si>
  <si>
    <t>TTA+FORCEMEAS2+61+T1</t>
  </si>
  <si>
    <t>TTA+FORCEMEAS2+63+T1</t>
  </si>
  <si>
    <t>TTA+FORCEMEAS2+64+T1</t>
  </si>
  <si>
    <t>TTA+SMLSWEEP+66+T1</t>
  </si>
  <si>
    <t>TTA+FORCEMEAS2+67+T1</t>
  </si>
  <si>
    <t>TTA+VTGM_SML+67+T1</t>
  </si>
  <si>
    <t>TTA+FORCEMEAS2+70+T1</t>
  </si>
  <si>
    <t>TTA+FORCEMEAS2+71+T1</t>
  </si>
  <si>
    <t>TTA+SMLSWEEP+74+T1</t>
  </si>
  <si>
    <t>TTA+SMLSWEEP+78+T1</t>
  </si>
  <si>
    <t>TTA+VTGM_SML+79+T1</t>
  </si>
  <si>
    <t>TTA+FORCEMEAS2+80+T1</t>
  </si>
  <si>
    <t>TTA+FORCEMEAS2+81+T1</t>
  </si>
  <si>
    <t>TTA+SMLSWEEP+84+T1</t>
  </si>
  <si>
    <t>TTA+VTGM_SML+85+T1</t>
  </si>
  <si>
    <t>TTA+FORCEMEAS2+90+T1</t>
  </si>
  <si>
    <t>TTA+SMLSWEEP+92+T1</t>
  </si>
  <si>
    <t>TTA+SMLSWEEP+93+T1</t>
  </si>
  <si>
    <t>TTA+VTGM_SML+94+T1</t>
  </si>
  <si>
    <t>TTA+SMLSWEEP+96+T1</t>
  </si>
  <si>
    <t>TTA+VTGM_SML+97+T1</t>
  </si>
  <si>
    <t>TTA+FORCEMEAS2+100+T1</t>
  </si>
  <si>
    <t>TTA+SMLSWEEP+101+T1</t>
  </si>
  <si>
    <t>TTA+FORCEMEAS2+104+T1</t>
  </si>
  <si>
    <t>TTA+SMLSWEEP+105+T1</t>
  </si>
  <si>
    <t>TTA+VTGM_SML+106+T1</t>
  </si>
  <si>
    <t>TTA+FORCEMEAS2+109+T1</t>
  </si>
  <si>
    <t>TTA+FORCEMEAS2+113+T1</t>
  </si>
  <si>
    <t>TTA+SMLSWEEP+117+T1</t>
  </si>
  <si>
    <t>TTA+VTGM_SML+118+T1</t>
  </si>
  <si>
    <t>TTA+SMLSWEEP+125+T1</t>
  </si>
  <si>
    <t>TTA+SMLSWEEP+126+T1</t>
  </si>
  <si>
    <t>TTA+VTGM_SML+127+T1</t>
  </si>
  <si>
    <t>TTA+SMLSWEEP+129+T1</t>
  </si>
  <si>
    <t>TTA+VTGM_SML+130+T1</t>
  </si>
  <si>
    <t>TTA+FORCEMEAS2+133+T1</t>
  </si>
  <si>
    <t>TTA+SMLSWEEP+134+T1</t>
  </si>
  <si>
    <t>TTA+FORCEMEAS2+136+T1</t>
  </si>
  <si>
    <t>TTA+SMLSWEEP+138+T1</t>
  </si>
  <si>
    <t>TTA+VTGM_SML+139+T1</t>
  </si>
  <si>
    <t>TTA+FORCEMEAS2+142+T1</t>
  </si>
  <si>
    <t>TTA+FORCEMEAS2+145+T1</t>
  </si>
  <si>
    <t>TTA+FORCEMEAS2+146+T1</t>
  </si>
  <si>
    <t>TTA+FORCEMEAS2+155+T1</t>
  </si>
  <si>
    <t>TTA+FORCEMEAS2+156+T1</t>
  </si>
  <si>
    <t>TTA+SMLSWEEP+159+T1</t>
  </si>
  <si>
    <t>TTA+VTGM_SML+160+T1</t>
  </si>
  <si>
    <t>TTA+FORCEMEAS2+165+T1</t>
  </si>
  <si>
    <t>TTA+SMLSWEEP+167+T1</t>
  </si>
  <si>
    <t>TTA+SMLSWEEP+168+T1</t>
  </si>
  <si>
    <t>TTA+VTGM_SML+169+T1</t>
  </si>
  <si>
    <t>TTA+SMLSWEEP+171+T1</t>
  </si>
  <si>
    <t>TTA+VTGM_SML+172+T1</t>
  </si>
  <si>
    <t>TTA+SMLSWEEP+176+T1</t>
  </si>
  <si>
    <t>TTA+FORCEMEAS+178+T1</t>
  </si>
  <si>
    <t>TTA+SMLSWEEP+180+T1</t>
  </si>
  <si>
    <t>TTA+VTGM_SML+181+T1</t>
  </si>
  <si>
    <t>TTA+VBD2+182+T1</t>
  </si>
  <si>
    <t>TTA+FORCEMEAS+183+T1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</si>
</sst>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indexed="12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8"/>
      <color theme="3"/>
      <name val="Cambria"/>
      <family val="2"/>
      <scheme val="maj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color theme="1"/>
      <name val="Times New Roman"/>
      <family val="1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0"/>
      <color rgb="FFFFFFFF"/>
      <name val="Intel Clear"/>
      <family val="2"/>
    </font>
    <font>
      <b/>
      <sz val="11"/>
      <color rgb="FFFF0000"/>
      <name val="Calibri"/>
      <family val="2"/>
    </font>
    <font>
      <sz val="11"/>
      <color rgb="FF00B0F0"/>
      <name val="Calibri"/>
      <family val="2"/>
    </font>
    <font>
      <sz val="11"/>
      <color rgb="FFBF9000"/>
      <name val="Calibri"/>
      <family val="2"/>
    </font>
    <font>
      <sz val="11"/>
      <color rgb="FFED7D31"/>
      <name val="Calibri"/>
      <family val="2"/>
    </font>
    <font>
      <sz val="11"/>
      <color rgb="FF70AD47"/>
      <name val="Calibri"/>
      <family val="2"/>
    </font>
    <font>
      <sz val="11"/>
      <color rgb="FF4472C4"/>
      <name val="Calibri"/>
      <family val="2"/>
    </font>
    <font>
      <sz val="11"/>
      <color theme="2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D5B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0068B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54">
    <xf numFmtId="0" fontId="0" fillId="0" borderId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3" fillId="19" borderId="0" applyNumberFormat="0" applyBorder="0" applyAlignment="0" applyProtection="0"/>
    <xf numFmtId="0" fontId="3" fillId="11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21" borderId="0" applyNumberFormat="0" applyBorder="0" applyAlignment="0" applyProtection="0"/>
    <xf numFmtId="0" fontId="3" fillId="14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8" fillId="6" borderId="19" applyNumberFormat="0" applyFont="0" applyAlignment="0" applyProtection="0"/>
    <xf numFmtId="0" fontId="8" fillId="6" borderId="19" applyNumberFormat="0" applyFont="0" applyAlignment="0" applyProtection="0"/>
    <xf numFmtId="0" fontId="2" fillId="6" borderId="19" applyNumberFormat="0" applyFont="0" applyAlignment="0" applyProtection="0"/>
    <xf numFmtId="0" fontId="9" fillId="0" borderId="0" applyNumberFormat="0" applyFill="0" applyBorder="0" applyAlignment="0" applyProtection="0"/>
  </cellStyleXfs>
  <cellXfs count="342">
    <xf numFmtId="0" fontId="0" fillId="0" borderId="0" xfId="0"/>
    <xf numFmtId="0" fontId="0" fillId="0" borderId="0" xfId="0" applyAlignment="1">
      <alignment vertic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2" borderId="9" xfId="0" applyFill="1" applyBorder="1" applyAlignment="1">
      <alignment vertical="center"/>
    </xf>
    <xf numFmtId="0" fontId="0" fillId="5" borderId="9" xfId="0" applyFill="1" applyBorder="1" applyAlignment="1">
      <alignment horizontal="left" vertical="center"/>
    </xf>
    <xf numFmtId="0" fontId="0" fillId="0" borderId="3" xfId="0" applyBorder="1"/>
    <xf numFmtId="0" fontId="0" fillId="2" borderId="20" xfId="0" applyFill="1" applyBorder="1" applyAlignment="1">
      <alignment vertical="center"/>
    </xf>
    <xf numFmtId="0" fontId="0" fillId="0" borderId="7" xfId="0" applyBorder="1"/>
    <xf numFmtId="0" fontId="0" fillId="0" borderId="2" xfId="0" applyBorder="1"/>
    <xf numFmtId="0" fontId="0" fillId="0" borderId="18" xfId="0" applyBorder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1" xfId="0" applyBorder="1"/>
    <xf numFmtId="0" fontId="0" fillId="0" borderId="9" xfId="0" applyBorder="1"/>
    <xf numFmtId="0" fontId="0" fillId="0" borderId="20" xfId="0" applyBorder="1"/>
    <xf numFmtId="0" fontId="6" fillId="0" borderId="0" xfId="0" applyFont="1" applyAlignment="1">
      <alignment vertical="center"/>
    </xf>
    <xf numFmtId="0" fontId="0" fillId="3" borderId="0" xfId="0" applyFill="1"/>
    <xf numFmtId="0" fontId="1" fillId="3" borderId="0" xfId="0" applyFont="1" applyFill="1"/>
    <xf numFmtId="0" fontId="0" fillId="23" borderId="0" xfId="0" applyFill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11" fillId="0" borderId="9" xfId="0" applyFont="1" applyBorder="1" applyAlignment="1">
      <alignment vertical="center"/>
    </xf>
    <xf numFmtId="0" fontId="0" fillId="23" borderId="0" xfId="0" applyFill="1" applyAlignment="1">
      <alignment horizontal="center"/>
    </xf>
    <xf numFmtId="0" fontId="1" fillId="0" borderId="9" xfId="0" applyFont="1" applyBorder="1"/>
    <xf numFmtId="0" fontId="0" fillId="0" borderId="9" xfId="0" applyBorder="1" applyAlignment="1">
      <alignment horizontal="left" vertical="center"/>
    </xf>
    <xf numFmtId="0" fontId="1" fillId="4" borderId="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18" xfId="0" applyFont="1" applyBorder="1"/>
    <xf numFmtId="0" fontId="0" fillId="2" borderId="9" xfId="0" applyFill="1" applyBorder="1"/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9" xfId="0" quotePrefix="1" applyBorder="1"/>
    <xf numFmtId="0" fontId="0" fillId="2" borderId="20" xfId="0" applyFill="1" applyBorder="1"/>
    <xf numFmtId="0" fontId="10" fillId="3" borderId="0" xfId="0" applyFont="1" applyFill="1" applyAlignment="1">
      <alignment vertical="center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center" wrapText="1"/>
    </xf>
    <xf numFmtId="0" fontId="12" fillId="0" borderId="9" xfId="0" applyFont="1" applyBorder="1"/>
    <xf numFmtId="0" fontId="1" fillId="0" borderId="9" xfId="0" applyFont="1" applyBorder="1" applyAlignment="1">
      <alignment horizontal="center"/>
    </xf>
    <xf numFmtId="0" fontId="0" fillId="0" borderId="25" xfId="0" applyBorder="1"/>
    <xf numFmtId="0" fontId="0" fillId="0" borderId="24" xfId="0" applyBorder="1"/>
    <xf numFmtId="0" fontId="0" fillId="0" borderId="23" xfId="0" applyBorder="1"/>
    <xf numFmtId="0" fontId="0" fillId="0" borderId="22" xfId="0" applyBorder="1"/>
    <xf numFmtId="0" fontId="1" fillId="0" borderId="27" xfId="0" applyFont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/>
    <xf numFmtId="0" fontId="0" fillId="2" borderId="27" xfId="0" applyFill="1" applyBorder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quotePrefix="1"/>
    <xf numFmtId="1" fontId="0" fillId="0" borderId="0" xfId="0" applyNumberFormat="1"/>
    <xf numFmtId="1" fontId="1" fillId="0" borderId="0" xfId="0" applyNumberFormat="1" applyFont="1"/>
    <xf numFmtId="0" fontId="0" fillId="2" borderId="18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9" xfId="0" applyFill="1" applyBorder="1" applyAlignment="1">
      <alignment horizontal="left" vertical="center"/>
    </xf>
    <xf numFmtId="0" fontId="0" fillId="2" borderId="23" xfId="0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3" borderId="23" xfId="0" applyFill="1" applyBorder="1"/>
    <xf numFmtId="1" fontId="0" fillId="3" borderId="0" xfId="0" applyNumberFormat="1" applyFill="1"/>
    <xf numFmtId="0" fontId="0" fillId="3" borderId="0" xfId="0" applyFill="1" applyAlignment="1">
      <alignment vertical="center"/>
    </xf>
    <xf numFmtId="0" fontId="0" fillId="3" borderId="18" xfId="0" applyFill="1" applyBorder="1"/>
    <xf numFmtId="0" fontId="0" fillId="3" borderId="28" xfId="0" applyFill="1" applyBorder="1"/>
    <xf numFmtId="0" fontId="0" fillId="3" borderId="21" xfId="0" applyFill="1" applyBorder="1" applyAlignment="1">
      <alignment horizontal="center"/>
    </xf>
    <xf numFmtId="0" fontId="0" fillId="3" borderId="22" xfId="0" applyFill="1" applyBorder="1"/>
    <xf numFmtId="0" fontId="0" fillId="3" borderId="29" xfId="0" applyFill="1" applyBorder="1"/>
    <xf numFmtId="0" fontId="0" fillId="3" borderId="24" xfId="0" applyFill="1" applyBorder="1" applyAlignment="1">
      <alignment horizontal="center"/>
    </xf>
    <xf numFmtId="0" fontId="0" fillId="2" borderId="0" xfId="0" applyFill="1" applyAlignment="1">
      <alignment vertical="center"/>
    </xf>
    <xf numFmtId="0" fontId="1" fillId="0" borderId="18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28" xfId="0" applyBorder="1" applyAlignment="1">
      <alignment vertical="center"/>
    </xf>
    <xf numFmtId="1" fontId="0" fillId="0" borderId="28" xfId="0" applyNumberFormat="1" applyBorder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1" fontId="0" fillId="0" borderId="29" xfId="0" applyNumberFormat="1" applyBorder="1"/>
    <xf numFmtId="0" fontId="0" fillId="0" borderId="29" xfId="0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0" fillId="0" borderId="28" xfId="0" applyBorder="1" applyAlignment="1">
      <alignment horizontal="center"/>
    </xf>
    <xf numFmtId="0" fontId="0" fillId="0" borderId="30" xfId="0" applyBorder="1"/>
    <xf numFmtId="0" fontId="0" fillId="0" borderId="27" xfId="0" applyBorder="1"/>
    <xf numFmtId="0" fontId="0" fillId="0" borderId="29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31" xfId="0" applyFont="1" applyBorder="1" applyAlignment="1">
      <alignment horizontal="left" vertical="center"/>
    </xf>
    <xf numFmtId="0" fontId="1" fillId="0" borderId="3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quotePrefix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7" xfId="0" applyFill="1" applyBorder="1"/>
    <xf numFmtId="0" fontId="0" fillId="3" borderId="25" xfId="0" applyFill="1" applyBorder="1" applyAlignment="1">
      <alignment horizontal="center"/>
    </xf>
    <xf numFmtId="0" fontId="1" fillId="0" borderId="30" xfId="0" applyFont="1" applyBorder="1"/>
    <xf numFmtId="0" fontId="0" fillId="0" borderId="27" xfId="0" applyBorder="1" applyAlignment="1">
      <alignment vertical="center"/>
    </xf>
    <xf numFmtId="0" fontId="0" fillId="0" borderId="18" xfId="0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vertical="center"/>
    </xf>
    <xf numFmtId="0" fontId="0" fillId="0" borderId="3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1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4" xfId="0" applyBorder="1" applyAlignment="1">
      <alignment vertical="center"/>
    </xf>
    <xf numFmtId="0" fontId="1" fillId="0" borderId="28" xfId="0" applyFont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2" borderId="32" xfId="0" applyFill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32" xfId="0" applyBorder="1"/>
    <xf numFmtId="0" fontId="0" fillId="2" borderId="26" xfId="0" applyFill="1" applyBorder="1" applyAlignment="1">
      <alignment vertical="center"/>
    </xf>
    <xf numFmtId="0" fontId="0" fillId="0" borderId="31" xfId="0" applyBorder="1"/>
    <xf numFmtId="1" fontId="0" fillId="0" borderId="31" xfId="0" applyNumberFormat="1" applyBorder="1"/>
    <xf numFmtId="0" fontId="0" fillId="0" borderId="31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26" xfId="0" applyBorder="1"/>
    <xf numFmtId="0" fontId="0" fillId="0" borderId="31" xfId="0" applyBorder="1" applyAlignment="1">
      <alignment vertical="center"/>
    </xf>
    <xf numFmtId="0" fontId="0" fillId="3" borderId="29" xfId="0" applyFill="1" applyBorder="1" applyAlignment="1">
      <alignment vertical="center"/>
    </xf>
    <xf numFmtId="0" fontId="0" fillId="3" borderId="25" xfId="0" applyFill="1" applyBorder="1"/>
    <xf numFmtId="0" fontId="1" fillId="0" borderId="28" xfId="0" applyFont="1" applyBorder="1"/>
    <xf numFmtId="1" fontId="1" fillId="0" borderId="28" xfId="0" applyNumberFormat="1" applyFont="1" applyBorder="1"/>
    <xf numFmtId="0" fontId="0" fillId="0" borderId="20" xfId="0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2" fontId="0" fillId="0" borderId="9" xfId="0" applyNumberFormat="1" applyBorder="1" applyAlignment="1">
      <alignment horizontal="center"/>
    </xf>
    <xf numFmtId="0" fontId="0" fillId="0" borderId="9" xfId="0" quotePrefix="1" applyBorder="1" applyAlignment="1">
      <alignment wrapText="1"/>
    </xf>
    <xf numFmtId="0" fontId="13" fillId="2" borderId="23" xfId="0" applyFont="1" applyFill="1" applyBorder="1" applyAlignment="1">
      <alignment vertical="center"/>
    </xf>
    <xf numFmtId="0" fontId="13" fillId="0" borderId="23" xfId="0" applyFont="1" applyBorder="1"/>
    <xf numFmtId="0" fontId="13" fillId="0" borderId="0" xfId="0" applyFont="1" applyAlignment="1">
      <alignment vertical="center"/>
    </xf>
    <xf numFmtId="0" fontId="13" fillId="0" borderId="0" xfId="0" applyFont="1"/>
    <xf numFmtId="1" fontId="13" fillId="0" borderId="0" xfId="0" applyNumberFormat="1" applyFont="1"/>
    <xf numFmtId="0" fontId="13" fillId="0" borderId="0" xfId="0" applyFont="1" applyAlignment="1">
      <alignment horizontal="center" vertical="center"/>
    </xf>
    <xf numFmtId="0" fontId="13" fillId="0" borderId="25" xfId="0" applyFont="1" applyBorder="1" applyAlignment="1">
      <alignment horizontal="center"/>
    </xf>
    <xf numFmtId="0" fontId="14" fillId="0" borderId="0" xfId="0" applyFont="1"/>
    <xf numFmtId="0" fontId="10" fillId="0" borderId="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22" borderId="9" xfId="0" applyFill="1" applyBorder="1"/>
    <xf numFmtId="0" fontId="0" fillId="0" borderId="10" xfId="0" applyBorder="1"/>
    <xf numFmtId="0" fontId="0" fillId="22" borderId="10" xfId="0" applyFill="1" applyBorder="1"/>
    <xf numFmtId="0" fontId="0" fillId="22" borderId="8" xfId="0" applyFill="1" applyBorder="1"/>
    <xf numFmtId="0" fontId="0" fillId="24" borderId="2" xfId="0" applyFill="1" applyBorder="1"/>
    <xf numFmtId="0" fontId="0" fillId="25" borderId="9" xfId="0" applyFill="1" applyBorder="1"/>
    <xf numFmtId="0" fontId="0" fillId="26" borderId="9" xfId="0" applyFill="1" applyBorder="1"/>
    <xf numFmtId="0" fontId="6" fillId="0" borderId="4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horizontal="right" vertical="center"/>
    </xf>
    <xf numFmtId="0" fontId="1" fillId="0" borderId="23" xfId="0" applyFon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0" fillId="0" borderId="18" xfId="0" applyBorder="1" applyAlignment="1">
      <alignment wrapText="1"/>
    </xf>
    <xf numFmtId="0" fontId="0" fillId="0" borderId="22" xfId="0" applyBorder="1" applyAlignment="1">
      <alignment wrapText="1"/>
    </xf>
    <xf numFmtId="0" fontId="0" fillId="2" borderId="9" xfId="0" applyFill="1" applyBorder="1" applyAlignment="1">
      <alignment horizontal="center"/>
    </xf>
    <xf numFmtId="0" fontId="0" fillId="0" borderId="30" xfId="0" applyBorder="1" applyAlignment="1">
      <alignment horizontal="left"/>
    </xf>
    <xf numFmtId="0" fontId="0" fillId="2" borderId="30" xfId="0" applyFill="1" applyBorder="1"/>
    <xf numFmtId="0" fontId="0" fillId="2" borderId="27" xfId="0" applyFill="1" applyBorder="1"/>
    <xf numFmtId="0" fontId="6" fillId="0" borderId="30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15" fillId="0" borderId="0" xfId="0" applyFont="1"/>
    <xf numFmtId="0" fontId="0" fillId="27" borderId="0" xfId="0" applyFill="1"/>
    <xf numFmtId="0" fontId="0" fillId="2" borderId="18" xfId="0" applyFill="1" applyBorder="1"/>
    <xf numFmtId="0" fontId="0" fillId="2" borderId="23" xfId="0" applyFill="1" applyBorder="1"/>
    <xf numFmtId="0" fontId="0" fillId="2" borderId="22" xfId="0" applyFill="1" applyBorder="1"/>
    <xf numFmtId="0" fontId="0" fillId="28" borderId="16" xfId="0" applyFill="1" applyBorder="1" applyAlignment="1">
      <alignment vertical="center"/>
    </xf>
    <xf numFmtId="0" fontId="0" fillId="0" borderId="33" xfId="0" applyBorder="1"/>
    <xf numFmtId="0" fontId="0" fillId="28" borderId="0" xfId="0" applyFill="1" applyAlignment="1">
      <alignment vertical="center"/>
    </xf>
    <xf numFmtId="0" fontId="0" fillId="0" borderId="34" xfId="0" applyBorder="1"/>
    <xf numFmtId="0" fontId="0" fillId="0" borderId="13" xfId="0" applyBorder="1"/>
    <xf numFmtId="0" fontId="0" fillId="28" borderId="33" xfId="0" applyFill="1" applyBorder="1" applyAlignment="1">
      <alignment vertical="center"/>
    </xf>
    <xf numFmtId="0" fontId="0" fillId="28" borderId="34" xfId="0" applyFill="1" applyBorder="1" applyAlignment="1">
      <alignment vertical="center"/>
    </xf>
    <xf numFmtId="0" fontId="17" fillId="29" borderId="34" xfId="0" applyFont="1" applyFill="1" applyBorder="1"/>
    <xf numFmtId="0" fontId="0" fillId="28" borderId="13" xfId="0" applyFill="1" applyBorder="1" applyAlignment="1">
      <alignment vertical="center"/>
    </xf>
    <xf numFmtId="0" fontId="17" fillId="29" borderId="33" xfId="0" applyFont="1" applyFill="1" applyBorder="1"/>
    <xf numFmtId="0" fontId="18" fillId="0" borderId="0" xfId="0" applyFont="1" applyAlignment="1">
      <alignment vertical="center"/>
    </xf>
    <xf numFmtId="0" fontId="10" fillId="0" borderId="9" xfId="0" applyFont="1" applyBorder="1" applyAlignment="1">
      <alignment horizontal="left" vertical="center"/>
    </xf>
    <xf numFmtId="0" fontId="18" fillId="0" borderId="9" xfId="0" applyFont="1" applyBorder="1"/>
    <xf numFmtId="0" fontId="18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30" borderId="30" xfId="0" applyFont="1" applyFill="1" applyBorder="1" applyAlignment="1">
      <alignment vertical="center"/>
    </xf>
    <xf numFmtId="0" fontId="18" fillId="0" borderId="9" xfId="0" applyFont="1" applyBorder="1" applyAlignment="1">
      <alignment horizontal="center"/>
    </xf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20" fillId="31" borderId="14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vertical="center"/>
    </xf>
    <xf numFmtId="0" fontId="22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0" fillId="32" borderId="0" xfId="0" applyFill="1"/>
    <xf numFmtId="0" fontId="0" fillId="33" borderId="0" xfId="0" applyFill="1"/>
    <xf numFmtId="0" fontId="27" fillId="2" borderId="9" xfId="0" applyFont="1" applyFill="1" applyBorder="1" applyAlignment="1">
      <alignment vertical="center"/>
    </xf>
    <xf numFmtId="0" fontId="27" fillId="0" borderId="9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wrapText="1"/>
    </xf>
    <xf numFmtId="0" fontId="27" fillId="0" borderId="9" xfId="0" applyFont="1" applyBorder="1" applyAlignment="1">
      <alignment horizontal="center" vertical="center"/>
    </xf>
    <xf numFmtId="0" fontId="15" fillId="2" borderId="9" xfId="0" applyFont="1" applyFill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28" fillId="28" borderId="27" xfId="0" applyFont="1" applyFill="1" applyBorder="1"/>
    <xf numFmtId="0" fontId="0" fillId="28" borderId="18" xfId="0" applyFill="1" applyBorder="1" applyAlignment="1">
      <alignment vertical="center"/>
    </xf>
    <xf numFmtId="0" fontId="0" fillId="28" borderId="23" xfId="0" applyFill="1" applyBorder="1" applyAlignment="1">
      <alignment vertical="center"/>
    </xf>
    <xf numFmtId="0" fontId="0" fillId="28" borderId="22" xfId="0" applyFill="1" applyBorder="1" applyAlignment="1">
      <alignment vertical="center"/>
    </xf>
    <xf numFmtId="0" fontId="0" fillId="28" borderId="18" xfId="0" applyFill="1" applyBorder="1"/>
    <xf numFmtId="0" fontId="0" fillId="28" borderId="23" xfId="0" applyFill="1" applyBorder="1"/>
    <xf numFmtId="0" fontId="0" fillId="28" borderId="22" xfId="0" applyFill="1" applyBorder="1"/>
    <xf numFmtId="0" fontId="0" fillId="28" borderId="30" xfId="0" applyFill="1" applyBorder="1" applyAlignment="1">
      <alignment vertical="center"/>
    </xf>
    <xf numFmtId="0" fontId="28" fillId="28" borderId="32" xfId="0" applyFont="1" applyFill="1" applyBorder="1"/>
    <xf numFmtId="0" fontId="0" fillId="28" borderId="27" xfId="0" applyFill="1" applyBorder="1" applyAlignment="1">
      <alignment vertical="center"/>
    </xf>
    <xf numFmtId="0" fontId="0" fillId="28" borderId="32" xfId="0" applyFill="1" applyBorder="1" applyAlignment="1">
      <alignment vertical="center"/>
    </xf>
    <xf numFmtId="0" fontId="17" fillId="29" borderId="23" xfId="0" applyFont="1" applyFill="1" applyBorder="1"/>
    <xf numFmtId="0" fontId="17" fillId="29" borderId="21" xfId="0" applyFont="1" applyFill="1" applyBorder="1"/>
    <xf numFmtId="0" fontId="17" fillId="29" borderId="25" xfId="0" applyFont="1" applyFill="1" applyBorder="1"/>
    <xf numFmtId="0" fontId="18" fillId="0" borderId="0" xfId="0" applyFont="1"/>
    <xf numFmtId="0" fontId="0" fillId="28" borderId="0" xfId="0" applyFill="1"/>
    <xf numFmtId="0" fontId="1" fillId="28" borderId="0" xfId="0" applyFont="1" applyFill="1"/>
    <xf numFmtId="0" fontId="6" fillId="0" borderId="18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1" fontId="29" fillId="0" borderId="0" xfId="0" applyNumberFormat="1" applyFont="1"/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4" borderId="9" xfId="0" applyFill="1" applyBorder="1"/>
    <xf numFmtId="0" fontId="17" fillId="0" borderId="9" xfId="0" applyFont="1" applyBorder="1"/>
    <xf numFmtId="0" fontId="17" fillId="0" borderId="0" xfId="0" applyFont="1"/>
    <xf numFmtId="0" fontId="27" fillId="2" borderId="23" xfId="0" applyFont="1" applyFill="1" applyBorder="1" applyAlignment="1">
      <alignment vertical="center"/>
    </xf>
    <xf numFmtId="0" fontId="27" fillId="2" borderId="27" xfId="0" applyFont="1" applyFill="1" applyBorder="1" applyAlignment="1">
      <alignment vertical="center"/>
    </xf>
    <xf numFmtId="0" fontId="27" fillId="0" borderId="27" xfId="0" applyFont="1" applyBorder="1"/>
    <xf numFmtId="0" fontId="27" fillId="0" borderId="0" xfId="0" applyFont="1"/>
    <xf numFmtId="1" fontId="27" fillId="0" borderId="0" xfId="0" applyNumberFormat="1" applyFont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25" xfId="0" applyFont="1" applyBorder="1" applyAlignment="1">
      <alignment horizontal="center"/>
    </xf>
    <xf numFmtId="1" fontId="29" fillId="35" borderId="28" xfId="0" applyNumberFormat="1" applyFont="1" applyFill="1" applyBorder="1"/>
    <xf numFmtId="0" fontId="0" fillId="2" borderId="24" xfId="0" applyFill="1" applyBorder="1" applyAlignment="1">
      <alignment vertical="center"/>
    </xf>
    <xf numFmtId="0" fontId="29" fillId="0" borderId="0" xfId="0" applyFont="1" applyAlignment="1">
      <alignment vertical="center"/>
    </xf>
    <xf numFmtId="1" fontId="29" fillId="0" borderId="28" xfId="0" applyNumberFormat="1" applyFont="1" applyBorder="1"/>
    <xf numFmtId="0" fontId="15" fillId="2" borderId="23" xfId="0" applyFont="1" applyFill="1" applyBorder="1" applyAlignment="1">
      <alignment vertical="center"/>
    </xf>
    <xf numFmtId="0" fontId="15" fillId="2" borderId="27" xfId="0" applyFont="1" applyFill="1" applyBorder="1" applyAlignment="1">
      <alignment vertical="center"/>
    </xf>
    <xf numFmtId="0" fontId="15" fillId="0" borderId="27" xfId="0" applyFont="1" applyBorder="1"/>
    <xf numFmtId="0" fontId="15" fillId="0" borderId="25" xfId="0" applyFont="1" applyBorder="1" applyAlignment="1">
      <alignment horizontal="center"/>
    </xf>
    <xf numFmtId="1" fontId="15" fillId="0" borderId="0" xfId="0" applyNumberFormat="1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2" borderId="22" xfId="0" applyFont="1" applyFill="1" applyBorder="1" applyAlignment="1">
      <alignment vertical="center"/>
    </xf>
    <xf numFmtId="0" fontId="15" fillId="2" borderId="32" xfId="0" applyFont="1" applyFill="1" applyBorder="1" applyAlignment="1">
      <alignment vertical="center"/>
    </xf>
    <xf numFmtId="0" fontId="15" fillId="0" borderId="32" xfId="0" applyFont="1" applyBorder="1"/>
    <xf numFmtId="0" fontId="15" fillId="0" borderId="29" xfId="0" applyFont="1" applyBorder="1"/>
    <xf numFmtId="1" fontId="15" fillId="0" borderId="29" xfId="0" applyNumberFormat="1" applyFont="1" applyBorder="1"/>
    <xf numFmtId="0" fontId="15" fillId="0" borderId="29" xfId="0" applyFont="1" applyBorder="1" applyAlignment="1">
      <alignment horizontal="center"/>
    </xf>
    <xf numFmtId="0" fontId="15" fillId="0" borderId="29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/>
    </xf>
    <xf numFmtId="0" fontId="28" fillId="0" borderId="27" xfId="0" applyFont="1" applyBorder="1"/>
    <xf numFmtId="0" fontId="10" fillId="0" borderId="9" xfId="0" applyFont="1" applyBorder="1" applyAlignment="1">
      <alignment horizontal="center" vertical="center"/>
    </xf>
    <xf numFmtId="0" fontId="11" fillId="0" borderId="0" xfId="0" applyFont="1"/>
    <xf numFmtId="0" fontId="0" fillId="28" borderId="18" xfId="0" applyFill="1" applyBorder="1" applyAlignment="1">
      <alignment horizontal="center" vertical="center"/>
    </xf>
    <xf numFmtId="0" fontId="0" fillId="28" borderId="22" xfId="0" applyFill="1" applyBorder="1" applyAlignment="1">
      <alignment horizontal="center" vertical="center"/>
    </xf>
    <xf numFmtId="0" fontId="0" fillId="28" borderId="23" xfId="0" applyFill="1" applyBorder="1" applyAlignment="1">
      <alignment horizontal="center" vertical="center"/>
    </xf>
    <xf numFmtId="0" fontId="0" fillId="28" borderId="30" xfId="0" applyFill="1" applyBorder="1" applyAlignment="1">
      <alignment horizontal="center" vertical="center"/>
    </xf>
    <xf numFmtId="0" fontId="0" fillId="28" borderId="27" xfId="0" applyFill="1" applyBorder="1" applyAlignment="1">
      <alignment horizontal="center" vertical="center"/>
    </xf>
    <xf numFmtId="0" fontId="0" fillId="28" borderId="32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9" xfId="0" applyFill="1" applyBorder="1" applyAlignment="1">
      <alignment horizontal="left" vertical="center"/>
    </xf>
    <xf numFmtId="0" fontId="0" fillId="2" borderId="18" xfId="0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1" xfId="0" applyFill="1" applyBorder="1" applyAlignment="1">
      <alignment vertical="center"/>
    </xf>
    <xf numFmtId="0" fontId="0" fillId="2" borderId="24" xfId="0" applyFill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2" borderId="20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0" fillId="2" borderId="22" xfId="0" applyFill="1" applyBorder="1" applyAlignment="1">
      <alignment horizontal="left" vertical="center"/>
    </xf>
    <xf numFmtId="0" fontId="0" fillId="2" borderId="23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1" fillId="0" borderId="26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2" borderId="18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8" borderId="33" xfId="0" applyFill="1" applyBorder="1" applyAlignment="1">
      <alignment horizontal="center" vertical="center"/>
    </xf>
    <xf numFmtId="0" fontId="0" fillId="28" borderId="34" xfId="0" applyFill="1" applyBorder="1" applyAlignment="1">
      <alignment horizontal="center" vertical="center"/>
    </xf>
    <xf numFmtId="0" fontId="0" fillId="28" borderId="13" xfId="0" applyFill="1" applyBorder="1" applyAlignment="1">
      <alignment horizontal="center" vertical="center"/>
    </xf>
    <xf numFmtId="0" fontId="0" fillId="28" borderId="35" xfId="0" applyFill="1" applyBorder="1" applyAlignment="1">
      <alignment horizontal="center" vertical="center"/>
    </xf>
    <xf numFmtId="0" fontId="0" fillId="28" borderId="36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top"/>
    </xf>
    <xf numFmtId="0" fontId="0" fillId="2" borderId="23" xfId="0" applyFill="1" applyBorder="1" applyAlignment="1">
      <alignment horizontal="center" vertical="top"/>
    </xf>
    <xf numFmtId="0" fontId="0" fillId="2" borderId="22" xfId="0" applyFill="1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 vertical="top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6" fillId="0" borderId="16" xfId="0" applyFont="1" applyBorder="1" applyAlignment="1">
      <alignment vertical="center"/>
    </xf>
    <xf numFmtId="0" fontId="0" fillId="2" borderId="18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8" fillId="30" borderId="18" xfId="0" applyFont="1" applyFill="1" applyBorder="1" applyAlignment="1">
      <alignment horizontal="center" vertical="center"/>
    </xf>
    <xf numFmtId="0" fontId="18" fillId="30" borderId="23" xfId="0" applyFont="1" applyFill="1" applyBorder="1" applyAlignment="1">
      <alignment horizontal="center" vertical="center"/>
    </xf>
    <xf numFmtId="0" fontId="18" fillId="30" borderId="22" xfId="0" applyFont="1" applyFill="1" applyBorder="1" applyAlignment="1">
      <alignment horizontal="center" vertical="center"/>
    </xf>
  </cellXfs>
  <cellStyles count="54">
    <cellStyle name="20% - Accent1 2" xfId="1" xr:uid="{00000000-0005-0000-0000-000000000000}"/>
    <cellStyle name="20% - Accent1 3" xfId="2" xr:uid="{00000000-0005-0000-0000-000001000000}"/>
    <cellStyle name="20% - Accent2 2" xfId="3" xr:uid="{00000000-0005-0000-0000-000002000000}"/>
    <cellStyle name="20% - Accent2 3" xfId="4" xr:uid="{00000000-0005-0000-0000-000003000000}"/>
    <cellStyle name="20% - Accent3 2" xfId="5" xr:uid="{00000000-0005-0000-0000-000004000000}"/>
    <cellStyle name="20% - Accent3 3" xfId="6" xr:uid="{00000000-0005-0000-0000-000005000000}"/>
    <cellStyle name="20% - Accent4 2" xfId="7" xr:uid="{00000000-0005-0000-0000-000006000000}"/>
    <cellStyle name="20% - Accent4 3" xfId="8" xr:uid="{00000000-0005-0000-0000-000007000000}"/>
    <cellStyle name="40% - Accent3 2" xfId="9" xr:uid="{00000000-0005-0000-0000-000008000000}"/>
    <cellStyle name="40% - Accent3 3" xfId="10" xr:uid="{00000000-0005-0000-0000-000009000000}"/>
    <cellStyle name="60% - Accent3 2" xfId="11" xr:uid="{00000000-0005-0000-0000-00000A000000}"/>
    <cellStyle name="60% - Accent3 3" xfId="12" xr:uid="{00000000-0005-0000-0000-00000B000000}"/>
    <cellStyle name="60% - Accent4 2" xfId="13" xr:uid="{00000000-0005-0000-0000-00000C000000}"/>
    <cellStyle name="60% - Accent4 3" xfId="14" xr:uid="{00000000-0005-0000-0000-00000D000000}"/>
    <cellStyle name="60% - Accent6 2" xfId="15" xr:uid="{00000000-0005-0000-0000-00000E000000}"/>
    <cellStyle name="60% - Accent6 3" xfId="16" xr:uid="{00000000-0005-0000-0000-00000F000000}"/>
    <cellStyle name="Hyperlink 2" xfId="17" xr:uid="{00000000-0005-0000-0000-000010000000}"/>
    <cellStyle name="Normal" xfId="0" builtinId="0"/>
    <cellStyle name="Normal 10" xfId="18" xr:uid="{00000000-0005-0000-0000-000012000000}"/>
    <cellStyle name="Normal 16" xfId="19" xr:uid="{00000000-0005-0000-0000-000013000000}"/>
    <cellStyle name="Normal 2" xfId="20" xr:uid="{00000000-0005-0000-0000-000014000000}"/>
    <cellStyle name="Normal 2 2" xfId="21" xr:uid="{00000000-0005-0000-0000-000015000000}"/>
    <cellStyle name="Normal 2 2 2" xfId="22" xr:uid="{00000000-0005-0000-0000-000016000000}"/>
    <cellStyle name="Normal 2 2 3" xfId="23" xr:uid="{00000000-0005-0000-0000-000017000000}"/>
    <cellStyle name="Normal 2 3" xfId="24" xr:uid="{00000000-0005-0000-0000-000018000000}"/>
    <cellStyle name="Normal 2 3 2" xfId="25" xr:uid="{00000000-0005-0000-0000-000019000000}"/>
    <cellStyle name="Normal 2 3 3" xfId="26" xr:uid="{00000000-0005-0000-0000-00001A000000}"/>
    <cellStyle name="Normal 2 3 4" xfId="27" xr:uid="{00000000-0005-0000-0000-00001B000000}"/>
    <cellStyle name="Normal 2 4" xfId="28" xr:uid="{00000000-0005-0000-0000-00001C000000}"/>
    <cellStyle name="Normal 2 5" xfId="29" xr:uid="{00000000-0005-0000-0000-00001D000000}"/>
    <cellStyle name="Normal 2 5 2" xfId="30" xr:uid="{00000000-0005-0000-0000-00001E000000}"/>
    <cellStyle name="Normal 2 6" xfId="31" xr:uid="{00000000-0005-0000-0000-00001F000000}"/>
    <cellStyle name="Normal 2 6 2" xfId="32" xr:uid="{00000000-0005-0000-0000-000020000000}"/>
    <cellStyle name="Normal 2 7" xfId="33" xr:uid="{00000000-0005-0000-0000-000021000000}"/>
    <cellStyle name="Normal 2 7 2" xfId="34" xr:uid="{00000000-0005-0000-0000-000022000000}"/>
    <cellStyle name="Normal 3" xfId="35" xr:uid="{00000000-0005-0000-0000-000023000000}"/>
    <cellStyle name="Normal 3 2" xfId="36" xr:uid="{00000000-0005-0000-0000-000024000000}"/>
    <cellStyle name="Normal 3 2 2" xfId="37" xr:uid="{00000000-0005-0000-0000-000025000000}"/>
    <cellStyle name="Normal 3 2 3" xfId="38" xr:uid="{00000000-0005-0000-0000-000026000000}"/>
    <cellStyle name="Normal 3 2 4" xfId="39" xr:uid="{00000000-0005-0000-0000-000027000000}"/>
    <cellStyle name="Normal 3 3" xfId="40" xr:uid="{00000000-0005-0000-0000-000028000000}"/>
    <cellStyle name="Normal 3 4" xfId="41" xr:uid="{00000000-0005-0000-0000-000029000000}"/>
    <cellStyle name="Normal 3 5" xfId="42" xr:uid="{00000000-0005-0000-0000-00002A000000}"/>
    <cellStyle name="Normal 4" xfId="43" xr:uid="{00000000-0005-0000-0000-00002B000000}"/>
    <cellStyle name="Normal 5" xfId="44" xr:uid="{00000000-0005-0000-0000-00002C000000}"/>
    <cellStyle name="Normal 6" xfId="45" xr:uid="{00000000-0005-0000-0000-00002D000000}"/>
    <cellStyle name="Normal 86" xfId="46" xr:uid="{00000000-0005-0000-0000-00002E000000}"/>
    <cellStyle name="Normal 86 2" xfId="47" xr:uid="{00000000-0005-0000-0000-00002F000000}"/>
    <cellStyle name="Normal 9" xfId="48" xr:uid="{00000000-0005-0000-0000-000030000000}"/>
    <cellStyle name="Normal 9 2" xfId="49" xr:uid="{00000000-0005-0000-0000-000031000000}"/>
    <cellStyle name="Note 2" xfId="50" xr:uid="{00000000-0005-0000-0000-000032000000}"/>
    <cellStyle name="Note 2 2" xfId="51" xr:uid="{00000000-0005-0000-0000-000033000000}"/>
    <cellStyle name="Note 3" xfId="52" xr:uid="{00000000-0005-0000-0000-000034000000}"/>
    <cellStyle name="Title 2" xfId="53" xr:uid="{00000000-0005-0000-0000-000035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V26"/>
  <sheetViews>
    <sheetView workbookViewId="0">
      <pane ySplit="1" topLeftCell="A2" activePane="bottomLeft" state="frozen"/>
      <selection pane="bottomLeft" activeCell="E9" sqref="E9:F9"/>
    </sheetView>
  </sheetViews>
  <sheetFormatPr defaultRowHeight="14.25"/>
  <cols>
    <col min="2" max="2" width="8.85546875" bestFit="1" customWidth="1"/>
    <col min="3" max="3" width="26.42578125" bestFit="1" customWidth="1"/>
    <col min="4" max="4" width="34" bestFit="1" customWidth="1"/>
    <col min="5" max="5" width="12.5703125" bestFit="1" customWidth="1"/>
    <col min="6" max="6" width="11.42578125" bestFit="1" customWidth="1"/>
    <col min="7" max="7" width="8.140625" bestFit="1" customWidth="1"/>
    <col min="8" max="8" width="10.85546875" bestFit="1" customWidth="1"/>
    <col min="9" max="9" width="7.42578125" bestFit="1" customWidth="1"/>
    <col min="10" max="10" width="7.5703125" bestFit="1" customWidth="1"/>
    <col min="11" max="11" width="7.42578125" bestFit="1" customWidth="1"/>
    <col min="12" max="12" width="7.5703125" bestFit="1" customWidth="1"/>
    <col min="13" max="13" width="6.5703125" bestFit="1" customWidth="1"/>
    <col min="14" max="16" width="7.5703125" bestFit="1" customWidth="1"/>
    <col min="17" max="18" width="7.140625" bestFit="1" customWidth="1"/>
    <col min="19" max="19" width="11.42578125" bestFit="1" customWidth="1"/>
    <col min="20" max="20" width="12.42578125" bestFit="1" customWidth="1"/>
  </cols>
  <sheetData>
    <row r="1" spans="1:20">
      <c r="A1" s="38" t="s">
        <v>0</v>
      </c>
      <c r="B1" s="38" t="s">
        <v>1</v>
      </c>
      <c r="C1" s="38" t="s">
        <v>2</v>
      </c>
      <c r="D1" s="38" t="s">
        <v>3</v>
      </c>
      <c r="E1" s="21" t="s">
        <v>4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>
      <c r="A2" s="19" t="s">
        <v>5</v>
      </c>
      <c r="B2" s="19" t="s">
        <v>6</v>
      </c>
      <c r="C2" s="19" t="s">
        <v>7</v>
      </c>
      <c r="D2" s="19" t="s">
        <v>8</v>
      </c>
      <c r="E2" t="s">
        <v>9</v>
      </c>
      <c r="F2" t="s">
        <v>10</v>
      </c>
    </row>
    <row r="3" spans="1:20">
      <c r="A3" s="19" t="s">
        <v>5</v>
      </c>
      <c r="B3" s="19" t="s">
        <v>6</v>
      </c>
      <c r="C3" s="19" t="s">
        <v>11</v>
      </c>
      <c r="D3" s="19" t="s">
        <v>8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 spans="1:20">
      <c r="A4" s="19" t="s">
        <v>5</v>
      </c>
      <c r="B4" s="19" t="s">
        <v>6</v>
      </c>
      <c r="C4" s="19" t="s">
        <v>18</v>
      </c>
      <c r="D4" s="19" t="s">
        <v>8</v>
      </c>
      <c r="E4" t="s">
        <v>14</v>
      </c>
      <c r="F4" t="s">
        <v>15</v>
      </c>
      <c r="G4" t="s">
        <v>9</v>
      </c>
      <c r="H4" t="s">
        <v>10</v>
      </c>
    </row>
    <row r="5" spans="1:20">
      <c r="A5" s="19" t="s">
        <v>5</v>
      </c>
      <c r="B5" s="19" t="s">
        <v>19</v>
      </c>
      <c r="C5" s="19" t="s">
        <v>20</v>
      </c>
      <c r="D5" s="19" t="s">
        <v>8</v>
      </c>
      <c r="E5" t="s">
        <v>9</v>
      </c>
      <c r="F5" t="s">
        <v>10</v>
      </c>
    </row>
    <row r="6" spans="1:20">
      <c r="A6" s="19" t="s">
        <v>5</v>
      </c>
      <c r="B6" s="19" t="s">
        <v>21</v>
      </c>
      <c r="C6" s="19" t="s">
        <v>22</v>
      </c>
      <c r="D6" s="19" t="s">
        <v>8</v>
      </c>
      <c r="E6" t="s">
        <v>12</v>
      </c>
      <c r="F6" t="s">
        <v>13</v>
      </c>
    </row>
    <row r="7" spans="1:20">
      <c r="A7" s="19" t="s">
        <v>5</v>
      </c>
      <c r="B7" s="19" t="s">
        <v>21</v>
      </c>
      <c r="C7" s="19" t="s">
        <v>23</v>
      </c>
      <c r="D7" s="19" t="s">
        <v>8</v>
      </c>
      <c r="E7" t="s">
        <v>10</v>
      </c>
      <c r="F7" t="s">
        <v>24</v>
      </c>
      <c r="G7" t="s">
        <v>9</v>
      </c>
      <c r="H7" t="s">
        <v>25</v>
      </c>
    </row>
    <row r="8" spans="1:20">
      <c r="A8" s="19" t="s">
        <v>5</v>
      </c>
      <c r="B8" s="19" t="s">
        <v>21</v>
      </c>
      <c r="C8" s="19" t="s">
        <v>26</v>
      </c>
      <c r="D8" s="19" t="s">
        <v>8</v>
      </c>
      <c r="E8" t="s">
        <v>27</v>
      </c>
      <c r="F8" t="s">
        <v>28</v>
      </c>
      <c r="G8" t="s">
        <v>29</v>
      </c>
      <c r="H8" t="s">
        <v>30</v>
      </c>
    </row>
    <row r="9" spans="1:20">
      <c r="A9" s="19" t="s">
        <v>5</v>
      </c>
      <c r="B9" s="19" t="s">
        <v>21</v>
      </c>
      <c r="C9" s="19" t="s">
        <v>31</v>
      </c>
      <c r="D9" s="19" t="s">
        <v>8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</row>
    <row r="10" spans="1:20">
      <c r="A10" s="19" t="s">
        <v>5</v>
      </c>
      <c r="B10" s="19" t="s">
        <v>21</v>
      </c>
      <c r="C10" s="19" t="s">
        <v>46</v>
      </c>
      <c r="D10" s="19" t="s">
        <v>8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</row>
    <row r="11" spans="1:20">
      <c r="A11" s="19" t="s">
        <v>5</v>
      </c>
      <c r="B11" s="19" t="s">
        <v>55</v>
      </c>
      <c r="C11" s="19" t="s">
        <v>56</v>
      </c>
      <c r="D11" s="19" t="s">
        <v>8</v>
      </c>
      <c r="E11" t="s">
        <v>57</v>
      </c>
      <c r="F11" t="s">
        <v>58</v>
      </c>
      <c r="G11" t="s">
        <v>59</v>
      </c>
      <c r="H11" t="s">
        <v>60</v>
      </c>
    </row>
    <row r="12" spans="1:20">
      <c r="A12" s="19" t="s">
        <v>5</v>
      </c>
      <c r="B12" s="19" t="s">
        <v>55</v>
      </c>
      <c r="C12" s="19" t="s">
        <v>61</v>
      </c>
      <c r="D12" s="19" t="s">
        <v>8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 t="s">
        <v>67</v>
      </c>
      <c r="K12" t="s">
        <v>68</v>
      </c>
      <c r="L12" t="s">
        <v>69</v>
      </c>
      <c r="M12" t="s">
        <v>70</v>
      </c>
      <c r="N12" t="s">
        <v>71</v>
      </c>
      <c r="O12" t="s">
        <v>72</v>
      </c>
      <c r="P12" t="s">
        <v>73</v>
      </c>
    </row>
    <row r="13" spans="1:20">
      <c r="A13" s="19" t="s">
        <v>5</v>
      </c>
      <c r="B13" s="19" t="s">
        <v>55</v>
      </c>
      <c r="C13" s="19" t="s">
        <v>74</v>
      </c>
      <c r="D13" s="19" t="s">
        <v>8</v>
      </c>
      <c r="E13" t="s">
        <v>75</v>
      </c>
      <c r="F13" t="s">
        <v>76</v>
      </c>
      <c r="G13" t="s">
        <v>77</v>
      </c>
      <c r="H13" t="s">
        <v>78</v>
      </c>
      <c r="I13" t="s">
        <v>79</v>
      </c>
      <c r="J13" t="s">
        <v>80</v>
      </c>
      <c r="K13" t="s">
        <v>81</v>
      </c>
      <c r="L13" t="s">
        <v>82</v>
      </c>
      <c r="M13" t="s">
        <v>83</v>
      </c>
      <c r="N13" t="s">
        <v>84</v>
      </c>
      <c r="O13" t="s">
        <v>85</v>
      </c>
      <c r="P13" t="s">
        <v>86</v>
      </c>
    </row>
    <row r="14" spans="1:20">
      <c r="A14" s="19" t="s">
        <v>5</v>
      </c>
      <c r="B14" s="19" t="s">
        <v>55</v>
      </c>
      <c r="C14" s="19" t="s">
        <v>87</v>
      </c>
      <c r="D14" s="19" t="s">
        <v>8</v>
      </c>
      <c r="E14" t="s">
        <v>10</v>
      </c>
      <c r="F14" t="s">
        <v>9</v>
      </c>
      <c r="G14" t="s">
        <v>88</v>
      </c>
    </row>
    <row r="15" spans="1:20">
      <c r="A15" s="19" t="s">
        <v>5</v>
      </c>
      <c r="B15" s="19" t="s">
        <v>55</v>
      </c>
      <c r="C15" s="19" t="s">
        <v>89</v>
      </c>
      <c r="D15" s="19" t="s">
        <v>8</v>
      </c>
      <c r="E15" t="s">
        <v>10</v>
      </c>
      <c r="F15" t="s">
        <v>9</v>
      </c>
      <c r="G15" t="s">
        <v>24</v>
      </c>
      <c r="H15" t="s">
        <v>25</v>
      </c>
      <c r="I15" t="s">
        <v>83</v>
      </c>
    </row>
    <row r="16" spans="1:20">
      <c r="A16" s="19" t="s">
        <v>5</v>
      </c>
      <c r="B16" s="19" t="s">
        <v>55</v>
      </c>
      <c r="C16" s="19" t="s">
        <v>90</v>
      </c>
      <c r="D16" s="19" t="s">
        <v>8</v>
      </c>
      <c r="E16" t="s">
        <v>9</v>
      </c>
      <c r="F16" t="s">
        <v>10</v>
      </c>
    </row>
    <row r="17" spans="1:22">
      <c r="A17" s="19" t="s">
        <v>5</v>
      </c>
      <c r="B17" s="19" t="s">
        <v>91</v>
      </c>
      <c r="C17" s="19" t="s">
        <v>92</v>
      </c>
      <c r="D17" s="19" t="s">
        <v>8</v>
      </c>
      <c r="E17" t="s">
        <v>93</v>
      </c>
      <c r="F17" t="s">
        <v>94</v>
      </c>
      <c r="G17" t="s">
        <v>95</v>
      </c>
      <c r="H17" t="s">
        <v>96</v>
      </c>
    </row>
    <row r="18" spans="1:22">
      <c r="A18" s="19" t="s">
        <v>5</v>
      </c>
      <c r="B18" s="19" t="s">
        <v>97</v>
      </c>
      <c r="C18" s="19" t="s">
        <v>98</v>
      </c>
      <c r="D18" s="19" t="s">
        <v>8</v>
      </c>
      <c r="E18" s="19" t="s">
        <v>10</v>
      </c>
      <c r="F18" s="19" t="s">
        <v>9</v>
      </c>
    </row>
    <row r="19" spans="1:22">
      <c r="A19" s="19" t="s">
        <v>5</v>
      </c>
      <c r="B19" s="19" t="s">
        <v>97</v>
      </c>
      <c r="C19" s="19" t="s">
        <v>99</v>
      </c>
      <c r="D19" s="19" t="s">
        <v>8</v>
      </c>
      <c r="E19" t="s">
        <v>100</v>
      </c>
      <c r="F19" t="s">
        <v>101</v>
      </c>
      <c r="G19" t="s">
        <v>102</v>
      </c>
    </row>
    <row r="20" spans="1:22">
      <c r="A20" s="19" t="s">
        <v>5</v>
      </c>
      <c r="B20" s="19" t="s">
        <v>97</v>
      </c>
      <c r="C20" s="19" t="s">
        <v>103</v>
      </c>
      <c r="D20" s="19" t="s">
        <v>8</v>
      </c>
      <c r="E20" t="s">
        <v>104</v>
      </c>
      <c r="F20" t="s">
        <v>105</v>
      </c>
      <c r="G20" t="s">
        <v>24</v>
      </c>
      <c r="H20" t="s">
        <v>25</v>
      </c>
    </row>
    <row r="21" spans="1:22">
      <c r="A21" s="19" t="s">
        <v>5</v>
      </c>
      <c r="B21" s="19" t="s">
        <v>97</v>
      </c>
      <c r="C21" s="19" t="s">
        <v>106</v>
      </c>
      <c r="D21" s="19" t="s">
        <v>8</v>
      </c>
      <c r="E21" t="s">
        <v>107</v>
      </c>
      <c r="F21" t="s">
        <v>108</v>
      </c>
      <c r="G21" t="s">
        <v>10</v>
      </c>
      <c r="H21" t="s">
        <v>9</v>
      </c>
      <c r="I21" t="s">
        <v>109</v>
      </c>
    </row>
    <row r="22" spans="1:22">
      <c r="A22" s="19" t="s">
        <v>5</v>
      </c>
      <c r="B22" s="19" t="s">
        <v>110</v>
      </c>
      <c r="C22" s="19" t="s">
        <v>111</v>
      </c>
      <c r="D22" s="19" t="s">
        <v>112</v>
      </c>
      <c r="E22" t="s">
        <v>79</v>
      </c>
      <c r="F22" t="s">
        <v>78</v>
      </c>
      <c r="G22" t="s">
        <v>82</v>
      </c>
      <c r="H22" t="s">
        <v>84</v>
      </c>
      <c r="I22" t="s">
        <v>113</v>
      </c>
      <c r="J22" t="s">
        <v>114</v>
      </c>
      <c r="K22" t="s">
        <v>115</v>
      </c>
      <c r="L22" t="s">
        <v>58</v>
      </c>
      <c r="M22" t="s">
        <v>116</v>
      </c>
      <c r="N22" t="s">
        <v>117</v>
      </c>
    </row>
    <row r="23" spans="1:22">
      <c r="A23" s="19" t="s">
        <v>5</v>
      </c>
      <c r="B23" s="19" t="s">
        <v>110</v>
      </c>
      <c r="C23" s="19" t="s">
        <v>118</v>
      </c>
      <c r="D23" s="19" t="s">
        <v>112</v>
      </c>
      <c r="E23" t="s">
        <v>75</v>
      </c>
      <c r="F23" t="s">
        <v>76</v>
      </c>
      <c r="G23" t="s">
        <v>77</v>
      </c>
      <c r="H23" t="s">
        <v>78</v>
      </c>
      <c r="I23" t="s">
        <v>117</v>
      </c>
      <c r="J23" t="s">
        <v>79</v>
      </c>
      <c r="K23" t="s">
        <v>116</v>
      </c>
      <c r="L23" t="s">
        <v>119</v>
      </c>
      <c r="M23" t="s">
        <v>80</v>
      </c>
      <c r="N23" t="s">
        <v>120</v>
      </c>
      <c r="O23" t="s">
        <v>81</v>
      </c>
      <c r="P23" t="s">
        <v>82</v>
      </c>
      <c r="Q23" t="s">
        <v>83</v>
      </c>
      <c r="R23" t="s">
        <v>84</v>
      </c>
      <c r="S23" t="s">
        <v>85</v>
      </c>
      <c r="T23" t="s">
        <v>86</v>
      </c>
    </row>
    <row r="24" spans="1:22">
      <c r="A24" s="19" t="s">
        <v>5</v>
      </c>
      <c r="B24" s="19" t="s">
        <v>121</v>
      </c>
      <c r="C24" s="19" t="s">
        <v>122</v>
      </c>
      <c r="D24" s="19" t="s">
        <v>8</v>
      </c>
      <c r="E24" t="s">
        <v>123</v>
      </c>
      <c r="F24" t="s">
        <v>124</v>
      </c>
      <c r="G24" t="s">
        <v>125</v>
      </c>
      <c r="H24" t="s">
        <v>126</v>
      </c>
      <c r="I24" t="s">
        <v>127</v>
      </c>
      <c r="J24" t="s">
        <v>128</v>
      </c>
      <c r="K24" t="s">
        <v>129</v>
      </c>
      <c r="L24" t="s">
        <v>130</v>
      </c>
      <c r="M24" t="s">
        <v>131</v>
      </c>
      <c r="N24" t="s">
        <v>132</v>
      </c>
      <c r="O24" t="s">
        <v>133</v>
      </c>
      <c r="P24" t="s">
        <v>134</v>
      </c>
      <c r="Q24" t="s">
        <v>135</v>
      </c>
      <c r="R24" t="s">
        <v>136</v>
      </c>
      <c r="S24" t="s">
        <v>137</v>
      </c>
      <c r="T24" t="s">
        <v>138</v>
      </c>
      <c r="U24" t="s">
        <v>139</v>
      </c>
      <c r="V24" t="s">
        <v>140</v>
      </c>
    </row>
    <row r="25" spans="1:22">
      <c r="A25" s="19" t="s">
        <v>5</v>
      </c>
      <c r="B25" s="19" t="s">
        <v>121</v>
      </c>
      <c r="C25" s="19" t="s">
        <v>141</v>
      </c>
      <c r="D25" s="19" t="s">
        <v>8</v>
      </c>
      <c r="E25" s="19" t="s">
        <v>24</v>
      </c>
      <c r="F25" s="19" t="s">
        <v>104</v>
      </c>
      <c r="G25" s="19" t="s">
        <v>105</v>
      </c>
      <c r="H25" s="19" t="s">
        <v>25</v>
      </c>
    </row>
    <row r="26" spans="1:22">
      <c r="A26" s="19" t="s">
        <v>5</v>
      </c>
      <c r="B26" s="19" t="s">
        <v>121</v>
      </c>
      <c r="C26" s="19" t="s">
        <v>142</v>
      </c>
      <c r="D26" s="19" t="s">
        <v>8</v>
      </c>
      <c r="E26" t="s">
        <v>24</v>
      </c>
      <c r="F26" t="s">
        <v>104</v>
      </c>
      <c r="G26" t="s">
        <v>105</v>
      </c>
      <c r="H26" t="s">
        <v>25</v>
      </c>
      <c r="I26" t="s">
        <v>143</v>
      </c>
      <c r="J26" t="s">
        <v>144</v>
      </c>
      <c r="K26" t="s">
        <v>145</v>
      </c>
      <c r="L26" t="s">
        <v>146</v>
      </c>
      <c r="M26" t="s">
        <v>147</v>
      </c>
      <c r="N26" t="s">
        <v>148</v>
      </c>
      <c r="O26" t="s">
        <v>140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42"/>
  <sheetViews>
    <sheetView zoomScale="90" zoomScaleNormal="90" workbookViewId="0">
      <selection activeCell="A20" sqref="A20"/>
    </sheetView>
  </sheetViews>
  <sheetFormatPr defaultColWidth="9.140625" defaultRowHeight="14.25"/>
  <cols>
    <col min="1" max="1" width="18" customWidth="1"/>
    <col min="2" max="2" width="25.5703125" customWidth="1"/>
    <col min="3" max="3" width="34.42578125" bestFit="1" customWidth="1"/>
    <col min="4" max="4" width="4.42578125" customWidth="1"/>
    <col min="5" max="5" width="7" customWidth="1"/>
    <col min="6" max="6" width="17.140625" style="3" customWidth="1"/>
    <col min="7" max="7" width="14" style="3" bestFit="1" customWidth="1"/>
    <col min="8" max="8" width="15" style="3" bestFit="1" customWidth="1"/>
    <col min="9" max="9" width="14.5703125" style="3" bestFit="1" customWidth="1"/>
    <col min="10" max="10" width="14.42578125" style="3" customWidth="1"/>
    <col min="11" max="11" width="9.5703125" style="3" customWidth="1"/>
    <col min="12" max="13" width="13.5703125" style="3" bestFit="1" customWidth="1"/>
    <col min="14" max="17" width="9.5703125" customWidth="1"/>
    <col min="18" max="19" width="9.42578125" customWidth="1"/>
    <col min="20" max="20" width="4.42578125" bestFit="1" customWidth="1"/>
    <col min="21" max="21" width="5" bestFit="1" customWidth="1"/>
    <col min="22" max="22" width="8.42578125" bestFit="1" customWidth="1"/>
    <col min="23" max="23" width="8.140625" bestFit="1" customWidth="1"/>
  </cols>
  <sheetData>
    <row r="1" spans="1:13">
      <c r="A1" s="24" t="s">
        <v>149</v>
      </c>
      <c r="B1" s="24" t="s">
        <v>150</v>
      </c>
      <c r="C1" s="28" t="s">
        <v>151</v>
      </c>
      <c r="E1" s="4"/>
      <c r="F1" s="23" t="s">
        <v>10</v>
      </c>
      <c r="G1" s="23" t="s">
        <v>9</v>
      </c>
    </row>
    <row r="2" spans="1:13">
      <c r="A2" s="7" t="s">
        <v>134</v>
      </c>
      <c r="B2" s="7" t="s">
        <v>134</v>
      </c>
      <c r="C2" s="25" t="s">
        <v>152</v>
      </c>
      <c r="D2" s="1"/>
      <c r="E2" s="6"/>
      <c r="F2" s="67" t="s">
        <v>153</v>
      </c>
      <c r="G2" s="67" t="s">
        <v>154</v>
      </c>
    </row>
    <row r="5" spans="1:13">
      <c r="A5" s="24" t="s">
        <v>149</v>
      </c>
      <c r="B5" s="24" t="s">
        <v>150</v>
      </c>
      <c r="C5" s="28" t="s">
        <v>151</v>
      </c>
      <c r="E5" s="4"/>
      <c r="F5" s="23" t="s">
        <v>155</v>
      </c>
      <c r="G5" s="23" t="s">
        <v>156</v>
      </c>
    </row>
    <row r="6" spans="1:13">
      <c r="A6" s="7" t="s">
        <v>157</v>
      </c>
      <c r="B6" s="7" t="s">
        <v>157</v>
      </c>
      <c r="C6" s="25" t="s">
        <v>158</v>
      </c>
      <c r="D6" s="1"/>
      <c r="E6" s="6"/>
      <c r="F6" s="67" t="s">
        <v>153</v>
      </c>
      <c r="G6" s="67" t="s">
        <v>154</v>
      </c>
    </row>
    <row r="9" spans="1:13">
      <c r="A9" s="24" t="s">
        <v>149</v>
      </c>
      <c r="B9" s="24" t="s">
        <v>150</v>
      </c>
      <c r="C9" s="28" t="s">
        <v>151</v>
      </c>
      <c r="F9" s="44" t="s">
        <v>47</v>
      </c>
      <c r="G9" s="44" t="s">
        <v>48</v>
      </c>
      <c r="H9" s="44" t="s">
        <v>49</v>
      </c>
      <c r="I9" s="44" t="s">
        <v>50</v>
      </c>
      <c r="J9" s="44" t="s">
        <v>51</v>
      </c>
      <c r="K9" s="44" t="s">
        <v>52</v>
      </c>
      <c r="L9" s="44" t="s">
        <v>53</v>
      </c>
      <c r="M9" s="44" t="s">
        <v>54</v>
      </c>
    </row>
    <row r="10" spans="1:13">
      <c r="A10" s="284" t="s">
        <v>159</v>
      </c>
      <c r="B10" s="7" t="s">
        <v>160</v>
      </c>
      <c r="C10" s="26" t="s">
        <v>161</v>
      </c>
      <c r="D10" s="34"/>
      <c r="F10" s="2" t="s">
        <v>153</v>
      </c>
      <c r="L10" s="2" t="s">
        <v>162</v>
      </c>
    </row>
    <row r="11" spans="1:13">
      <c r="A11" s="284"/>
      <c r="B11" s="7" t="s">
        <v>163</v>
      </c>
      <c r="C11" s="26" t="s">
        <v>164</v>
      </c>
      <c r="D11" s="34"/>
      <c r="F11" s="2" t="s">
        <v>153</v>
      </c>
      <c r="I11" s="2" t="s">
        <v>162</v>
      </c>
    </row>
    <row r="12" spans="1:13">
      <c r="A12" s="284"/>
      <c r="B12" s="7" t="s">
        <v>165</v>
      </c>
      <c r="C12" s="26" t="s">
        <v>166</v>
      </c>
      <c r="D12" s="34"/>
      <c r="I12" s="2" t="s">
        <v>162</v>
      </c>
      <c r="L12" s="2" t="s">
        <v>153</v>
      </c>
    </row>
    <row r="13" spans="1:13">
      <c r="A13" s="284" t="s">
        <v>167</v>
      </c>
      <c r="B13" s="7" t="s">
        <v>168</v>
      </c>
      <c r="C13" s="26" t="s">
        <v>169</v>
      </c>
      <c r="D13" s="34"/>
      <c r="H13" s="2" t="s">
        <v>153</v>
      </c>
      <c r="J13" s="2" t="s">
        <v>162</v>
      </c>
    </row>
    <row r="14" spans="1:13">
      <c r="A14" s="284"/>
      <c r="B14" s="7" t="s">
        <v>170</v>
      </c>
      <c r="C14" s="26" t="s">
        <v>171</v>
      </c>
      <c r="D14" s="34"/>
      <c r="F14" s="2" t="s">
        <v>162</v>
      </c>
      <c r="H14" s="2" t="s">
        <v>153</v>
      </c>
    </row>
    <row r="15" spans="1:13">
      <c r="A15" s="284"/>
      <c r="B15" s="7" t="s">
        <v>172</v>
      </c>
      <c r="C15" s="26" t="s">
        <v>173</v>
      </c>
      <c r="D15" s="34"/>
      <c r="F15" s="2" t="s">
        <v>162</v>
      </c>
      <c r="J15" s="2" t="s">
        <v>153</v>
      </c>
    </row>
    <row r="16" spans="1:13">
      <c r="A16" s="284" t="s">
        <v>174</v>
      </c>
      <c r="B16" s="7" t="s">
        <v>175</v>
      </c>
      <c r="C16" s="26" t="s">
        <v>176</v>
      </c>
      <c r="D16" s="34"/>
      <c r="F16" s="2" t="s">
        <v>162</v>
      </c>
      <c r="M16" s="2" t="s">
        <v>153</v>
      </c>
    </row>
    <row r="17" spans="1:13">
      <c r="A17" s="284"/>
      <c r="B17" s="7" t="s">
        <v>177</v>
      </c>
      <c r="C17" s="26" t="s">
        <v>178</v>
      </c>
      <c r="D17" s="34"/>
      <c r="I17" s="2" t="s">
        <v>162</v>
      </c>
      <c r="M17" s="2" t="s">
        <v>153</v>
      </c>
    </row>
    <row r="18" spans="1:13">
      <c r="A18" s="284"/>
      <c r="B18" s="7" t="s">
        <v>179</v>
      </c>
      <c r="C18" s="26" t="s">
        <v>180</v>
      </c>
      <c r="D18" s="34"/>
      <c r="F18" s="2" t="s">
        <v>153</v>
      </c>
      <c r="I18" s="2" t="s">
        <v>162</v>
      </c>
    </row>
    <row r="21" spans="1:13">
      <c r="A21" s="24" t="s">
        <v>149</v>
      </c>
      <c r="B21" s="24" t="s">
        <v>150</v>
      </c>
      <c r="C21" s="28" t="s">
        <v>151</v>
      </c>
      <c r="E21" s="4"/>
      <c r="F21" s="23" t="s">
        <v>9</v>
      </c>
      <c r="G21" s="23" t="s">
        <v>25</v>
      </c>
    </row>
    <row r="22" spans="1:13">
      <c r="A22" s="7" t="s">
        <v>181</v>
      </c>
      <c r="B22" s="7" t="s">
        <v>181</v>
      </c>
      <c r="C22" s="25" t="s">
        <v>182</v>
      </c>
      <c r="D22" s="1"/>
      <c r="E22" s="6"/>
      <c r="F22" s="67" t="s">
        <v>153</v>
      </c>
      <c r="G22" s="67" t="s">
        <v>154</v>
      </c>
    </row>
    <row r="25" spans="1:13">
      <c r="A25" s="24" t="s">
        <v>149</v>
      </c>
      <c r="B25" s="24" t="s">
        <v>150</v>
      </c>
      <c r="C25" s="28" t="s">
        <v>151</v>
      </c>
      <c r="E25" s="4"/>
      <c r="F25" s="23" t="s">
        <v>49</v>
      </c>
      <c r="G25" s="23" t="s">
        <v>48</v>
      </c>
    </row>
    <row r="26" spans="1:13">
      <c r="A26" s="7" t="s">
        <v>183</v>
      </c>
      <c r="B26" s="7" t="s">
        <v>183</v>
      </c>
      <c r="C26" s="25" t="s">
        <v>182</v>
      </c>
      <c r="D26" s="1"/>
      <c r="E26" s="6"/>
      <c r="F26" s="67" t="s">
        <v>153</v>
      </c>
      <c r="G26" s="67" t="s">
        <v>154</v>
      </c>
    </row>
    <row r="29" spans="1:13">
      <c r="A29" s="24" t="s">
        <v>149</v>
      </c>
      <c r="B29" s="24" t="s">
        <v>150</v>
      </c>
      <c r="C29" s="28" t="s">
        <v>151</v>
      </c>
      <c r="E29" s="4"/>
      <c r="F29" s="44" t="s">
        <v>184</v>
      </c>
      <c r="G29" s="23" t="s">
        <v>93</v>
      </c>
    </row>
    <row r="30" spans="1:13">
      <c r="A30" s="7" t="s">
        <v>185</v>
      </c>
      <c r="B30" s="7" t="s">
        <v>185</v>
      </c>
      <c r="C30" s="25" t="s">
        <v>158</v>
      </c>
      <c r="D30" s="1"/>
      <c r="E30" s="6"/>
      <c r="F30" s="67" t="s">
        <v>153</v>
      </c>
      <c r="G30" s="67" t="s">
        <v>154</v>
      </c>
    </row>
    <row r="33" spans="1:10">
      <c r="A33" s="24" t="s">
        <v>149</v>
      </c>
      <c r="B33" s="24" t="s">
        <v>150</v>
      </c>
      <c r="C33" s="28" t="s">
        <v>151</v>
      </c>
      <c r="E33" s="4"/>
      <c r="F33" s="23" t="s">
        <v>10</v>
      </c>
      <c r="G33" s="23" t="s">
        <v>9</v>
      </c>
      <c r="H33" s="23" t="s">
        <v>88</v>
      </c>
    </row>
    <row r="34" spans="1:10">
      <c r="A34" s="7" t="s">
        <v>186</v>
      </c>
      <c r="B34" s="7" t="s">
        <v>186</v>
      </c>
      <c r="C34" s="25" t="s">
        <v>187</v>
      </c>
      <c r="D34" s="1"/>
      <c r="E34" s="6"/>
      <c r="F34" s="67" t="s">
        <v>153</v>
      </c>
      <c r="G34" s="67" t="s">
        <v>154</v>
      </c>
      <c r="H34" s="67" t="s">
        <v>188</v>
      </c>
    </row>
    <row r="37" spans="1:10">
      <c r="A37" s="24" t="s">
        <v>149</v>
      </c>
      <c r="B37" s="24" t="s">
        <v>150</v>
      </c>
      <c r="C37" s="28" t="s">
        <v>151</v>
      </c>
      <c r="E37" s="4"/>
      <c r="F37" s="23" t="s">
        <v>155</v>
      </c>
      <c r="G37" s="23" t="s">
        <v>156</v>
      </c>
      <c r="H37" s="23" t="s">
        <v>24</v>
      </c>
      <c r="I37" s="23" t="s">
        <v>25</v>
      </c>
    </row>
    <row r="38" spans="1:10">
      <c r="A38" s="7" t="s">
        <v>189</v>
      </c>
      <c r="B38" s="7" t="s">
        <v>189</v>
      </c>
      <c r="C38" s="25" t="s">
        <v>190</v>
      </c>
      <c r="D38" s="1"/>
      <c r="E38" s="5"/>
      <c r="F38" s="2" t="s">
        <v>191</v>
      </c>
      <c r="G38" s="2" t="s">
        <v>192</v>
      </c>
      <c r="H38" s="2" t="s">
        <v>193</v>
      </c>
      <c r="I38" s="2" t="s">
        <v>162</v>
      </c>
    </row>
    <row r="41" spans="1:10">
      <c r="A41" s="24" t="s">
        <v>149</v>
      </c>
      <c r="B41" s="24" t="s">
        <v>150</v>
      </c>
      <c r="C41" s="28" t="s">
        <v>151</v>
      </c>
      <c r="E41" s="4"/>
      <c r="F41" s="23" t="s">
        <v>10</v>
      </c>
      <c r="G41" s="23" t="s">
        <v>24</v>
      </c>
      <c r="H41" s="23" t="s">
        <v>9</v>
      </c>
      <c r="I41" s="23" t="s">
        <v>25</v>
      </c>
    </row>
    <row r="42" spans="1:10">
      <c r="A42" s="7" t="s">
        <v>194</v>
      </c>
      <c r="B42" s="7" t="s">
        <v>194</v>
      </c>
      <c r="C42" s="25" t="s">
        <v>190</v>
      </c>
      <c r="D42" s="1"/>
      <c r="E42" s="5"/>
      <c r="F42" s="2" t="s">
        <v>191</v>
      </c>
      <c r="G42" s="2" t="s">
        <v>192</v>
      </c>
      <c r="H42" s="2" t="s">
        <v>193</v>
      </c>
      <c r="I42" s="2" t="s">
        <v>162</v>
      </c>
    </row>
    <row r="45" spans="1:10">
      <c r="A45" s="24" t="s">
        <v>149</v>
      </c>
      <c r="B45" s="24" t="s">
        <v>150</v>
      </c>
      <c r="C45" s="28" t="s">
        <v>151</v>
      </c>
      <c r="E45" s="4"/>
      <c r="F45" s="23" t="s">
        <v>155</v>
      </c>
      <c r="G45" s="23" t="s">
        <v>156</v>
      </c>
      <c r="H45" s="23" t="s">
        <v>24</v>
      </c>
      <c r="I45" s="23" t="s">
        <v>25</v>
      </c>
      <c r="J45" s="23" t="s">
        <v>83</v>
      </c>
    </row>
    <row r="46" spans="1:10">
      <c r="A46" s="7" t="s">
        <v>195</v>
      </c>
      <c r="B46" s="7" t="s">
        <v>195</v>
      </c>
      <c r="C46" s="25" t="s">
        <v>196</v>
      </c>
      <c r="D46" s="1"/>
      <c r="E46" s="5"/>
      <c r="F46" s="2" t="s">
        <v>191</v>
      </c>
      <c r="G46" s="2" t="s">
        <v>192</v>
      </c>
      <c r="H46" s="2" t="s">
        <v>193</v>
      </c>
      <c r="I46" s="2" t="s">
        <v>162</v>
      </c>
      <c r="J46" s="2" t="s">
        <v>188</v>
      </c>
    </row>
    <row r="49" spans="1:17">
      <c r="A49" s="24" t="s">
        <v>149</v>
      </c>
      <c r="B49" s="24" t="s">
        <v>150</v>
      </c>
      <c r="C49" s="28" t="s">
        <v>151</v>
      </c>
      <c r="F49" s="44" t="s">
        <v>47</v>
      </c>
      <c r="G49" s="44" t="s">
        <v>48</v>
      </c>
      <c r="H49" s="44" t="s">
        <v>49</v>
      </c>
      <c r="I49" s="44" t="s">
        <v>50</v>
      </c>
      <c r="J49" s="44" t="s">
        <v>51</v>
      </c>
      <c r="K49" s="44" t="s">
        <v>52</v>
      </c>
      <c r="L49" s="44" t="s">
        <v>53</v>
      </c>
      <c r="M49" s="44" t="s">
        <v>54</v>
      </c>
    </row>
    <row r="50" spans="1:17">
      <c r="A50" s="7" t="s">
        <v>197</v>
      </c>
      <c r="B50" s="7" t="s">
        <v>197</v>
      </c>
      <c r="C50" s="25" t="s">
        <v>190</v>
      </c>
      <c r="D50" s="1"/>
      <c r="E50" s="5"/>
      <c r="F50" s="2" t="s">
        <v>162</v>
      </c>
      <c r="G50" s="2" t="s">
        <v>192</v>
      </c>
      <c r="H50" s="2" t="s">
        <v>191</v>
      </c>
      <c r="I50" s="2" t="s">
        <v>193</v>
      </c>
    </row>
    <row r="53" spans="1:17">
      <c r="A53" s="24" t="s">
        <v>149</v>
      </c>
      <c r="B53" s="24" t="s">
        <v>150</v>
      </c>
      <c r="C53" s="28" t="s">
        <v>151</v>
      </c>
      <c r="D53" s="28" t="s">
        <v>198</v>
      </c>
      <c r="F53" s="44" t="s">
        <v>199</v>
      </c>
      <c r="G53" s="44" t="s">
        <v>200</v>
      </c>
      <c r="H53" s="44" t="s">
        <v>201</v>
      </c>
      <c r="I53" s="44" t="s">
        <v>202</v>
      </c>
      <c r="N53" s="3"/>
      <c r="O53" s="3"/>
      <c r="P53" s="3"/>
      <c r="Q53" s="3"/>
    </row>
    <row r="54" spans="1:17">
      <c r="A54" s="37" t="s">
        <v>203</v>
      </c>
      <c r="B54" s="37" t="s">
        <v>203</v>
      </c>
      <c r="C54" s="17" t="s">
        <v>204</v>
      </c>
      <c r="D54" s="36" t="s">
        <v>205</v>
      </c>
      <c r="F54" s="2" t="s">
        <v>193</v>
      </c>
      <c r="G54" s="39" t="s">
        <v>162</v>
      </c>
      <c r="H54" s="2" t="s">
        <v>191</v>
      </c>
      <c r="I54" s="2" t="s">
        <v>206</v>
      </c>
      <c r="N54" s="3"/>
      <c r="O54" s="3"/>
      <c r="P54" s="3"/>
      <c r="Q54" s="3"/>
    </row>
    <row r="55" spans="1:17">
      <c r="N55" s="3"/>
      <c r="O55" s="3"/>
      <c r="P55" s="3"/>
      <c r="Q55" s="3"/>
    </row>
    <row r="57" spans="1:17">
      <c r="A57" s="24" t="s">
        <v>149</v>
      </c>
      <c r="B57" s="24" t="s">
        <v>150</v>
      </c>
      <c r="C57" s="28" t="s">
        <v>151</v>
      </c>
      <c r="F57" s="44" t="s">
        <v>47</v>
      </c>
      <c r="G57" s="44" t="s">
        <v>48</v>
      </c>
      <c r="H57" s="44" t="s">
        <v>49</v>
      </c>
      <c r="I57" s="44" t="s">
        <v>50</v>
      </c>
      <c r="J57" s="44" t="s">
        <v>51</v>
      </c>
      <c r="K57" s="44" t="s">
        <v>52</v>
      </c>
      <c r="L57" s="44" t="s">
        <v>53</v>
      </c>
      <c r="M57" s="44" t="s">
        <v>54</v>
      </c>
    </row>
    <row r="58" spans="1:17">
      <c r="A58" s="284" t="s">
        <v>207</v>
      </c>
      <c r="B58" s="7" t="s">
        <v>208</v>
      </c>
      <c r="C58" s="25" t="s">
        <v>209</v>
      </c>
      <c r="D58" s="1"/>
      <c r="E58" s="5"/>
      <c r="F58" s="2" t="s">
        <v>162</v>
      </c>
      <c r="I58" s="2" t="s">
        <v>193</v>
      </c>
      <c r="J58" s="2" t="s">
        <v>191</v>
      </c>
      <c r="M58" s="2" t="s">
        <v>192</v>
      </c>
    </row>
    <row r="59" spans="1:17">
      <c r="A59" s="284"/>
      <c r="B59" s="7" t="s">
        <v>210</v>
      </c>
      <c r="C59" s="25" t="s">
        <v>211</v>
      </c>
      <c r="D59" s="1"/>
      <c r="E59" s="5"/>
      <c r="G59" s="2" t="s">
        <v>162</v>
      </c>
      <c r="H59" s="2" t="s">
        <v>193</v>
      </c>
      <c r="K59" s="2" t="s">
        <v>191</v>
      </c>
      <c r="L59" s="2" t="s">
        <v>192</v>
      </c>
    </row>
    <row r="60" spans="1:17">
      <c r="A60" s="284" t="s">
        <v>212</v>
      </c>
      <c r="B60" s="7" t="s">
        <v>213</v>
      </c>
      <c r="C60" s="26" t="s">
        <v>214</v>
      </c>
      <c r="D60" s="34"/>
      <c r="F60" s="2" t="s">
        <v>193</v>
      </c>
      <c r="G60" s="2" t="s">
        <v>192</v>
      </c>
      <c r="L60" s="2" t="s">
        <v>162</v>
      </c>
      <c r="M60" s="2" t="s">
        <v>191</v>
      </c>
    </row>
    <row r="61" spans="1:17">
      <c r="A61" s="284"/>
      <c r="B61" s="7" t="s">
        <v>215</v>
      </c>
      <c r="C61" s="26" t="s">
        <v>216</v>
      </c>
      <c r="D61" s="34"/>
      <c r="F61" s="2" t="s">
        <v>193</v>
      </c>
      <c r="H61" s="2" t="s">
        <v>192</v>
      </c>
      <c r="I61" s="2" t="s">
        <v>162</v>
      </c>
      <c r="M61" s="2" t="s">
        <v>191</v>
      </c>
    </row>
    <row r="62" spans="1:17">
      <c r="A62" s="284"/>
      <c r="B62" s="7" t="s">
        <v>217</v>
      </c>
      <c r="C62" s="26" t="s">
        <v>218</v>
      </c>
      <c r="D62" s="34"/>
      <c r="G62" s="2" t="s">
        <v>191</v>
      </c>
      <c r="H62" s="2" t="s">
        <v>192</v>
      </c>
      <c r="I62" s="2" t="s">
        <v>162</v>
      </c>
      <c r="L62" s="2" t="s">
        <v>193</v>
      </c>
    </row>
    <row r="63" spans="1:17">
      <c r="A63" s="284" t="s">
        <v>219</v>
      </c>
      <c r="B63" s="7" t="s">
        <v>220</v>
      </c>
      <c r="C63" s="26" t="s">
        <v>221</v>
      </c>
      <c r="D63" s="34"/>
      <c r="H63" s="2" t="s">
        <v>193</v>
      </c>
      <c r="I63" s="2" t="s">
        <v>192</v>
      </c>
      <c r="J63" s="2" t="s">
        <v>162</v>
      </c>
      <c r="K63" s="2" t="s">
        <v>191</v>
      </c>
    </row>
    <row r="64" spans="1:17">
      <c r="A64" s="284"/>
      <c r="B64" s="7" t="s">
        <v>222</v>
      </c>
      <c r="C64" s="26" t="s">
        <v>223</v>
      </c>
      <c r="D64" s="34"/>
      <c r="F64" s="2" t="s">
        <v>162</v>
      </c>
      <c r="G64" s="2" t="s">
        <v>192</v>
      </c>
      <c r="H64" s="2" t="s">
        <v>193</v>
      </c>
      <c r="K64" s="2" t="s">
        <v>191</v>
      </c>
    </row>
    <row r="65" spans="1:23">
      <c r="A65" s="284"/>
      <c r="B65" s="7" t="s">
        <v>224</v>
      </c>
      <c r="C65" s="26" t="s">
        <v>225</v>
      </c>
      <c r="D65" s="34"/>
      <c r="F65" s="2" t="s">
        <v>162</v>
      </c>
      <c r="G65" s="2" t="s">
        <v>192</v>
      </c>
      <c r="I65" s="2" t="s">
        <v>191</v>
      </c>
      <c r="J65" s="2" t="s">
        <v>193</v>
      </c>
    </row>
    <row r="66" spans="1:23">
      <c r="A66" s="284" t="s">
        <v>226</v>
      </c>
      <c r="B66" s="7" t="s">
        <v>227</v>
      </c>
      <c r="C66" s="26" t="s">
        <v>228</v>
      </c>
      <c r="D66" s="34"/>
      <c r="F66" s="2" t="s">
        <v>162</v>
      </c>
      <c r="G66" s="2" t="s">
        <v>192</v>
      </c>
      <c r="L66" s="2" t="s">
        <v>191</v>
      </c>
      <c r="M66" s="2" t="s">
        <v>193</v>
      </c>
    </row>
    <row r="67" spans="1:23">
      <c r="A67" s="284"/>
      <c r="B67" s="7" t="s">
        <v>229</v>
      </c>
      <c r="C67" s="26" t="s">
        <v>230</v>
      </c>
      <c r="D67" s="34"/>
      <c r="H67" s="2" t="s">
        <v>192</v>
      </c>
      <c r="I67" s="2" t="s">
        <v>162</v>
      </c>
      <c r="L67" s="2" t="s">
        <v>191</v>
      </c>
      <c r="M67" s="2" t="s">
        <v>193</v>
      </c>
    </row>
    <row r="68" spans="1:23">
      <c r="A68" s="284"/>
      <c r="B68" s="7" t="s">
        <v>231</v>
      </c>
      <c r="C68" s="26" t="s">
        <v>232</v>
      </c>
      <c r="D68" s="34"/>
      <c r="F68" s="2" t="s">
        <v>193</v>
      </c>
      <c r="G68" s="2" t="s">
        <v>191</v>
      </c>
      <c r="H68" s="2" t="s">
        <v>192</v>
      </c>
      <c r="I68" s="2" t="s">
        <v>162</v>
      </c>
    </row>
    <row r="71" spans="1:23">
      <c r="A71" s="24" t="s">
        <v>149</v>
      </c>
      <c r="B71" s="24" t="s">
        <v>150</v>
      </c>
      <c r="C71" s="28" t="s">
        <v>151</v>
      </c>
      <c r="F71" s="30" t="s">
        <v>10</v>
      </c>
      <c r="G71" s="30" t="s">
        <v>9</v>
      </c>
      <c r="H71" s="30" t="s">
        <v>233</v>
      </c>
      <c r="I71" s="30" t="s">
        <v>234</v>
      </c>
      <c r="J71" s="23" t="s">
        <v>16</v>
      </c>
      <c r="K71" s="23" t="s">
        <v>17</v>
      </c>
      <c r="L71" s="15"/>
      <c r="M71" s="15"/>
      <c r="N71" s="1"/>
      <c r="O71" s="1"/>
      <c r="P71" s="1"/>
      <c r="Q71" s="1"/>
      <c r="R71" s="1"/>
    </row>
    <row r="72" spans="1:23">
      <c r="A72" s="284" t="s">
        <v>235</v>
      </c>
      <c r="B72" s="65" t="s">
        <v>236</v>
      </c>
      <c r="C72" s="29" t="s">
        <v>237</v>
      </c>
      <c r="D72" s="35"/>
      <c r="F72" s="67" t="s">
        <v>238</v>
      </c>
      <c r="G72" s="67" t="s">
        <v>238</v>
      </c>
      <c r="H72" s="2" t="s">
        <v>239</v>
      </c>
      <c r="I72" s="2" t="s">
        <v>239</v>
      </c>
      <c r="J72" s="2" t="s">
        <v>239</v>
      </c>
      <c r="K72" s="2" t="s">
        <v>239</v>
      </c>
      <c r="L72" s="15"/>
      <c r="M72" s="15"/>
      <c r="N72" s="1"/>
      <c r="O72" s="1"/>
      <c r="P72" s="1"/>
      <c r="Q72" s="1"/>
      <c r="R72" s="1"/>
    </row>
    <row r="73" spans="1:23">
      <c r="A73" s="284"/>
      <c r="B73" s="8" t="s">
        <v>240</v>
      </c>
      <c r="C73" s="29" t="s">
        <v>241</v>
      </c>
      <c r="D73" s="35"/>
      <c r="F73" s="67" t="s">
        <v>238</v>
      </c>
      <c r="G73" s="67" t="s">
        <v>238</v>
      </c>
      <c r="H73" s="2" t="s">
        <v>242</v>
      </c>
      <c r="I73" s="2" t="s">
        <v>242</v>
      </c>
      <c r="J73" s="2" t="s">
        <v>242</v>
      </c>
      <c r="K73" s="2" t="s">
        <v>239</v>
      </c>
      <c r="L73" s="15"/>
      <c r="M73" s="15"/>
      <c r="N73" s="1"/>
      <c r="O73" s="1"/>
      <c r="P73" s="1"/>
      <c r="Q73" s="1"/>
      <c r="R73" s="1"/>
    </row>
    <row r="74" spans="1:23">
      <c r="A74" s="284"/>
      <c r="B74" s="8" t="s">
        <v>243</v>
      </c>
      <c r="C74" s="29" t="s">
        <v>244</v>
      </c>
      <c r="D74" s="35"/>
      <c r="F74" s="67" t="s">
        <v>238</v>
      </c>
      <c r="G74" s="67" t="s">
        <v>238</v>
      </c>
      <c r="H74" s="2" t="s">
        <v>239</v>
      </c>
      <c r="I74" s="2" t="s">
        <v>239</v>
      </c>
      <c r="J74" s="2" t="s">
        <v>242</v>
      </c>
      <c r="K74" s="2" t="s">
        <v>242</v>
      </c>
      <c r="L74" s="15"/>
      <c r="M74" s="15"/>
      <c r="N74" s="1"/>
      <c r="O74" s="1"/>
      <c r="P74" s="1"/>
      <c r="Q74" s="1"/>
      <c r="R74" s="1"/>
    </row>
    <row r="75" spans="1:23">
      <c r="A75" s="284"/>
      <c r="B75" s="8" t="s">
        <v>245</v>
      </c>
      <c r="C75" s="29" t="s">
        <v>246</v>
      </c>
      <c r="D75" s="35"/>
      <c r="F75" s="67" t="s">
        <v>238</v>
      </c>
      <c r="G75" s="67" t="s">
        <v>238</v>
      </c>
      <c r="H75" s="2" t="s">
        <v>239</v>
      </c>
      <c r="I75" s="2" t="s">
        <v>242</v>
      </c>
      <c r="J75" s="2" t="s">
        <v>242</v>
      </c>
      <c r="K75" s="2" t="s">
        <v>242</v>
      </c>
      <c r="L75" s="15"/>
      <c r="M75" s="15"/>
      <c r="N75" s="1"/>
      <c r="O75" s="1"/>
      <c r="P75" s="1"/>
      <c r="Q75" s="1"/>
      <c r="R75" s="1"/>
    </row>
    <row r="76" spans="1:23">
      <c r="A76" s="284"/>
      <c r="B76" s="8" t="s">
        <v>247</v>
      </c>
      <c r="C76" s="29" t="s">
        <v>248</v>
      </c>
      <c r="D76" s="35"/>
      <c r="F76" s="67" t="s">
        <v>238</v>
      </c>
      <c r="G76" s="67" t="s">
        <v>238</v>
      </c>
      <c r="H76" s="2" t="s">
        <v>242</v>
      </c>
      <c r="I76" s="2" t="s">
        <v>239</v>
      </c>
      <c r="J76" s="2" t="s">
        <v>242</v>
      </c>
      <c r="K76" s="2" t="s">
        <v>242</v>
      </c>
      <c r="L76" s="15"/>
      <c r="M76" s="15"/>
      <c r="N76" s="1"/>
      <c r="O76" s="1"/>
      <c r="P76" s="1"/>
      <c r="Q76" s="1"/>
      <c r="R76" s="1"/>
    </row>
    <row r="77" spans="1:23">
      <c r="A77" s="284"/>
      <c r="B77" s="8" t="s">
        <v>249</v>
      </c>
      <c r="C77" s="29" t="s">
        <v>250</v>
      </c>
      <c r="D77" s="35"/>
      <c r="F77" s="67" t="s">
        <v>238</v>
      </c>
      <c r="G77" s="67" t="s">
        <v>238</v>
      </c>
      <c r="H77" s="2" t="s">
        <v>242</v>
      </c>
      <c r="I77" s="2" t="s">
        <v>242</v>
      </c>
      <c r="J77" s="2" t="s">
        <v>239</v>
      </c>
      <c r="K77" s="2" t="s">
        <v>242</v>
      </c>
      <c r="L77" s="15"/>
      <c r="M77" s="15"/>
      <c r="N77" s="1"/>
      <c r="O77" s="1"/>
      <c r="P77" s="1"/>
      <c r="Q77" s="1"/>
      <c r="R77" s="1"/>
    </row>
    <row r="78" spans="1:23">
      <c r="A78" s="284" t="s">
        <v>251</v>
      </c>
      <c r="B78" s="8" t="s">
        <v>252</v>
      </c>
      <c r="C78" s="29" t="s">
        <v>253</v>
      </c>
      <c r="D78" s="35"/>
      <c r="F78" s="2" t="s">
        <v>153</v>
      </c>
      <c r="G78" s="2"/>
      <c r="H78" s="2" t="s">
        <v>242</v>
      </c>
      <c r="I78" s="2" t="s">
        <v>242</v>
      </c>
      <c r="J78" s="2" t="s">
        <v>242</v>
      </c>
      <c r="K78" s="2" t="s">
        <v>242</v>
      </c>
      <c r="L78" s="15"/>
      <c r="M78" s="15"/>
      <c r="N78" s="1"/>
      <c r="O78" s="1"/>
      <c r="P78" s="1"/>
      <c r="Q78" s="1"/>
      <c r="R78" s="1"/>
      <c r="S78" s="3"/>
      <c r="T78" s="3"/>
      <c r="U78" s="3"/>
      <c r="V78" s="3"/>
      <c r="W78" s="3"/>
    </row>
    <row r="79" spans="1:23">
      <c r="A79" s="284"/>
      <c r="B79" s="8" t="s">
        <v>254</v>
      </c>
      <c r="C79" s="29" t="s">
        <v>255</v>
      </c>
      <c r="D79" s="35"/>
      <c r="F79" s="2" t="s">
        <v>153</v>
      </c>
      <c r="G79" s="2"/>
      <c r="H79" s="2"/>
      <c r="I79" s="2"/>
      <c r="J79" s="2"/>
      <c r="K79" s="2" t="s">
        <v>242</v>
      </c>
      <c r="L79" s="15"/>
      <c r="M79" s="15"/>
      <c r="N79" s="1"/>
      <c r="O79" s="1"/>
      <c r="P79" s="1"/>
      <c r="Q79" s="1"/>
      <c r="R79" s="1"/>
      <c r="S79" s="3"/>
      <c r="T79" s="3"/>
      <c r="U79" s="3"/>
      <c r="V79" s="3"/>
      <c r="W79" s="3"/>
    </row>
    <row r="80" spans="1:23">
      <c r="A80" s="284"/>
      <c r="B80" s="8" t="s">
        <v>256</v>
      </c>
      <c r="C80" s="29" t="s">
        <v>257</v>
      </c>
      <c r="D80" s="35"/>
      <c r="F80" s="2" t="s">
        <v>153</v>
      </c>
      <c r="G80" s="2"/>
      <c r="H80" s="2" t="s">
        <v>242</v>
      </c>
      <c r="I80" s="2" t="s">
        <v>242</v>
      </c>
      <c r="J80" s="2"/>
      <c r="K80" s="2"/>
      <c r="L80" s="15"/>
      <c r="M80" s="15"/>
      <c r="N80" s="1"/>
      <c r="O80" s="1"/>
      <c r="P80" s="1"/>
      <c r="Q80" s="1"/>
      <c r="R80" s="1"/>
      <c r="S80" s="3"/>
      <c r="T80" s="3"/>
      <c r="U80" s="3"/>
      <c r="V80" s="3"/>
      <c r="W80" s="3"/>
    </row>
    <row r="81" spans="1:23">
      <c r="A81" s="284"/>
      <c r="B81" s="8" t="s">
        <v>258</v>
      </c>
      <c r="C81" s="29" t="s">
        <v>259</v>
      </c>
      <c r="D81" s="35"/>
      <c r="F81" s="2" t="s">
        <v>153</v>
      </c>
      <c r="G81" s="2"/>
      <c r="H81" s="2" t="s">
        <v>242</v>
      </c>
      <c r="I81" s="2"/>
      <c r="J81" s="2"/>
      <c r="K81" s="2"/>
      <c r="L81" s="15"/>
      <c r="M81" s="15"/>
      <c r="N81" s="1"/>
      <c r="O81" s="1"/>
      <c r="P81" s="1"/>
      <c r="Q81" s="1"/>
      <c r="R81" s="1"/>
      <c r="S81" s="3"/>
      <c r="T81" s="3"/>
      <c r="U81" s="3"/>
      <c r="V81" s="3"/>
      <c r="W81" s="3"/>
    </row>
    <row r="82" spans="1:23">
      <c r="A82" s="284"/>
      <c r="B82" s="8" t="s">
        <v>260</v>
      </c>
      <c r="C82" s="29" t="s">
        <v>261</v>
      </c>
      <c r="D82" s="35"/>
      <c r="F82" s="2" t="s">
        <v>153</v>
      </c>
      <c r="G82" s="2"/>
      <c r="H82" s="2"/>
      <c r="I82" s="2" t="s">
        <v>242</v>
      </c>
      <c r="J82" s="2"/>
      <c r="K82" s="2"/>
      <c r="L82" s="15"/>
      <c r="M82" s="15"/>
      <c r="N82" s="1"/>
      <c r="O82" s="1"/>
      <c r="P82" s="1"/>
      <c r="Q82" s="1"/>
      <c r="R82" s="1"/>
      <c r="S82" s="3"/>
      <c r="T82" s="3"/>
      <c r="U82" s="3"/>
      <c r="V82" s="3"/>
      <c r="W82" s="3"/>
    </row>
    <row r="83" spans="1:23">
      <c r="A83" s="284"/>
      <c r="B83" s="8" t="s">
        <v>262</v>
      </c>
      <c r="C83" s="29" t="s">
        <v>263</v>
      </c>
      <c r="D83" s="35"/>
      <c r="F83" s="2" t="s">
        <v>153</v>
      </c>
      <c r="G83" s="2"/>
      <c r="H83" s="2"/>
      <c r="I83" s="2"/>
      <c r="J83" s="2" t="s">
        <v>242</v>
      </c>
      <c r="K83" s="2"/>
      <c r="L83" s="15"/>
      <c r="M83" s="15"/>
      <c r="N83" s="1"/>
      <c r="O83" s="1"/>
      <c r="P83" s="1"/>
      <c r="Q83" s="1"/>
      <c r="R83" s="1"/>
      <c r="S83" s="3"/>
      <c r="T83" s="3"/>
      <c r="U83" s="3"/>
      <c r="V83" s="3"/>
      <c r="W83" s="3"/>
    </row>
    <row r="84" spans="1:23">
      <c r="A84" s="284"/>
      <c r="B84" s="8" t="s">
        <v>264</v>
      </c>
      <c r="C84" s="29" t="s">
        <v>265</v>
      </c>
      <c r="D84" s="35"/>
      <c r="F84" s="2"/>
      <c r="G84" s="2"/>
      <c r="H84" s="2"/>
      <c r="I84" s="2"/>
      <c r="J84" s="2" t="s">
        <v>153</v>
      </c>
      <c r="K84" s="2" t="s">
        <v>242</v>
      </c>
      <c r="L84" s="15"/>
      <c r="M84" s="15"/>
      <c r="N84" s="1"/>
      <c r="O84" s="1"/>
      <c r="P84" s="1"/>
      <c r="Q84" s="1"/>
      <c r="R84" s="1"/>
      <c r="S84" s="3"/>
      <c r="T84" s="3"/>
      <c r="U84" s="3"/>
      <c r="V84" s="3"/>
      <c r="W84" s="3"/>
    </row>
    <row r="87" spans="1:23">
      <c r="A87" s="24" t="s">
        <v>149</v>
      </c>
      <c r="B87" s="24" t="s">
        <v>150</v>
      </c>
      <c r="C87" s="28" t="s">
        <v>151</v>
      </c>
      <c r="F87" s="30" t="s">
        <v>10</v>
      </c>
      <c r="G87" s="30" t="s">
        <v>9</v>
      </c>
      <c r="H87" s="30" t="s">
        <v>233</v>
      </c>
      <c r="I87" s="30" t="s">
        <v>234</v>
      </c>
      <c r="J87" s="23" t="s">
        <v>17</v>
      </c>
      <c r="L87" s="15"/>
      <c r="M87" s="15"/>
      <c r="N87" s="1"/>
      <c r="O87" s="1"/>
      <c r="P87" s="1"/>
      <c r="Q87" s="1"/>
      <c r="R87" s="1"/>
    </row>
    <row r="88" spans="1:23" ht="15.75" customHeight="1">
      <c r="A88" s="284" t="s">
        <v>266</v>
      </c>
      <c r="B88" s="65" t="s">
        <v>267</v>
      </c>
      <c r="C88" s="29" t="s">
        <v>237</v>
      </c>
      <c r="D88" s="35"/>
      <c r="F88" s="67" t="s">
        <v>238</v>
      </c>
      <c r="G88" s="67" t="s">
        <v>238</v>
      </c>
      <c r="H88" s="2" t="s">
        <v>239</v>
      </c>
      <c r="I88" s="2" t="s">
        <v>239</v>
      </c>
      <c r="J88" s="2" t="s">
        <v>239</v>
      </c>
      <c r="L88" s="15"/>
      <c r="M88" s="15"/>
      <c r="N88" s="1"/>
      <c r="O88" s="1"/>
      <c r="P88" s="1"/>
      <c r="Q88" s="1"/>
      <c r="R88" s="1"/>
    </row>
    <row r="89" spans="1:23">
      <c r="A89" s="284"/>
      <c r="B89" s="8" t="s">
        <v>268</v>
      </c>
      <c r="C89" s="29" t="s">
        <v>241</v>
      </c>
      <c r="D89" s="35"/>
      <c r="F89" s="67" t="s">
        <v>238</v>
      </c>
      <c r="G89" s="67" t="s">
        <v>238</v>
      </c>
      <c r="H89" s="2" t="s">
        <v>242</v>
      </c>
      <c r="I89" s="2" t="s">
        <v>242</v>
      </c>
      <c r="J89" s="2" t="s">
        <v>239</v>
      </c>
      <c r="L89" s="15"/>
      <c r="M89" s="15"/>
      <c r="N89" s="1"/>
      <c r="O89" s="1"/>
      <c r="P89" s="1"/>
      <c r="Q89" s="1"/>
      <c r="R89" s="1"/>
    </row>
    <row r="90" spans="1:23">
      <c r="A90" s="284"/>
      <c r="B90" s="8" t="s">
        <v>269</v>
      </c>
      <c r="C90" s="29" t="s">
        <v>244</v>
      </c>
      <c r="D90" s="35"/>
      <c r="F90" s="67" t="s">
        <v>238</v>
      </c>
      <c r="G90" s="67" t="s">
        <v>238</v>
      </c>
      <c r="H90" s="2" t="s">
        <v>239</v>
      </c>
      <c r="I90" s="2" t="s">
        <v>239</v>
      </c>
      <c r="J90" s="2" t="s">
        <v>242</v>
      </c>
      <c r="L90" s="15"/>
      <c r="M90" s="15"/>
      <c r="N90" s="1"/>
      <c r="O90" s="1"/>
      <c r="P90" s="1"/>
      <c r="Q90" s="1"/>
      <c r="R90" s="1"/>
    </row>
    <row r="91" spans="1:23">
      <c r="A91" s="284"/>
      <c r="B91" s="8" t="s">
        <v>270</v>
      </c>
      <c r="C91" s="29" t="s">
        <v>246</v>
      </c>
      <c r="D91" s="35"/>
      <c r="F91" s="67" t="s">
        <v>238</v>
      </c>
      <c r="G91" s="67" t="s">
        <v>238</v>
      </c>
      <c r="H91" s="2" t="s">
        <v>239</v>
      </c>
      <c r="I91" s="2" t="s">
        <v>242</v>
      </c>
      <c r="J91" s="2" t="s">
        <v>242</v>
      </c>
      <c r="L91" s="15"/>
      <c r="M91" s="15"/>
      <c r="N91" s="1"/>
      <c r="O91" s="1"/>
      <c r="P91" s="1"/>
      <c r="Q91" s="1"/>
      <c r="R91" s="1"/>
    </row>
    <row r="92" spans="1:23">
      <c r="A92" s="284"/>
      <c r="B92" s="8" t="s">
        <v>271</v>
      </c>
      <c r="C92" s="29" t="s">
        <v>248</v>
      </c>
      <c r="D92" s="35"/>
      <c r="F92" s="67" t="s">
        <v>238</v>
      </c>
      <c r="G92" s="67" t="s">
        <v>238</v>
      </c>
      <c r="H92" s="2" t="s">
        <v>242</v>
      </c>
      <c r="I92" s="2" t="s">
        <v>239</v>
      </c>
      <c r="J92" s="2" t="s">
        <v>242</v>
      </c>
      <c r="L92" s="15"/>
      <c r="M92" s="15"/>
      <c r="N92" s="1"/>
      <c r="O92" s="1"/>
      <c r="P92" s="1"/>
      <c r="Q92" s="1"/>
      <c r="R92" s="1"/>
    </row>
    <row r="93" spans="1:23">
      <c r="A93" s="284" t="s">
        <v>272</v>
      </c>
      <c r="B93" s="8" t="s">
        <v>273</v>
      </c>
      <c r="C93" s="29" t="s">
        <v>253</v>
      </c>
      <c r="D93" s="35"/>
      <c r="F93" s="2" t="s">
        <v>153</v>
      </c>
      <c r="G93" s="2"/>
      <c r="H93" s="2" t="s">
        <v>242</v>
      </c>
      <c r="I93" s="2" t="s">
        <v>242</v>
      </c>
      <c r="J93" s="2" t="s">
        <v>242</v>
      </c>
      <c r="L93" s="15"/>
      <c r="M93" s="15"/>
      <c r="N93" s="1"/>
      <c r="O93" s="1"/>
      <c r="P93" s="1"/>
      <c r="Q93" s="1"/>
      <c r="R93" s="1"/>
      <c r="S93" s="3"/>
      <c r="T93" s="3"/>
      <c r="U93" s="3"/>
      <c r="V93" s="3"/>
      <c r="W93" s="3"/>
    </row>
    <row r="94" spans="1:23">
      <c r="A94" s="284"/>
      <c r="B94" s="8" t="s">
        <v>254</v>
      </c>
      <c r="C94" s="29" t="s">
        <v>255</v>
      </c>
      <c r="D94" s="35"/>
      <c r="F94" s="2" t="s">
        <v>153</v>
      </c>
      <c r="G94" s="2"/>
      <c r="H94" s="2"/>
      <c r="I94" s="2"/>
      <c r="J94" s="2" t="s">
        <v>242</v>
      </c>
      <c r="L94" s="15"/>
      <c r="M94" s="15"/>
      <c r="N94" s="1"/>
      <c r="O94" s="1"/>
      <c r="P94" s="1"/>
      <c r="Q94" s="1"/>
      <c r="R94" s="1"/>
      <c r="S94" s="3"/>
      <c r="T94" s="3"/>
      <c r="U94" s="3"/>
      <c r="V94" s="3"/>
      <c r="W94" s="3"/>
    </row>
    <row r="95" spans="1:23">
      <c r="A95" s="284"/>
      <c r="B95" s="8" t="s">
        <v>256</v>
      </c>
      <c r="C95" s="29" t="s">
        <v>257</v>
      </c>
      <c r="D95" s="35"/>
      <c r="F95" s="2" t="s">
        <v>153</v>
      </c>
      <c r="G95" s="2"/>
      <c r="H95" s="2" t="s">
        <v>242</v>
      </c>
      <c r="I95" s="2" t="s">
        <v>242</v>
      </c>
      <c r="J95" s="2"/>
      <c r="L95" s="15"/>
      <c r="M95" s="15"/>
      <c r="N95" s="1"/>
      <c r="O95" s="1"/>
      <c r="P95" s="1"/>
      <c r="Q95" s="1"/>
      <c r="R95" s="1"/>
      <c r="S95" s="3"/>
      <c r="T95" s="3"/>
      <c r="U95" s="3"/>
      <c r="V95" s="3"/>
      <c r="W95" s="3"/>
    </row>
    <row r="96" spans="1:23">
      <c r="A96" s="284"/>
      <c r="B96" s="8" t="s">
        <v>258</v>
      </c>
      <c r="C96" s="29" t="s">
        <v>259</v>
      </c>
      <c r="D96" s="35"/>
      <c r="F96" s="2" t="s">
        <v>153</v>
      </c>
      <c r="G96" s="2"/>
      <c r="H96" s="2" t="s">
        <v>242</v>
      </c>
      <c r="I96" s="2"/>
      <c r="J96" s="2"/>
      <c r="L96" s="15"/>
      <c r="M96" s="15"/>
      <c r="N96" s="1"/>
      <c r="O96" s="1"/>
      <c r="P96" s="1"/>
      <c r="Q96" s="1"/>
      <c r="R96" s="1"/>
      <c r="S96" s="3"/>
      <c r="T96" s="3"/>
      <c r="U96" s="3"/>
      <c r="V96" s="3"/>
      <c r="W96" s="3"/>
    </row>
    <row r="97" spans="1:23">
      <c r="A97" s="284"/>
      <c r="B97" s="8" t="s">
        <v>260</v>
      </c>
      <c r="C97" s="29" t="s">
        <v>261</v>
      </c>
      <c r="D97" s="35"/>
      <c r="F97" s="2" t="s">
        <v>153</v>
      </c>
      <c r="G97" s="2"/>
      <c r="H97" s="2"/>
      <c r="I97" s="2" t="s">
        <v>242</v>
      </c>
      <c r="J97" s="2"/>
      <c r="L97" s="15"/>
      <c r="M97" s="15"/>
      <c r="N97" s="1"/>
      <c r="O97" s="1"/>
      <c r="P97" s="1"/>
      <c r="Q97" s="1"/>
      <c r="R97" s="1"/>
      <c r="S97" s="3"/>
      <c r="T97" s="3"/>
      <c r="U97" s="3"/>
      <c r="V97" s="3"/>
      <c r="W97" s="3"/>
    </row>
    <row r="100" spans="1:23">
      <c r="A100" s="24" t="s">
        <v>149</v>
      </c>
      <c r="B100" s="24" t="s">
        <v>150</v>
      </c>
      <c r="C100" s="28" t="s">
        <v>151</v>
      </c>
      <c r="F100" s="30" t="s">
        <v>10</v>
      </c>
      <c r="G100" s="30" t="s">
        <v>9</v>
      </c>
      <c r="H100" s="30" t="s">
        <v>233</v>
      </c>
      <c r="I100" s="30" t="s">
        <v>234</v>
      </c>
      <c r="J100" s="23" t="s">
        <v>16</v>
      </c>
      <c r="K100" s="15"/>
      <c r="L100" s="15"/>
      <c r="M100" s="15"/>
      <c r="N100" s="1"/>
      <c r="O100" s="1"/>
      <c r="P100" s="1"/>
      <c r="Q100" s="1"/>
      <c r="R100" s="1"/>
    </row>
    <row r="101" spans="1:23">
      <c r="A101" s="285" t="s">
        <v>274</v>
      </c>
      <c r="B101" s="65" t="s">
        <v>275</v>
      </c>
      <c r="C101" s="29" t="s">
        <v>237</v>
      </c>
      <c r="D101" s="35"/>
      <c r="F101" s="67" t="s">
        <v>238</v>
      </c>
      <c r="G101" s="67" t="s">
        <v>238</v>
      </c>
      <c r="H101" s="2" t="s">
        <v>239</v>
      </c>
      <c r="I101" s="2" t="s">
        <v>239</v>
      </c>
      <c r="J101" s="2" t="s">
        <v>239</v>
      </c>
      <c r="K101" s="15"/>
      <c r="L101" s="15"/>
      <c r="M101" s="15"/>
      <c r="N101" s="1"/>
      <c r="O101" s="1"/>
      <c r="P101" s="1"/>
      <c r="Q101" s="1"/>
      <c r="R101" s="1"/>
    </row>
    <row r="102" spans="1:23">
      <c r="A102" s="286"/>
      <c r="B102" s="8" t="s">
        <v>276</v>
      </c>
      <c r="C102" s="29" t="s">
        <v>244</v>
      </c>
      <c r="D102" s="35"/>
      <c r="F102" s="67" t="s">
        <v>238</v>
      </c>
      <c r="G102" s="67" t="s">
        <v>238</v>
      </c>
      <c r="H102" s="2" t="s">
        <v>239</v>
      </c>
      <c r="I102" s="2" t="s">
        <v>239</v>
      </c>
      <c r="J102" s="2" t="s">
        <v>242</v>
      </c>
      <c r="K102" s="15"/>
      <c r="L102" s="15"/>
      <c r="M102" s="15"/>
      <c r="N102" s="1"/>
      <c r="O102" s="1"/>
      <c r="P102" s="1"/>
      <c r="Q102" s="1"/>
      <c r="R102" s="1"/>
    </row>
    <row r="103" spans="1:23">
      <c r="A103" s="286"/>
      <c r="B103" s="8" t="s">
        <v>277</v>
      </c>
      <c r="C103" s="29" t="s">
        <v>246</v>
      </c>
      <c r="D103" s="35"/>
      <c r="F103" s="67" t="s">
        <v>238</v>
      </c>
      <c r="G103" s="67" t="s">
        <v>238</v>
      </c>
      <c r="H103" s="2" t="s">
        <v>239</v>
      </c>
      <c r="I103" s="2" t="s">
        <v>242</v>
      </c>
      <c r="J103" s="2" t="s">
        <v>242</v>
      </c>
      <c r="K103" s="15"/>
      <c r="L103" s="15"/>
      <c r="M103" s="15"/>
      <c r="N103" s="1"/>
      <c r="O103" s="1"/>
      <c r="P103" s="1"/>
      <c r="Q103" s="1"/>
      <c r="R103" s="1"/>
    </row>
    <row r="104" spans="1:23">
      <c r="A104" s="286"/>
      <c r="B104" s="8" t="s">
        <v>278</v>
      </c>
      <c r="C104" s="29" t="s">
        <v>248</v>
      </c>
      <c r="D104" s="35"/>
      <c r="F104" s="67" t="s">
        <v>238</v>
      </c>
      <c r="G104" s="67" t="s">
        <v>238</v>
      </c>
      <c r="H104" s="2" t="s">
        <v>242</v>
      </c>
      <c r="I104" s="2" t="s">
        <v>239</v>
      </c>
      <c r="J104" s="2" t="s">
        <v>242</v>
      </c>
      <c r="K104" s="15"/>
      <c r="L104" s="15"/>
      <c r="M104" s="15"/>
      <c r="N104" s="1"/>
      <c r="O104" s="1"/>
      <c r="P104" s="1"/>
      <c r="Q104" s="1"/>
      <c r="R104" s="1"/>
    </row>
    <row r="105" spans="1:23">
      <c r="A105" s="287"/>
      <c r="B105" s="8" t="s">
        <v>279</v>
      </c>
      <c r="C105" s="29" t="s">
        <v>250</v>
      </c>
      <c r="D105" s="35"/>
      <c r="F105" s="67" t="s">
        <v>238</v>
      </c>
      <c r="G105" s="67" t="s">
        <v>238</v>
      </c>
      <c r="H105" s="2" t="s">
        <v>242</v>
      </c>
      <c r="I105" s="2" t="s">
        <v>242</v>
      </c>
      <c r="J105" s="2" t="s">
        <v>239</v>
      </c>
      <c r="K105" s="15"/>
      <c r="L105" s="15"/>
      <c r="M105" s="15"/>
      <c r="N105" s="1"/>
      <c r="O105" s="1"/>
      <c r="P105" s="1"/>
      <c r="Q105" s="1"/>
      <c r="R105" s="1"/>
    </row>
    <row r="106" spans="1:23">
      <c r="A106" s="285" t="s">
        <v>280</v>
      </c>
      <c r="B106" s="8" t="s">
        <v>281</v>
      </c>
      <c r="C106" s="29" t="s">
        <v>253</v>
      </c>
      <c r="D106" s="35"/>
      <c r="F106" s="2" t="s">
        <v>153</v>
      </c>
      <c r="G106" s="2"/>
      <c r="H106" s="2" t="s">
        <v>242</v>
      </c>
      <c r="I106" s="2" t="s">
        <v>242</v>
      </c>
      <c r="J106" s="2" t="s">
        <v>242</v>
      </c>
      <c r="K106" s="15"/>
      <c r="L106" s="15"/>
      <c r="M106" s="15"/>
      <c r="N106" s="1"/>
      <c r="O106" s="1"/>
      <c r="P106" s="1"/>
      <c r="Q106" s="1"/>
      <c r="R106" s="1"/>
      <c r="S106" s="3"/>
      <c r="T106" s="3"/>
      <c r="U106" s="3"/>
      <c r="V106" s="3"/>
      <c r="W106" s="3"/>
    </row>
    <row r="107" spans="1:23">
      <c r="A107" s="286"/>
      <c r="B107" s="8" t="s">
        <v>256</v>
      </c>
      <c r="C107" s="29" t="s">
        <v>257</v>
      </c>
      <c r="D107" s="35"/>
      <c r="F107" s="2" t="s">
        <v>153</v>
      </c>
      <c r="G107" s="2"/>
      <c r="H107" s="2" t="s">
        <v>242</v>
      </c>
      <c r="I107" s="2" t="s">
        <v>242</v>
      </c>
      <c r="J107" s="2"/>
      <c r="K107" s="15"/>
      <c r="L107" s="15"/>
      <c r="M107" s="15"/>
      <c r="N107" s="1"/>
      <c r="O107" s="1"/>
      <c r="P107" s="1"/>
      <c r="Q107" s="1"/>
      <c r="R107" s="1"/>
      <c r="S107" s="3"/>
      <c r="T107" s="3"/>
      <c r="U107" s="3"/>
      <c r="V107" s="3"/>
      <c r="W107" s="3"/>
    </row>
    <row r="108" spans="1:23">
      <c r="A108" s="286"/>
      <c r="B108" s="8" t="s">
        <v>258</v>
      </c>
      <c r="C108" s="29" t="s">
        <v>259</v>
      </c>
      <c r="D108" s="35"/>
      <c r="F108" s="2" t="s">
        <v>153</v>
      </c>
      <c r="G108" s="2"/>
      <c r="H108" s="2" t="s">
        <v>242</v>
      </c>
      <c r="I108" s="2"/>
      <c r="J108" s="2"/>
      <c r="K108" s="15"/>
      <c r="L108" s="15"/>
      <c r="M108" s="15"/>
      <c r="N108" s="1"/>
      <c r="O108" s="1"/>
      <c r="P108" s="1"/>
      <c r="Q108" s="1"/>
      <c r="R108" s="1"/>
      <c r="S108" s="3"/>
      <c r="T108" s="3"/>
      <c r="U108" s="3"/>
      <c r="V108" s="3"/>
      <c r="W108" s="3"/>
    </row>
    <row r="109" spans="1:23">
      <c r="A109" s="286"/>
      <c r="B109" s="8" t="s">
        <v>260</v>
      </c>
      <c r="C109" s="29" t="s">
        <v>261</v>
      </c>
      <c r="D109" s="35"/>
      <c r="F109" s="2" t="s">
        <v>153</v>
      </c>
      <c r="G109" s="2"/>
      <c r="H109" s="2"/>
      <c r="I109" s="2" t="s">
        <v>242</v>
      </c>
      <c r="J109" s="2"/>
      <c r="K109" s="15"/>
      <c r="L109" s="15"/>
      <c r="M109" s="15"/>
      <c r="N109" s="1"/>
      <c r="O109" s="1"/>
      <c r="P109" s="1"/>
      <c r="Q109" s="1"/>
      <c r="R109" s="1"/>
      <c r="S109" s="3"/>
      <c r="T109" s="3"/>
      <c r="U109" s="3"/>
      <c r="V109" s="3"/>
      <c r="W109" s="3"/>
    </row>
    <row r="110" spans="1:23">
      <c r="A110" s="287"/>
      <c r="B110" s="8" t="s">
        <v>262</v>
      </c>
      <c r="C110" s="29" t="s">
        <v>263</v>
      </c>
      <c r="D110" s="35"/>
      <c r="F110" s="2" t="s">
        <v>153</v>
      </c>
      <c r="G110" s="2"/>
      <c r="H110" s="2"/>
      <c r="I110" s="2"/>
      <c r="J110" s="2" t="s">
        <v>242</v>
      </c>
      <c r="K110" s="15"/>
      <c r="L110" s="15"/>
      <c r="M110" s="15"/>
      <c r="N110" s="1"/>
      <c r="O110" s="1"/>
      <c r="P110" s="1"/>
      <c r="Q110" s="1"/>
      <c r="R110" s="1"/>
      <c r="S110" s="3"/>
      <c r="T110" s="3"/>
      <c r="U110" s="3"/>
      <c r="V110" s="3"/>
      <c r="W110" s="3"/>
    </row>
    <row r="113" spans="1:18">
      <c r="A113" s="24" t="s">
        <v>149</v>
      </c>
      <c r="B113" s="24" t="s">
        <v>150</v>
      </c>
      <c r="C113" s="28" t="s">
        <v>151</v>
      </c>
      <c r="E113" s="4"/>
      <c r="F113" s="23" t="s">
        <v>101</v>
      </c>
      <c r="G113" s="23" t="s">
        <v>102</v>
      </c>
      <c r="H113" s="23" t="s">
        <v>100</v>
      </c>
    </row>
    <row r="114" spans="1:18">
      <c r="A114" s="7" t="s">
        <v>282</v>
      </c>
      <c r="B114" s="7" t="s">
        <v>282</v>
      </c>
      <c r="C114" s="25" t="s">
        <v>283</v>
      </c>
      <c r="D114" s="1"/>
      <c r="E114" s="6"/>
      <c r="F114" s="67" t="s">
        <v>153</v>
      </c>
      <c r="G114" s="67" t="s">
        <v>154</v>
      </c>
      <c r="H114" s="67" t="s">
        <v>154</v>
      </c>
    </row>
    <row r="115" spans="1:18">
      <c r="A115" s="7" t="s">
        <v>284</v>
      </c>
      <c r="B115" s="7" t="s">
        <v>284</v>
      </c>
      <c r="C115" s="25" t="s">
        <v>285</v>
      </c>
      <c r="D115" s="1"/>
      <c r="E115" s="6"/>
      <c r="F115" s="67" t="s">
        <v>238</v>
      </c>
      <c r="G115" s="67" t="s">
        <v>239</v>
      </c>
      <c r="H115" s="67" t="s">
        <v>239</v>
      </c>
    </row>
    <row r="116" spans="1:18">
      <c r="A116" s="7" t="s">
        <v>286</v>
      </c>
      <c r="B116" s="7" t="s">
        <v>286</v>
      </c>
      <c r="C116" s="25" t="s">
        <v>287</v>
      </c>
      <c r="D116" s="1"/>
      <c r="E116" s="6"/>
      <c r="F116" s="67" t="s">
        <v>288</v>
      </c>
      <c r="G116" s="67" t="s">
        <v>242</v>
      </c>
      <c r="H116" s="67" t="s">
        <v>242</v>
      </c>
    </row>
    <row r="119" spans="1:18">
      <c r="A119" s="24" t="s">
        <v>149</v>
      </c>
      <c r="B119" s="24" t="s">
        <v>150</v>
      </c>
      <c r="C119" s="28" t="s">
        <v>151</v>
      </c>
      <c r="F119" s="30" t="s">
        <v>10</v>
      </c>
      <c r="G119" s="30" t="s">
        <v>9</v>
      </c>
      <c r="H119" s="30" t="s">
        <v>233</v>
      </c>
      <c r="I119" s="30" t="s">
        <v>234</v>
      </c>
      <c r="L119" s="15"/>
      <c r="M119" s="15"/>
      <c r="N119" s="1"/>
      <c r="O119" s="1"/>
      <c r="P119" s="1"/>
      <c r="Q119" s="1"/>
      <c r="R119" s="1"/>
    </row>
    <row r="120" spans="1:18">
      <c r="A120" s="296" t="s">
        <v>289</v>
      </c>
      <c r="B120" s="8" t="s">
        <v>258</v>
      </c>
      <c r="C120" s="29" t="s">
        <v>259</v>
      </c>
      <c r="D120" s="35"/>
      <c r="F120" s="2" t="s">
        <v>153</v>
      </c>
      <c r="G120" s="2"/>
      <c r="H120" s="2" t="s">
        <v>242</v>
      </c>
      <c r="I120" s="2"/>
    </row>
    <row r="121" spans="1:18">
      <c r="A121" s="297"/>
      <c r="B121" s="8" t="s">
        <v>260</v>
      </c>
      <c r="C121" s="29" t="s">
        <v>261</v>
      </c>
      <c r="D121" s="35"/>
      <c r="F121" s="2" t="s">
        <v>153</v>
      </c>
      <c r="G121" s="2"/>
      <c r="H121" s="2"/>
      <c r="I121" s="2" t="s">
        <v>242</v>
      </c>
    </row>
    <row r="124" spans="1:18">
      <c r="A124" s="24" t="s">
        <v>149</v>
      </c>
      <c r="B124" s="24" t="s">
        <v>150</v>
      </c>
      <c r="C124" s="28" t="s">
        <v>151</v>
      </c>
      <c r="F124" s="44" t="s">
        <v>32</v>
      </c>
      <c r="G124" s="44" t="s">
        <v>33</v>
      </c>
      <c r="H124" s="44" t="s">
        <v>34</v>
      </c>
      <c r="I124" s="44" t="s">
        <v>35</v>
      </c>
      <c r="J124" s="44" t="s">
        <v>36</v>
      </c>
      <c r="K124" s="44" t="s">
        <v>37</v>
      </c>
    </row>
    <row r="125" spans="1:18">
      <c r="A125" s="33" t="s">
        <v>290</v>
      </c>
      <c r="B125" s="33" t="s">
        <v>290</v>
      </c>
      <c r="C125" s="25" t="s">
        <v>158</v>
      </c>
      <c r="D125" s="1"/>
      <c r="F125" s="2"/>
      <c r="G125" s="2" t="s">
        <v>153</v>
      </c>
      <c r="H125" s="2" t="s">
        <v>162</v>
      </c>
      <c r="I125" s="2"/>
      <c r="J125" s="2"/>
      <c r="K125" s="2"/>
    </row>
    <row r="128" spans="1:18">
      <c r="A128" s="24" t="s">
        <v>149</v>
      </c>
      <c r="B128" s="24" t="s">
        <v>150</v>
      </c>
      <c r="C128" s="28" t="s">
        <v>151</v>
      </c>
      <c r="D128" s="4"/>
      <c r="F128" s="44" t="s">
        <v>33</v>
      </c>
      <c r="G128" s="44" t="s">
        <v>39</v>
      </c>
      <c r="H128" s="44" t="s">
        <v>40</v>
      </c>
      <c r="I128" s="44" t="s">
        <v>41</v>
      </c>
      <c r="J128" s="44" t="s">
        <v>38</v>
      </c>
      <c r="K128" s="44" t="s">
        <v>42</v>
      </c>
      <c r="L128" s="44" t="s">
        <v>45</v>
      </c>
      <c r="M128" s="44" t="s">
        <v>44</v>
      </c>
      <c r="N128" s="44" t="s">
        <v>43</v>
      </c>
      <c r="O128" s="44" t="s">
        <v>32</v>
      </c>
      <c r="P128" s="44" t="s">
        <v>34</v>
      </c>
      <c r="Q128" s="44" t="s">
        <v>35</v>
      </c>
    </row>
    <row r="129" spans="1:17">
      <c r="A129" s="7" t="s">
        <v>291</v>
      </c>
      <c r="B129" s="7" t="s">
        <v>291</v>
      </c>
      <c r="C129" s="17" t="s">
        <v>292</v>
      </c>
      <c r="F129" s="2"/>
      <c r="G129" s="2" t="s">
        <v>153</v>
      </c>
      <c r="H129" s="2"/>
      <c r="I129" s="2"/>
      <c r="J129" s="2" t="s">
        <v>154</v>
      </c>
      <c r="K129" s="2"/>
      <c r="L129" s="2"/>
      <c r="M129" s="2"/>
      <c r="N129" s="17"/>
      <c r="O129" s="17"/>
      <c r="P129" s="17"/>
      <c r="Q129" s="17"/>
    </row>
    <row r="132" spans="1:17">
      <c r="A132" s="24" t="s">
        <v>149</v>
      </c>
      <c r="B132" s="24" t="s">
        <v>150</v>
      </c>
      <c r="C132" s="28" t="s">
        <v>151</v>
      </c>
      <c r="D132" s="28" t="s">
        <v>198</v>
      </c>
      <c r="F132" s="44" t="s">
        <v>33</v>
      </c>
      <c r="G132" s="44" t="s">
        <v>39</v>
      </c>
      <c r="H132" s="44" t="s">
        <v>40</v>
      </c>
      <c r="I132" s="44" t="s">
        <v>41</v>
      </c>
      <c r="J132" s="44" t="s">
        <v>38</v>
      </c>
      <c r="K132" s="44" t="s">
        <v>42</v>
      </c>
      <c r="L132" s="44" t="s">
        <v>45</v>
      </c>
      <c r="M132" s="44" t="s">
        <v>44</v>
      </c>
      <c r="N132" s="44" t="s">
        <v>43</v>
      </c>
      <c r="O132" s="44" t="s">
        <v>32</v>
      </c>
      <c r="P132" s="44" t="s">
        <v>34</v>
      </c>
      <c r="Q132" s="44" t="s">
        <v>35</v>
      </c>
    </row>
    <row r="133" spans="1:17">
      <c r="A133" s="37" t="s">
        <v>293</v>
      </c>
      <c r="B133" s="37" t="s">
        <v>293</v>
      </c>
      <c r="C133" s="17" t="s">
        <v>294</v>
      </c>
      <c r="D133" s="36" t="s">
        <v>295</v>
      </c>
      <c r="F133" s="2" t="s">
        <v>206</v>
      </c>
      <c r="G133" s="2" t="s">
        <v>193</v>
      </c>
      <c r="H133" s="2"/>
      <c r="I133" s="2"/>
      <c r="J133" s="39" t="s">
        <v>162</v>
      </c>
      <c r="K133" s="2"/>
      <c r="L133" s="2"/>
      <c r="M133" s="2"/>
      <c r="N133" s="2" t="s">
        <v>191</v>
      </c>
      <c r="O133" s="2"/>
      <c r="P133" s="17"/>
      <c r="Q133" s="17"/>
    </row>
    <row r="136" spans="1:17">
      <c r="A136" s="24" t="s">
        <v>149</v>
      </c>
      <c r="B136" s="24" t="s">
        <v>150</v>
      </c>
      <c r="C136" s="24" t="s">
        <v>296</v>
      </c>
      <c r="D136" s="14"/>
      <c r="E136" s="4"/>
      <c r="F136" s="23" t="s">
        <v>10</v>
      </c>
      <c r="G136" s="23" t="s">
        <v>9</v>
      </c>
    </row>
    <row r="137" spans="1:17">
      <c r="A137" s="7" t="s">
        <v>297</v>
      </c>
      <c r="B137" s="7" t="s">
        <v>297</v>
      </c>
      <c r="C137" s="17" t="s">
        <v>287</v>
      </c>
      <c r="F137" s="2" t="s">
        <v>298</v>
      </c>
      <c r="G137" s="2" t="s">
        <v>154</v>
      </c>
    </row>
    <row r="140" spans="1:17">
      <c r="A140" s="24" t="s">
        <v>149</v>
      </c>
      <c r="B140" s="24" t="s">
        <v>150</v>
      </c>
      <c r="C140" s="28" t="s">
        <v>151</v>
      </c>
      <c r="D140" s="4"/>
      <c r="F140" s="44" t="s">
        <v>33</v>
      </c>
      <c r="G140" s="44" t="s">
        <v>39</v>
      </c>
      <c r="H140" s="44" t="s">
        <v>40</v>
      </c>
      <c r="I140" s="44" t="s">
        <v>41</v>
      </c>
      <c r="J140" s="44" t="s">
        <v>38</v>
      </c>
      <c r="K140" s="44" t="s">
        <v>42</v>
      </c>
      <c r="L140" s="44" t="s">
        <v>45</v>
      </c>
      <c r="M140" s="44" t="s">
        <v>44</v>
      </c>
      <c r="N140" s="44" t="s">
        <v>43</v>
      </c>
      <c r="O140" s="44" t="s">
        <v>32</v>
      </c>
      <c r="P140" s="44" t="s">
        <v>34</v>
      </c>
      <c r="Q140" s="44" t="s">
        <v>35</v>
      </c>
    </row>
    <row r="141" spans="1:17">
      <c r="A141" s="296" t="s">
        <v>299</v>
      </c>
      <c r="B141" s="33" t="s">
        <v>300</v>
      </c>
      <c r="C141" s="25" t="s">
        <v>301</v>
      </c>
      <c r="D141" s="1"/>
      <c r="F141" s="2" t="s">
        <v>302</v>
      </c>
      <c r="G141" s="2"/>
      <c r="H141" s="2"/>
      <c r="I141" s="2"/>
      <c r="J141" s="2"/>
      <c r="K141" s="2"/>
      <c r="L141" s="2"/>
      <c r="M141" s="2"/>
      <c r="N141" s="2"/>
      <c r="O141" s="2"/>
      <c r="P141" s="2" t="s">
        <v>162</v>
      </c>
      <c r="Q141" s="2"/>
    </row>
    <row r="142" spans="1:17">
      <c r="A142" s="298"/>
      <c r="B142" s="33" t="s">
        <v>303</v>
      </c>
      <c r="C142" s="25" t="s">
        <v>304</v>
      </c>
      <c r="D142" s="1"/>
      <c r="F142" s="2"/>
      <c r="G142" s="2" t="s">
        <v>302</v>
      </c>
      <c r="H142" s="2"/>
      <c r="I142" s="2"/>
      <c r="J142" s="2"/>
      <c r="K142" s="2"/>
      <c r="L142" s="2"/>
      <c r="M142" s="2"/>
      <c r="N142" s="2"/>
      <c r="O142" s="2"/>
      <c r="P142" s="2" t="s">
        <v>162</v>
      </c>
      <c r="Q142" s="2"/>
    </row>
    <row r="143" spans="1:17">
      <c r="A143" s="298"/>
      <c r="B143" s="33" t="s">
        <v>305</v>
      </c>
      <c r="C143" s="25" t="s">
        <v>306</v>
      </c>
      <c r="D143" s="1"/>
      <c r="F143" s="2"/>
      <c r="G143" s="2"/>
      <c r="H143" s="2" t="s">
        <v>302</v>
      </c>
      <c r="I143" s="2"/>
      <c r="J143" s="2"/>
      <c r="K143" s="2"/>
      <c r="L143" s="2"/>
      <c r="M143" s="2"/>
      <c r="N143" s="2"/>
      <c r="O143" s="2"/>
      <c r="P143" s="2" t="s">
        <v>162</v>
      </c>
      <c r="Q143" s="2"/>
    </row>
    <row r="144" spans="1:17">
      <c r="A144" s="298"/>
      <c r="B144" s="33" t="s">
        <v>307</v>
      </c>
      <c r="C144" s="25" t="s">
        <v>308</v>
      </c>
      <c r="D144" s="1"/>
      <c r="F144" s="2"/>
      <c r="G144" s="2"/>
      <c r="H144" s="2"/>
      <c r="I144" s="2" t="s">
        <v>302</v>
      </c>
      <c r="J144" s="2"/>
      <c r="K144" s="2"/>
      <c r="L144" s="2"/>
      <c r="M144" s="2"/>
      <c r="N144" s="2"/>
      <c r="O144" s="2"/>
      <c r="P144" s="2" t="s">
        <v>162</v>
      </c>
      <c r="Q144" s="2"/>
    </row>
    <row r="145" spans="1:17">
      <c r="A145" s="297"/>
      <c r="B145" s="33" t="s">
        <v>309</v>
      </c>
      <c r="C145" s="25" t="s">
        <v>310</v>
      </c>
      <c r="D145" s="1"/>
      <c r="F145" s="2"/>
      <c r="G145" s="2"/>
      <c r="H145" s="2"/>
      <c r="I145" s="2"/>
      <c r="J145" s="2" t="s">
        <v>302</v>
      </c>
      <c r="K145" s="2"/>
      <c r="L145" s="2"/>
      <c r="M145" s="2"/>
      <c r="N145" s="2"/>
      <c r="O145" s="2"/>
      <c r="P145" s="2" t="s">
        <v>162</v>
      </c>
      <c r="Q145" s="2"/>
    </row>
    <row r="146" spans="1:17">
      <c r="F146"/>
      <c r="G146"/>
      <c r="N146" s="3"/>
      <c r="O146" s="3"/>
    </row>
    <row r="148" spans="1:17">
      <c r="A148" s="24" t="s">
        <v>149</v>
      </c>
      <c r="B148" s="24" t="s">
        <v>150</v>
      </c>
      <c r="C148" s="28" t="s">
        <v>151</v>
      </c>
      <c r="F148" s="44" t="s">
        <v>32</v>
      </c>
      <c r="G148" s="44" t="s">
        <v>33</v>
      </c>
      <c r="H148" s="44" t="s">
        <v>34</v>
      </c>
      <c r="I148" s="44" t="s">
        <v>35</v>
      </c>
      <c r="J148" s="44" t="s">
        <v>36</v>
      </c>
      <c r="K148" s="44" t="s">
        <v>37</v>
      </c>
    </row>
    <row r="149" spans="1:17">
      <c r="A149" s="33" t="s">
        <v>311</v>
      </c>
      <c r="B149" s="33" t="s">
        <v>311</v>
      </c>
      <c r="C149" s="25" t="s">
        <v>312</v>
      </c>
      <c r="D149" s="1"/>
      <c r="F149" s="2" t="s">
        <v>191</v>
      </c>
      <c r="G149" s="2" t="s">
        <v>193</v>
      </c>
      <c r="H149" s="2" t="s">
        <v>162</v>
      </c>
      <c r="I149" s="2" t="s">
        <v>206</v>
      </c>
      <c r="J149" s="2"/>
      <c r="K149" s="2"/>
    </row>
    <row r="150" spans="1:17">
      <c r="A150" s="33" t="s">
        <v>313</v>
      </c>
      <c r="B150" s="33" t="s">
        <v>313</v>
      </c>
      <c r="C150" s="25" t="s">
        <v>314</v>
      </c>
      <c r="D150" s="1"/>
      <c r="F150" s="2"/>
      <c r="G150" s="2" t="s">
        <v>193</v>
      </c>
      <c r="H150" s="2" t="s">
        <v>162</v>
      </c>
      <c r="I150" s="2" t="s">
        <v>206</v>
      </c>
      <c r="J150" s="2" t="s">
        <v>191</v>
      </c>
      <c r="K150" s="2"/>
    </row>
    <row r="151" spans="1:17">
      <c r="A151" s="33" t="s">
        <v>315</v>
      </c>
      <c r="B151" s="33" t="s">
        <v>315</v>
      </c>
      <c r="C151" s="25" t="s">
        <v>316</v>
      </c>
      <c r="D151" s="1"/>
      <c r="F151" s="2" t="s">
        <v>191</v>
      </c>
      <c r="G151" s="2" t="s">
        <v>193</v>
      </c>
      <c r="H151" s="2" t="s">
        <v>162</v>
      </c>
      <c r="I151" s="2"/>
      <c r="J151" s="2"/>
      <c r="K151" s="2" t="s">
        <v>206</v>
      </c>
    </row>
    <row r="154" spans="1:17">
      <c r="A154" s="24" t="s">
        <v>149</v>
      </c>
      <c r="B154" s="24" t="s">
        <v>150</v>
      </c>
      <c r="C154" s="28" t="s">
        <v>151</v>
      </c>
      <c r="D154" s="28" t="s">
        <v>198</v>
      </c>
      <c r="F154" s="44" t="s">
        <v>33</v>
      </c>
      <c r="G154" s="44" t="s">
        <v>39</v>
      </c>
      <c r="H154" s="44" t="s">
        <v>40</v>
      </c>
      <c r="I154" s="44" t="s">
        <v>41</v>
      </c>
      <c r="J154" s="44" t="s">
        <v>38</v>
      </c>
      <c r="K154" s="44" t="s">
        <v>42</v>
      </c>
      <c r="L154" s="44" t="s">
        <v>45</v>
      </c>
      <c r="M154" s="44" t="s">
        <v>44</v>
      </c>
      <c r="N154" s="44" t="s">
        <v>43</v>
      </c>
      <c r="O154" s="44" t="s">
        <v>32</v>
      </c>
      <c r="P154" s="44" t="s">
        <v>34</v>
      </c>
      <c r="Q154" s="44" t="s">
        <v>35</v>
      </c>
    </row>
    <row r="155" spans="1:17">
      <c r="A155" s="285" t="s">
        <v>317</v>
      </c>
      <c r="B155" s="37" t="s">
        <v>318</v>
      </c>
      <c r="C155" s="17" t="s">
        <v>319</v>
      </c>
      <c r="D155" s="36" t="s">
        <v>320</v>
      </c>
      <c r="F155" s="2" t="s">
        <v>193</v>
      </c>
      <c r="G155" s="2"/>
      <c r="H155" s="2"/>
      <c r="I155" s="2"/>
      <c r="J155" s="2"/>
      <c r="K155" s="2" t="s">
        <v>191</v>
      </c>
      <c r="L155" s="2"/>
      <c r="M155" s="2"/>
      <c r="N155" s="2"/>
      <c r="O155" s="2"/>
      <c r="P155" s="2" t="s">
        <v>162</v>
      </c>
      <c r="Q155" s="2" t="s">
        <v>206</v>
      </c>
    </row>
    <row r="156" spans="1:17">
      <c r="A156" s="286"/>
      <c r="B156" s="37" t="s">
        <v>321</v>
      </c>
      <c r="C156" s="17" t="s">
        <v>322</v>
      </c>
      <c r="D156" s="36" t="s">
        <v>323</v>
      </c>
      <c r="F156" s="2" t="s">
        <v>324</v>
      </c>
      <c r="G156" s="2" t="s">
        <v>193</v>
      </c>
      <c r="H156" s="2"/>
      <c r="I156" s="2"/>
      <c r="J156" s="2"/>
      <c r="K156" s="2"/>
      <c r="L156" s="2" t="s">
        <v>191</v>
      </c>
      <c r="M156" s="2"/>
      <c r="N156" s="2"/>
      <c r="O156" s="2"/>
      <c r="P156" s="2" t="s">
        <v>162</v>
      </c>
      <c r="Q156" s="2" t="s">
        <v>206</v>
      </c>
    </row>
    <row r="157" spans="1:17">
      <c r="A157" s="286"/>
      <c r="B157" s="37" t="s">
        <v>325</v>
      </c>
      <c r="C157" s="17" t="s">
        <v>326</v>
      </c>
      <c r="D157" s="36" t="s">
        <v>327</v>
      </c>
      <c r="F157" s="2" t="s">
        <v>324</v>
      </c>
      <c r="G157" s="2"/>
      <c r="H157" s="2" t="s">
        <v>193</v>
      </c>
      <c r="I157" s="2"/>
      <c r="J157" s="2"/>
      <c r="K157" s="2"/>
      <c r="L157" s="2"/>
      <c r="M157" s="2" t="s">
        <v>191</v>
      </c>
      <c r="N157" s="2"/>
      <c r="O157" s="2"/>
      <c r="P157" s="2" t="s">
        <v>162</v>
      </c>
      <c r="Q157" s="2" t="s">
        <v>206</v>
      </c>
    </row>
    <row r="158" spans="1:17">
      <c r="A158" s="286"/>
      <c r="B158" s="290" t="s">
        <v>328</v>
      </c>
      <c r="C158" s="17" t="s">
        <v>329</v>
      </c>
      <c r="D158" s="36" t="s">
        <v>320</v>
      </c>
      <c r="F158" s="288" t="s">
        <v>193</v>
      </c>
      <c r="G158" s="288" t="s">
        <v>193</v>
      </c>
      <c r="H158" s="2"/>
      <c r="I158" s="2"/>
      <c r="J158" s="2"/>
      <c r="K158" s="2" t="s">
        <v>191</v>
      </c>
      <c r="L158" s="2"/>
      <c r="M158" s="2"/>
      <c r="N158" s="2"/>
      <c r="O158" s="2"/>
      <c r="P158" s="288" t="s">
        <v>162</v>
      </c>
      <c r="Q158" s="288" t="s">
        <v>206</v>
      </c>
    </row>
    <row r="159" spans="1:17">
      <c r="A159" s="286"/>
      <c r="B159" s="291"/>
      <c r="C159" s="17" t="s">
        <v>330</v>
      </c>
      <c r="D159" s="36" t="s">
        <v>323</v>
      </c>
      <c r="F159" s="289"/>
      <c r="G159" s="289"/>
      <c r="H159" s="2"/>
      <c r="I159" s="2"/>
      <c r="J159" s="2"/>
      <c r="K159" s="2"/>
      <c r="L159" s="2" t="s">
        <v>191</v>
      </c>
      <c r="M159" s="2"/>
      <c r="N159" s="2"/>
      <c r="O159" s="2"/>
      <c r="P159" s="289"/>
      <c r="Q159" s="289"/>
    </row>
    <row r="160" spans="1:17">
      <c r="A160" s="286"/>
      <c r="B160" s="290" t="s">
        <v>331</v>
      </c>
      <c r="C160" s="17" t="s">
        <v>332</v>
      </c>
      <c r="D160" s="36" t="s">
        <v>320</v>
      </c>
      <c r="F160" s="288" t="s">
        <v>193</v>
      </c>
      <c r="G160" s="2"/>
      <c r="H160" s="288" t="s">
        <v>193</v>
      </c>
      <c r="I160" s="2"/>
      <c r="J160" s="2"/>
      <c r="K160" s="2" t="s">
        <v>191</v>
      </c>
      <c r="L160" s="2"/>
      <c r="M160" s="2"/>
      <c r="N160" s="2"/>
      <c r="O160" s="2"/>
      <c r="P160" s="288" t="s">
        <v>162</v>
      </c>
      <c r="Q160" s="288" t="s">
        <v>206</v>
      </c>
    </row>
    <row r="161" spans="1:17">
      <c r="A161" s="286"/>
      <c r="B161" s="291"/>
      <c r="C161" s="17" t="s">
        <v>333</v>
      </c>
      <c r="D161" s="36" t="s">
        <v>327</v>
      </c>
      <c r="F161" s="289"/>
      <c r="G161" s="2"/>
      <c r="H161" s="289"/>
      <c r="I161" s="2"/>
      <c r="J161" s="2"/>
      <c r="K161" s="2"/>
      <c r="L161" s="2"/>
      <c r="M161" s="2" t="s">
        <v>191</v>
      </c>
      <c r="N161" s="2"/>
      <c r="O161" s="2"/>
      <c r="P161" s="289"/>
      <c r="Q161" s="289"/>
    </row>
    <row r="162" spans="1:17">
      <c r="A162" s="286"/>
      <c r="B162" s="290" t="s">
        <v>334</v>
      </c>
      <c r="C162" s="17" t="s">
        <v>335</v>
      </c>
      <c r="D162" s="36" t="s">
        <v>323</v>
      </c>
      <c r="F162" s="2" t="s">
        <v>324</v>
      </c>
      <c r="G162" s="288" t="s">
        <v>193</v>
      </c>
      <c r="H162" s="288" t="s">
        <v>193</v>
      </c>
      <c r="I162" s="2"/>
      <c r="J162" s="2"/>
      <c r="K162" s="2"/>
      <c r="L162" s="2" t="s">
        <v>191</v>
      </c>
      <c r="M162" s="2"/>
      <c r="N162" s="2"/>
      <c r="O162" s="2"/>
      <c r="P162" s="288" t="s">
        <v>162</v>
      </c>
      <c r="Q162" s="288" t="s">
        <v>206</v>
      </c>
    </row>
    <row r="163" spans="1:17">
      <c r="A163" s="286"/>
      <c r="B163" s="291"/>
      <c r="C163" s="17" t="s">
        <v>336</v>
      </c>
      <c r="D163" s="36" t="s">
        <v>327</v>
      </c>
      <c r="F163" s="2" t="s">
        <v>324</v>
      </c>
      <c r="G163" s="289"/>
      <c r="H163" s="289"/>
      <c r="I163" s="2"/>
      <c r="J163" s="2"/>
      <c r="K163" s="2"/>
      <c r="L163" s="2"/>
      <c r="M163" s="2" t="s">
        <v>191</v>
      </c>
      <c r="N163" s="2"/>
      <c r="O163" s="2"/>
      <c r="P163" s="289"/>
      <c r="Q163" s="289"/>
    </row>
    <row r="164" spans="1:17">
      <c r="A164" s="286"/>
      <c r="B164" s="290" t="s">
        <v>337</v>
      </c>
      <c r="C164" s="17" t="s">
        <v>338</v>
      </c>
      <c r="D164" s="36" t="s">
        <v>323</v>
      </c>
      <c r="F164" s="2" t="s">
        <v>324</v>
      </c>
      <c r="G164" s="288" t="s">
        <v>193</v>
      </c>
      <c r="H164" s="288" t="s">
        <v>193</v>
      </c>
      <c r="I164" s="288" t="s">
        <v>193</v>
      </c>
      <c r="J164" s="2"/>
      <c r="K164" s="2"/>
      <c r="L164" s="2" t="s">
        <v>191</v>
      </c>
      <c r="M164" s="2"/>
      <c r="N164" s="2"/>
      <c r="O164" s="2"/>
      <c r="P164" s="288" t="s">
        <v>162</v>
      </c>
      <c r="Q164" s="288" t="s">
        <v>206</v>
      </c>
    </row>
    <row r="165" spans="1:17">
      <c r="A165" s="286"/>
      <c r="B165" s="293"/>
      <c r="C165" s="17" t="s">
        <v>339</v>
      </c>
      <c r="D165" s="36" t="s">
        <v>327</v>
      </c>
      <c r="F165" s="2" t="s">
        <v>324</v>
      </c>
      <c r="G165" s="292"/>
      <c r="H165" s="292"/>
      <c r="I165" s="292"/>
      <c r="J165" s="2"/>
      <c r="K165" s="2"/>
      <c r="L165" s="2"/>
      <c r="M165" s="2" t="s">
        <v>191</v>
      </c>
      <c r="N165" s="2"/>
      <c r="O165" s="2"/>
      <c r="P165" s="292"/>
      <c r="Q165" s="292"/>
    </row>
    <row r="166" spans="1:17">
      <c r="A166" s="286"/>
      <c r="B166" s="291"/>
      <c r="C166" s="17" t="s">
        <v>340</v>
      </c>
      <c r="D166" s="36" t="s">
        <v>341</v>
      </c>
      <c r="F166" s="2" t="s">
        <v>324</v>
      </c>
      <c r="G166" s="289"/>
      <c r="H166" s="289"/>
      <c r="I166" s="289"/>
      <c r="J166" s="2"/>
      <c r="K166" s="2"/>
      <c r="L166" s="2"/>
      <c r="M166" s="2"/>
      <c r="N166" s="2" t="s">
        <v>191</v>
      </c>
      <c r="O166" s="2"/>
      <c r="P166" s="289"/>
      <c r="Q166" s="289"/>
    </row>
    <row r="167" spans="1:17">
      <c r="A167" s="286"/>
      <c r="B167" s="290" t="s">
        <v>342</v>
      </c>
      <c r="C167" s="17" t="s">
        <v>343</v>
      </c>
      <c r="D167" s="36" t="s">
        <v>320</v>
      </c>
      <c r="F167" s="288" t="s">
        <v>193</v>
      </c>
      <c r="G167" s="2"/>
      <c r="H167" s="288" t="s">
        <v>193</v>
      </c>
      <c r="I167" s="2"/>
      <c r="J167" s="288" t="s">
        <v>193</v>
      </c>
      <c r="K167" s="2" t="s">
        <v>191</v>
      </c>
      <c r="L167" s="2"/>
      <c r="M167" s="2"/>
      <c r="N167" s="2"/>
      <c r="O167" s="2"/>
      <c r="P167" s="288" t="s">
        <v>162</v>
      </c>
      <c r="Q167" s="288" t="s">
        <v>206</v>
      </c>
    </row>
    <row r="168" spans="1:17">
      <c r="A168" s="286"/>
      <c r="B168" s="293"/>
      <c r="C168" s="17" t="s">
        <v>344</v>
      </c>
      <c r="D168" s="36" t="s">
        <v>327</v>
      </c>
      <c r="F168" s="292"/>
      <c r="G168" s="2"/>
      <c r="H168" s="292"/>
      <c r="I168" s="2"/>
      <c r="J168" s="292"/>
      <c r="K168" s="2"/>
      <c r="L168" s="2"/>
      <c r="M168" s="2" t="s">
        <v>191</v>
      </c>
      <c r="N168" s="2"/>
      <c r="O168" s="2"/>
      <c r="P168" s="292"/>
      <c r="Q168" s="292"/>
    </row>
    <row r="169" spans="1:17">
      <c r="A169" s="286"/>
      <c r="B169" s="291"/>
      <c r="C169" s="17" t="s">
        <v>345</v>
      </c>
      <c r="D169" s="36" t="s">
        <v>346</v>
      </c>
      <c r="F169" s="289"/>
      <c r="G169" s="2"/>
      <c r="H169" s="289"/>
      <c r="I169" s="2"/>
      <c r="J169" s="289"/>
      <c r="K169" s="2"/>
      <c r="L169" s="2"/>
      <c r="M169" s="2"/>
      <c r="N169" s="2"/>
      <c r="O169" s="2" t="s">
        <v>191</v>
      </c>
      <c r="P169" s="289"/>
      <c r="Q169" s="289"/>
    </row>
    <row r="170" spans="1:17">
      <c r="A170" s="286"/>
      <c r="B170" s="290" t="s">
        <v>347</v>
      </c>
      <c r="C170" s="17" t="s">
        <v>348</v>
      </c>
      <c r="D170" s="36" t="s">
        <v>320</v>
      </c>
      <c r="F170" s="288" t="s">
        <v>193</v>
      </c>
      <c r="G170" s="288" t="s">
        <v>193</v>
      </c>
      <c r="H170" s="288" t="s">
        <v>193</v>
      </c>
      <c r="I170" s="288" t="s">
        <v>193</v>
      </c>
      <c r="J170" s="2"/>
      <c r="K170" s="2" t="s">
        <v>191</v>
      </c>
      <c r="L170" s="2"/>
      <c r="M170" s="17"/>
      <c r="N170" s="17"/>
      <c r="O170" s="2"/>
      <c r="P170" s="288" t="s">
        <v>162</v>
      </c>
      <c r="Q170" s="288" t="s">
        <v>206</v>
      </c>
    </row>
    <row r="171" spans="1:17">
      <c r="A171" s="286"/>
      <c r="B171" s="293"/>
      <c r="C171" s="17" t="s">
        <v>349</v>
      </c>
      <c r="D171" s="36" t="s">
        <v>323</v>
      </c>
      <c r="F171" s="292"/>
      <c r="G171" s="292"/>
      <c r="H171" s="292"/>
      <c r="I171" s="292"/>
      <c r="J171" s="2"/>
      <c r="K171" s="2"/>
      <c r="L171" s="2" t="s">
        <v>191</v>
      </c>
      <c r="M171" s="17"/>
      <c r="N171" s="17"/>
      <c r="O171" s="2"/>
      <c r="P171" s="292"/>
      <c r="Q171" s="292"/>
    </row>
    <row r="172" spans="1:17">
      <c r="A172" s="286"/>
      <c r="B172" s="293"/>
      <c r="C172" s="17" t="s">
        <v>350</v>
      </c>
      <c r="D172" s="36" t="s">
        <v>327</v>
      </c>
      <c r="F172" s="292"/>
      <c r="G172" s="292"/>
      <c r="H172" s="292"/>
      <c r="I172" s="292"/>
      <c r="J172" s="2"/>
      <c r="K172" s="2"/>
      <c r="L172" s="2"/>
      <c r="M172" s="2" t="s">
        <v>191</v>
      </c>
      <c r="N172" s="17"/>
      <c r="O172" s="2"/>
      <c r="P172" s="292"/>
      <c r="Q172" s="292"/>
    </row>
    <row r="173" spans="1:17">
      <c r="A173" s="286"/>
      <c r="B173" s="291"/>
      <c r="C173" s="17" t="s">
        <v>351</v>
      </c>
      <c r="D173" s="36" t="s">
        <v>341</v>
      </c>
      <c r="F173" s="289"/>
      <c r="G173" s="289"/>
      <c r="H173" s="289"/>
      <c r="I173" s="289"/>
      <c r="J173" s="2"/>
      <c r="K173" s="2"/>
      <c r="L173" s="2"/>
      <c r="M173" s="2"/>
      <c r="N173" s="2" t="s">
        <v>191</v>
      </c>
      <c r="O173" s="2"/>
      <c r="P173" s="289"/>
      <c r="Q173" s="289"/>
    </row>
    <row r="174" spans="1:17">
      <c r="A174" s="286"/>
      <c r="B174" s="290" t="s">
        <v>352</v>
      </c>
      <c r="C174" s="17" t="s">
        <v>353</v>
      </c>
      <c r="D174" s="36" t="s">
        <v>320</v>
      </c>
      <c r="F174" s="288" t="s">
        <v>193</v>
      </c>
      <c r="G174" s="288" t="s">
        <v>193</v>
      </c>
      <c r="H174" s="288" t="s">
        <v>193</v>
      </c>
      <c r="I174" s="288" t="s">
        <v>193</v>
      </c>
      <c r="J174" s="288" t="s">
        <v>193</v>
      </c>
      <c r="K174" s="2" t="s">
        <v>191</v>
      </c>
      <c r="L174" s="2"/>
      <c r="M174" s="17"/>
      <c r="N174" s="17"/>
      <c r="O174" s="17"/>
      <c r="P174" s="288" t="s">
        <v>162</v>
      </c>
      <c r="Q174" s="288" t="s">
        <v>206</v>
      </c>
    </row>
    <row r="175" spans="1:17">
      <c r="A175" s="286"/>
      <c r="B175" s="293"/>
      <c r="C175" s="17" t="s">
        <v>354</v>
      </c>
      <c r="D175" s="36" t="s">
        <v>323</v>
      </c>
      <c r="F175" s="292"/>
      <c r="G175" s="292"/>
      <c r="H175" s="292"/>
      <c r="I175" s="292"/>
      <c r="J175" s="292"/>
      <c r="K175" s="2"/>
      <c r="L175" s="2" t="s">
        <v>191</v>
      </c>
      <c r="M175" s="17"/>
      <c r="N175" s="17"/>
      <c r="O175" s="17"/>
      <c r="P175" s="292"/>
      <c r="Q175" s="292"/>
    </row>
    <row r="176" spans="1:17">
      <c r="A176" s="286"/>
      <c r="B176" s="293"/>
      <c r="C176" s="17" t="s">
        <v>355</v>
      </c>
      <c r="D176" s="36" t="s">
        <v>327</v>
      </c>
      <c r="F176" s="292"/>
      <c r="G176" s="292"/>
      <c r="H176" s="292"/>
      <c r="I176" s="292"/>
      <c r="J176" s="292"/>
      <c r="K176" s="2"/>
      <c r="L176" s="2"/>
      <c r="M176" s="2" t="s">
        <v>191</v>
      </c>
      <c r="N176" s="17"/>
      <c r="O176" s="17"/>
      <c r="P176" s="292"/>
      <c r="Q176" s="292"/>
    </row>
    <row r="177" spans="1:17">
      <c r="A177" s="286"/>
      <c r="B177" s="293"/>
      <c r="C177" s="17" t="s">
        <v>356</v>
      </c>
      <c r="D177" s="36" t="s">
        <v>341</v>
      </c>
      <c r="F177" s="292"/>
      <c r="G177" s="292"/>
      <c r="H177" s="292"/>
      <c r="I177" s="292"/>
      <c r="J177" s="292"/>
      <c r="K177" s="2"/>
      <c r="L177" s="2"/>
      <c r="M177" s="2"/>
      <c r="N177" s="2" t="s">
        <v>191</v>
      </c>
      <c r="O177" s="17"/>
      <c r="P177" s="292"/>
      <c r="Q177" s="292"/>
    </row>
    <row r="178" spans="1:17">
      <c r="A178" s="287"/>
      <c r="B178" s="291"/>
      <c r="C178" s="17" t="s">
        <v>357</v>
      </c>
      <c r="D178" s="36" t="s">
        <v>346</v>
      </c>
      <c r="F178" s="289"/>
      <c r="G178" s="289"/>
      <c r="H178" s="289"/>
      <c r="I178" s="289"/>
      <c r="J178" s="289"/>
      <c r="K178" s="2"/>
      <c r="L178" s="2"/>
      <c r="M178" s="2"/>
      <c r="N178" s="2"/>
      <c r="O178" s="2" t="s">
        <v>191</v>
      </c>
      <c r="P178" s="289"/>
      <c r="Q178" s="289"/>
    </row>
    <row r="181" spans="1:17">
      <c r="A181" s="24" t="s">
        <v>149</v>
      </c>
      <c r="B181" s="24" t="s">
        <v>150</v>
      </c>
      <c r="C181" s="24" t="s">
        <v>296</v>
      </c>
      <c r="D181" s="14"/>
      <c r="E181" s="4"/>
      <c r="F181" s="23" t="s">
        <v>83</v>
      </c>
      <c r="G181" s="23" t="s">
        <v>82</v>
      </c>
      <c r="H181" s="23" t="s">
        <v>84</v>
      </c>
      <c r="I181" s="23" t="s">
        <v>358</v>
      </c>
      <c r="J181" s="23" t="s">
        <v>359</v>
      </c>
      <c r="K181"/>
      <c r="L181"/>
      <c r="M181"/>
    </row>
    <row r="182" spans="1:17">
      <c r="A182" s="285" t="s">
        <v>360</v>
      </c>
      <c r="B182" s="7" t="s">
        <v>361</v>
      </c>
      <c r="C182" s="25"/>
      <c r="D182" s="1"/>
      <c r="E182" s="6"/>
      <c r="F182" s="67"/>
      <c r="G182" s="67"/>
      <c r="H182" s="67"/>
      <c r="I182" s="67"/>
      <c r="J182" s="67"/>
      <c r="K182"/>
      <c r="L182"/>
      <c r="M182"/>
    </row>
    <row r="183" spans="1:17">
      <c r="A183" s="286"/>
      <c r="B183" s="7" t="s">
        <v>362</v>
      </c>
      <c r="C183" s="25"/>
      <c r="D183" s="1"/>
      <c r="F183" s="67"/>
      <c r="G183" s="67"/>
      <c r="H183" s="67"/>
      <c r="I183" s="67"/>
      <c r="J183" s="67"/>
      <c r="K183"/>
      <c r="L183"/>
      <c r="M183"/>
    </row>
    <row r="184" spans="1:17">
      <c r="A184" s="286"/>
      <c r="B184" s="7" t="s">
        <v>363</v>
      </c>
      <c r="C184" s="25"/>
      <c r="D184" s="1"/>
      <c r="F184" s="67"/>
      <c r="G184" s="67"/>
      <c r="H184" s="67"/>
      <c r="I184" s="67"/>
      <c r="J184" s="67"/>
      <c r="K184"/>
      <c r="L184"/>
      <c r="M184"/>
    </row>
    <row r="185" spans="1:17">
      <c r="A185" s="286"/>
      <c r="B185" s="7" t="s">
        <v>364</v>
      </c>
      <c r="C185" s="25"/>
      <c r="D185" s="1"/>
      <c r="F185" s="67"/>
      <c r="G185" s="67"/>
      <c r="H185" s="67"/>
      <c r="I185" s="67"/>
      <c r="J185" s="67"/>
      <c r="K185"/>
      <c r="L185"/>
      <c r="M185"/>
    </row>
    <row r="186" spans="1:17">
      <c r="A186" s="286"/>
      <c r="B186" s="7" t="s">
        <v>365</v>
      </c>
      <c r="C186" s="25"/>
      <c r="D186" s="1"/>
      <c r="F186" s="67"/>
      <c r="G186" s="67"/>
      <c r="H186" s="67"/>
      <c r="I186" s="67"/>
      <c r="J186" s="67"/>
      <c r="K186"/>
      <c r="L186"/>
      <c r="M186"/>
    </row>
    <row r="187" spans="1:17">
      <c r="A187" s="286"/>
      <c r="B187" s="7" t="s">
        <v>366</v>
      </c>
      <c r="C187" s="25"/>
      <c r="D187" s="1"/>
      <c r="F187" s="67"/>
      <c r="G187" s="67"/>
      <c r="H187" s="67"/>
      <c r="I187" s="67"/>
      <c r="J187" s="67"/>
      <c r="K187"/>
      <c r="L187"/>
      <c r="M187"/>
    </row>
    <row r="188" spans="1:17">
      <c r="A188" s="286"/>
      <c r="B188" s="7" t="s">
        <v>367</v>
      </c>
      <c r="C188" s="25"/>
      <c r="D188" s="1"/>
      <c r="F188" s="67"/>
      <c r="G188" s="67"/>
      <c r="H188" s="67"/>
      <c r="I188" s="67"/>
      <c r="J188" s="67"/>
      <c r="K188"/>
      <c r="L188"/>
      <c r="M188"/>
    </row>
    <row r="189" spans="1:17">
      <c r="A189" s="286"/>
      <c r="B189" s="7" t="s">
        <v>368</v>
      </c>
      <c r="C189" s="25"/>
      <c r="D189" s="1"/>
      <c r="F189" s="67"/>
      <c r="G189" s="67"/>
      <c r="H189" s="67"/>
      <c r="I189" s="67"/>
      <c r="J189" s="67"/>
      <c r="K189"/>
      <c r="L189"/>
      <c r="M189"/>
    </row>
    <row r="190" spans="1:17">
      <c r="A190" s="287"/>
      <c r="B190" s="7" t="s">
        <v>360</v>
      </c>
      <c r="C190" s="25"/>
      <c r="D190" s="1"/>
      <c r="F190" s="67"/>
      <c r="G190" s="67"/>
      <c r="H190" s="67"/>
      <c r="I190" s="67"/>
      <c r="J190" s="67"/>
      <c r="K190"/>
      <c r="L190"/>
      <c r="M190"/>
    </row>
    <row r="191" spans="1:17">
      <c r="A191" s="7" t="s">
        <v>369</v>
      </c>
      <c r="B191" s="7" t="s">
        <v>369</v>
      </c>
      <c r="C191" s="25"/>
      <c r="D191" s="1"/>
      <c r="F191" s="67"/>
      <c r="G191" s="67"/>
      <c r="H191" s="67"/>
      <c r="I191" s="67"/>
      <c r="J191" s="67"/>
      <c r="K191"/>
      <c r="L191"/>
      <c r="M191"/>
    </row>
    <row r="192" spans="1:17">
      <c r="A192" s="7" t="s">
        <v>370</v>
      </c>
      <c r="B192" s="7" t="s">
        <v>370</v>
      </c>
      <c r="C192" s="25"/>
      <c r="D192" s="1"/>
      <c r="F192" s="67"/>
      <c r="G192" s="67"/>
      <c r="H192" s="67"/>
      <c r="I192" s="67"/>
      <c r="J192" s="67"/>
      <c r="K192"/>
      <c r="L192"/>
      <c r="M192"/>
    </row>
    <row r="193" spans="1:18">
      <c r="F193"/>
      <c r="G193"/>
      <c r="H193"/>
      <c r="I193"/>
      <c r="J193"/>
      <c r="K193"/>
      <c r="L193"/>
      <c r="M193"/>
    </row>
    <row r="194" spans="1:18">
      <c r="F194"/>
      <c r="G194"/>
      <c r="H194"/>
      <c r="I194"/>
      <c r="J194"/>
      <c r="K194"/>
      <c r="L194"/>
      <c r="M194"/>
    </row>
    <row r="195" spans="1:18">
      <c r="A195" s="28" t="s">
        <v>371</v>
      </c>
      <c r="B195" s="24" t="s">
        <v>149</v>
      </c>
      <c r="C195" s="24" t="s">
        <v>296</v>
      </c>
      <c r="D195" s="14"/>
      <c r="E195" s="4"/>
      <c r="F195" s="23" t="s">
        <v>83</v>
      </c>
      <c r="G195" s="23" t="s">
        <v>82</v>
      </c>
      <c r="H195" s="23" t="s">
        <v>84</v>
      </c>
      <c r="I195" s="23" t="s">
        <v>79</v>
      </c>
      <c r="J195" s="23" t="s">
        <v>78</v>
      </c>
      <c r="K195" s="23" t="s">
        <v>75</v>
      </c>
      <c r="L195" s="23" t="s">
        <v>372</v>
      </c>
      <c r="M195" s="23" t="s">
        <v>373</v>
      </c>
      <c r="N195" s="23" t="s">
        <v>81</v>
      </c>
      <c r="O195" s="23" t="s">
        <v>80</v>
      </c>
      <c r="P195" s="4"/>
      <c r="R195" s="4"/>
    </row>
    <row r="196" spans="1:18">
      <c r="A196" s="285" t="s">
        <v>374</v>
      </c>
      <c r="B196" s="7" t="s">
        <v>375</v>
      </c>
      <c r="C196" s="25"/>
      <c r="D196" s="1"/>
      <c r="E196" s="6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"/>
      <c r="R196" s="6"/>
    </row>
    <row r="197" spans="1:18">
      <c r="A197" s="286"/>
      <c r="B197" s="7" t="s">
        <v>376</v>
      </c>
      <c r="C197" s="25"/>
      <c r="D197" s="1"/>
      <c r="E197" s="6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"/>
      <c r="R197" s="6"/>
    </row>
    <row r="198" spans="1:18">
      <c r="A198" s="286"/>
      <c r="B198" s="7" t="s">
        <v>377</v>
      </c>
      <c r="C198" s="25"/>
      <c r="D198" s="1"/>
      <c r="E198" s="6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"/>
      <c r="R198" s="6"/>
    </row>
    <row r="199" spans="1:18">
      <c r="A199" s="286"/>
      <c r="B199" s="7" t="s">
        <v>378</v>
      </c>
      <c r="C199" s="25"/>
      <c r="D199" s="1"/>
      <c r="E199" s="6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"/>
      <c r="R199" s="6"/>
    </row>
    <row r="200" spans="1:18">
      <c r="A200" s="286"/>
      <c r="B200" s="7" t="s">
        <v>379</v>
      </c>
      <c r="C200" s="25"/>
      <c r="D200" s="1"/>
      <c r="E200" s="6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"/>
      <c r="R200" s="6"/>
    </row>
    <row r="201" spans="1:18">
      <c r="A201" s="286"/>
      <c r="B201" s="7" t="s">
        <v>380</v>
      </c>
      <c r="C201" s="25"/>
      <c r="D201" s="1"/>
      <c r="E201" s="6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"/>
      <c r="R201" s="6"/>
    </row>
    <row r="202" spans="1:18">
      <c r="A202" s="286"/>
      <c r="B202" s="7" t="s">
        <v>381</v>
      </c>
      <c r="C202" s="25"/>
      <c r="D202" s="1"/>
      <c r="E202" s="6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"/>
      <c r="R202" s="6"/>
    </row>
    <row r="203" spans="1:18">
      <c r="A203" s="286"/>
      <c r="B203" s="7" t="s">
        <v>382</v>
      </c>
      <c r="C203" s="25"/>
      <c r="D203" s="1"/>
      <c r="E203" s="6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"/>
      <c r="R203" s="6"/>
    </row>
    <row r="204" spans="1:18">
      <c r="A204" s="287"/>
      <c r="B204" s="7" t="s">
        <v>374</v>
      </c>
      <c r="C204" s="25"/>
      <c r="D204" s="1"/>
      <c r="E204" s="6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"/>
      <c r="R204" s="6"/>
    </row>
    <row r="207" spans="1:18">
      <c r="A207" s="24" t="s">
        <v>149</v>
      </c>
      <c r="B207" s="24" t="s">
        <v>150</v>
      </c>
      <c r="C207" s="24" t="s">
        <v>296</v>
      </c>
      <c r="D207" s="14"/>
      <c r="E207" s="4"/>
      <c r="F207" s="23" t="s">
        <v>83</v>
      </c>
      <c r="G207" s="23" t="s">
        <v>82</v>
      </c>
      <c r="H207" s="23" t="s">
        <v>84</v>
      </c>
      <c r="I207" s="23" t="s">
        <v>79</v>
      </c>
      <c r="J207" s="23" t="s">
        <v>78</v>
      </c>
      <c r="K207" s="23" t="s">
        <v>75</v>
      </c>
      <c r="L207" s="23" t="s">
        <v>372</v>
      </c>
      <c r="M207" s="23" t="s">
        <v>373</v>
      </c>
      <c r="R207" s="4"/>
    </row>
    <row r="208" spans="1:18">
      <c r="A208" s="285" t="s">
        <v>383</v>
      </c>
      <c r="B208" s="7" t="s">
        <v>384</v>
      </c>
      <c r="C208" s="25"/>
      <c r="D208" s="1"/>
      <c r="E208" s="6"/>
      <c r="F208" s="67"/>
      <c r="G208" s="67"/>
      <c r="H208" s="67"/>
      <c r="I208" s="67"/>
      <c r="J208" s="67"/>
      <c r="K208" s="67"/>
      <c r="L208" s="67"/>
      <c r="M208" s="67"/>
      <c r="R208" s="6"/>
    </row>
    <row r="209" spans="1:18">
      <c r="A209" s="286"/>
      <c r="B209" s="7" t="s">
        <v>385</v>
      </c>
      <c r="C209" s="25"/>
      <c r="D209" s="1"/>
      <c r="E209" s="6"/>
      <c r="F209" s="67"/>
      <c r="G209" s="67"/>
      <c r="H209" s="67"/>
      <c r="I209" s="67"/>
      <c r="J209" s="67"/>
      <c r="K209" s="67"/>
      <c r="L209" s="67"/>
      <c r="M209" s="67"/>
      <c r="R209" s="6"/>
    </row>
    <row r="210" spans="1:18">
      <c r="A210" s="286"/>
      <c r="B210" s="7" t="s">
        <v>386</v>
      </c>
      <c r="C210" s="25"/>
      <c r="D210" s="1"/>
      <c r="E210" s="6"/>
      <c r="F210" s="67"/>
      <c r="G210" s="67"/>
      <c r="H210" s="67"/>
      <c r="I210" s="67"/>
      <c r="J210" s="67"/>
      <c r="K210" s="67"/>
      <c r="L210" s="67"/>
      <c r="M210" s="67"/>
      <c r="R210" s="6"/>
    </row>
    <row r="211" spans="1:18">
      <c r="A211" s="286"/>
      <c r="B211" s="7" t="s">
        <v>387</v>
      </c>
      <c r="C211" s="25"/>
      <c r="D211" s="1"/>
      <c r="E211" s="6"/>
      <c r="F211" s="67"/>
      <c r="G211" s="67"/>
      <c r="H211" s="67"/>
      <c r="I211" s="67"/>
      <c r="J211" s="67"/>
      <c r="K211" s="67"/>
      <c r="L211" s="67"/>
      <c r="M211" s="67"/>
      <c r="R211" s="6"/>
    </row>
    <row r="212" spans="1:18">
      <c r="A212" s="286"/>
      <c r="B212" s="7" t="s">
        <v>388</v>
      </c>
      <c r="C212" s="25"/>
      <c r="D212" s="1"/>
      <c r="E212" s="6"/>
      <c r="F212" s="67"/>
      <c r="G212" s="67"/>
      <c r="H212" s="67"/>
      <c r="I212" s="67"/>
      <c r="J212" s="67"/>
      <c r="K212" s="67"/>
      <c r="L212" s="67"/>
      <c r="M212" s="67"/>
      <c r="R212" s="6"/>
    </row>
    <row r="213" spans="1:18">
      <c r="A213" s="286"/>
      <c r="B213" s="7" t="s">
        <v>389</v>
      </c>
      <c r="C213" s="25"/>
      <c r="D213" s="1"/>
      <c r="E213" s="6"/>
      <c r="F213" s="67"/>
      <c r="G213" s="67"/>
      <c r="H213" s="67"/>
      <c r="I213" s="67"/>
      <c r="J213" s="67"/>
      <c r="K213" s="67"/>
      <c r="L213" s="67"/>
      <c r="M213" s="67"/>
      <c r="R213" s="6"/>
    </row>
    <row r="214" spans="1:18">
      <c r="A214" s="286"/>
      <c r="B214" s="7" t="s">
        <v>390</v>
      </c>
      <c r="C214" s="25"/>
      <c r="D214" s="1"/>
      <c r="E214" s="6"/>
      <c r="F214" s="67"/>
      <c r="G214" s="67"/>
      <c r="H214" s="67"/>
      <c r="I214" s="67"/>
      <c r="J214" s="67"/>
      <c r="K214" s="67"/>
      <c r="L214" s="67"/>
      <c r="M214" s="67"/>
      <c r="R214" s="6"/>
    </row>
    <row r="215" spans="1:18">
      <c r="A215" s="286"/>
      <c r="B215" s="7" t="s">
        <v>391</v>
      </c>
      <c r="C215" s="25"/>
      <c r="D215" s="1"/>
      <c r="E215" s="6"/>
      <c r="F215" s="67"/>
      <c r="G215" s="67"/>
      <c r="H215" s="67"/>
      <c r="I215" s="67"/>
      <c r="J215" s="67"/>
      <c r="K215" s="67"/>
      <c r="L215" s="67"/>
      <c r="M215" s="67"/>
      <c r="R215" s="6"/>
    </row>
    <row r="216" spans="1:18">
      <c r="A216" s="287"/>
      <c r="B216" s="7" t="s">
        <v>383</v>
      </c>
      <c r="C216" s="25"/>
      <c r="D216" s="1"/>
      <c r="E216" s="6"/>
      <c r="F216" s="67"/>
      <c r="G216" s="67"/>
      <c r="H216" s="67"/>
      <c r="I216" s="67"/>
      <c r="J216" s="67"/>
      <c r="K216" s="67"/>
      <c r="L216" s="67"/>
      <c r="M216" s="67"/>
      <c r="R216" s="6"/>
    </row>
    <row r="219" spans="1:18">
      <c r="A219" s="24" t="s">
        <v>149</v>
      </c>
      <c r="B219" s="24" t="s">
        <v>150</v>
      </c>
      <c r="C219" s="28" t="s">
        <v>151</v>
      </c>
      <c r="F219" s="44" t="s">
        <v>113</v>
      </c>
      <c r="G219" s="44" t="s">
        <v>392</v>
      </c>
    </row>
    <row r="220" spans="1:18">
      <c r="A220" s="296" t="s">
        <v>393</v>
      </c>
      <c r="B220" s="33" t="s">
        <v>394</v>
      </c>
      <c r="C220" s="25" t="s">
        <v>395</v>
      </c>
      <c r="D220" s="1"/>
      <c r="F220" s="67" t="s">
        <v>238</v>
      </c>
      <c r="G220" s="2" t="s">
        <v>239</v>
      </c>
    </row>
    <row r="221" spans="1:18">
      <c r="A221" s="297"/>
      <c r="B221" s="33" t="s">
        <v>396</v>
      </c>
      <c r="C221" s="25" t="s">
        <v>397</v>
      </c>
      <c r="D221" s="1"/>
      <c r="F221" s="67" t="s">
        <v>238</v>
      </c>
      <c r="G221" s="2" t="s">
        <v>239</v>
      </c>
    </row>
    <row r="222" spans="1:18">
      <c r="A222" s="285" t="s">
        <v>398</v>
      </c>
      <c r="B222" s="33" t="s">
        <v>399</v>
      </c>
      <c r="C222" s="25" t="s">
        <v>400</v>
      </c>
      <c r="D222" s="1"/>
      <c r="F222" s="67" t="s">
        <v>153</v>
      </c>
      <c r="G222" s="2" t="s">
        <v>154</v>
      </c>
    </row>
    <row r="223" spans="1:18">
      <c r="A223" s="287"/>
      <c r="B223" s="33" t="s">
        <v>401</v>
      </c>
      <c r="C223" s="25" t="s">
        <v>402</v>
      </c>
      <c r="D223" s="1"/>
      <c r="F223" s="2" t="s">
        <v>154</v>
      </c>
      <c r="G223" s="67" t="s">
        <v>153</v>
      </c>
    </row>
    <row r="224" spans="1:18">
      <c r="A224" s="64" t="s">
        <v>403</v>
      </c>
      <c r="B224" s="64" t="s">
        <v>403</v>
      </c>
      <c r="C224" s="25" t="s">
        <v>404</v>
      </c>
      <c r="D224" s="1"/>
      <c r="F224" s="67" t="s">
        <v>405</v>
      </c>
      <c r="G224" s="67" t="s">
        <v>154</v>
      </c>
    </row>
    <row r="225" spans="1:8">
      <c r="A225" s="7" t="s">
        <v>406</v>
      </c>
      <c r="B225" s="7" t="s">
        <v>406</v>
      </c>
      <c r="C225" s="25" t="s">
        <v>287</v>
      </c>
      <c r="D225" s="1"/>
      <c r="F225" s="67" t="s">
        <v>407</v>
      </c>
      <c r="G225" s="67" t="s">
        <v>154</v>
      </c>
    </row>
    <row r="226" spans="1:8">
      <c r="A226" s="64" t="s">
        <v>408</v>
      </c>
      <c r="B226" s="64" t="s">
        <v>408</v>
      </c>
      <c r="C226" s="25" t="s">
        <v>409</v>
      </c>
      <c r="D226" s="1"/>
      <c r="F226" s="67" t="s">
        <v>405</v>
      </c>
      <c r="G226" s="67" t="s">
        <v>154</v>
      </c>
    </row>
    <row r="229" spans="1:8">
      <c r="A229" s="24" t="s">
        <v>149</v>
      </c>
      <c r="B229" s="24" t="s">
        <v>150</v>
      </c>
      <c r="C229" s="28" t="s">
        <v>151</v>
      </c>
      <c r="F229" s="44" t="s">
        <v>113</v>
      </c>
      <c r="G229" s="44" t="s">
        <v>392</v>
      </c>
      <c r="H229" s="44" t="s">
        <v>58</v>
      </c>
    </row>
    <row r="230" spans="1:8">
      <c r="A230" s="7" t="s">
        <v>410</v>
      </c>
      <c r="B230" s="7" t="s">
        <v>410</v>
      </c>
      <c r="C230" s="25" t="s">
        <v>287</v>
      </c>
      <c r="D230" s="1"/>
      <c r="F230" s="67" t="s">
        <v>407</v>
      </c>
      <c r="G230" s="67" t="s">
        <v>154</v>
      </c>
      <c r="H230" s="67" t="s">
        <v>154</v>
      </c>
    </row>
    <row r="233" spans="1:8">
      <c r="A233" s="24" t="s">
        <v>149</v>
      </c>
      <c r="B233" s="24" t="s">
        <v>150</v>
      </c>
      <c r="C233" s="28" t="s">
        <v>151</v>
      </c>
      <c r="F233" s="44" t="s">
        <v>113</v>
      </c>
      <c r="G233" s="44" t="s">
        <v>392</v>
      </c>
      <c r="H233" s="44" t="s">
        <v>114</v>
      </c>
    </row>
    <row r="234" spans="1:8">
      <c r="A234" s="7" t="s">
        <v>411</v>
      </c>
      <c r="B234" s="7" t="s">
        <v>411</v>
      </c>
      <c r="C234" s="25" t="s">
        <v>287</v>
      </c>
      <c r="D234" s="1"/>
      <c r="F234" s="67" t="s">
        <v>407</v>
      </c>
      <c r="G234" s="67" t="s">
        <v>154</v>
      </c>
      <c r="H234" s="67" t="s">
        <v>154</v>
      </c>
    </row>
    <row r="237" spans="1:8">
      <c r="A237" s="24" t="s">
        <v>149</v>
      </c>
      <c r="B237" s="24" t="s">
        <v>150</v>
      </c>
      <c r="C237" s="28" t="s">
        <v>151</v>
      </c>
      <c r="F237" s="44" t="s">
        <v>113</v>
      </c>
      <c r="G237" s="44" t="s">
        <v>82</v>
      </c>
      <c r="H237" s="44" t="s">
        <v>412</v>
      </c>
    </row>
    <row r="238" spans="1:8">
      <c r="A238" s="285" t="s">
        <v>413</v>
      </c>
      <c r="B238" s="33" t="s">
        <v>414</v>
      </c>
      <c r="C238" s="25" t="s">
        <v>395</v>
      </c>
      <c r="D238" s="1"/>
      <c r="F238" s="67" t="s">
        <v>238</v>
      </c>
      <c r="G238" s="2" t="s">
        <v>239</v>
      </c>
      <c r="H238" s="2" t="s">
        <v>239</v>
      </c>
    </row>
    <row r="239" spans="1:8">
      <c r="A239" s="286"/>
      <c r="B239" s="33" t="s">
        <v>415</v>
      </c>
      <c r="C239" s="25" t="s">
        <v>397</v>
      </c>
      <c r="D239" s="1"/>
      <c r="F239" s="67" t="s">
        <v>238</v>
      </c>
      <c r="G239" s="2" t="s">
        <v>239</v>
      </c>
      <c r="H239" s="2" t="s">
        <v>239</v>
      </c>
    </row>
    <row r="240" spans="1:8">
      <c r="A240" s="286"/>
      <c r="B240" s="33" t="s">
        <v>416</v>
      </c>
      <c r="C240" s="25" t="s">
        <v>417</v>
      </c>
      <c r="D240" s="1"/>
      <c r="F240" s="67" t="s">
        <v>238</v>
      </c>
      <c r="G240" s="2" t="s">
        <v>239</v>
      </c>
      <c r="H240" s="2" t="s">
        <v>242</v>
      </c>
    </row>
    <row r="241" spans="1:9">
      <c r="A241" s="287"/>
      <c r="B241" s="33" t="s">
        <v>418</v>
      </c>
      <c r="C241" s="25" t="s">
        <v>419</v>
      </c>
      <c r="D241" s="1"/>
      <c r="F241" s="67" t="s">
        <v>238</v>
      </c>
      <c r="G241" s="2" t="s">
        <v>242</v>
      </c>
      <c r="H241" s="2" t="s">
        <v>239</v>
      </c>
    </row>
    <row r="242" spans="1:9">
      <c r="A242" s="285" t="s">
        <v>420</v>
      </c>
      <c r="B242" s="37" t="s">
        <v>421</v>
      </c>
      <c r="C242" s="25" t="s">
        <v>422</v>
      </c>
      <c r="D242" s="1"/>
      <c r="F242" s="67" t="s">
        <v>153</v>
      </c>
      <c r="G242" s="2" t="s">
        <v>154</v>
      </c>
      <c r="H242" s="2" t="s">
        <v>154</v>
      </c>
    </row>
    <row r="243" spans="1:9">
      <c r="A243" s="286"/>
      <c r="B243" s="295" t="s">
        <v>423</v>
      </c>
      <c r="C243" s="25" t="s">
        <v>424</v>
      </c>
      <c r="D243" s="1"/>
      <c r="F243" s="294" t="s">
        <v>162</v>
      </c>
      <c r="G243" s="294" t="s">
        <v>153</v>
      </c>
      <c r="H243" s="294" t="s">
        <v>162</v>
      </c>
    </row>
    <row r="244" spans="1:9">
      <c r="A244" s="286"/>
      <c r="B244" s="295"/>
      <c r="C244" s="25" t="s">
        <v>425</v>
      </c>
      <c r="D244" s="1"/>
      <c r="F244" s="294"/>
      <c r="G244" s="294"/>
      <c r="H244" s="294"/>
    </row>
    <row r="245" spans="1:9">
      <c r="A245" s="287"/>
      <c r="B245" s="295"/>
      <c r="C245" s="25" t="s">
        <v>426</v>
      </c>
      <c r="D245" s="1"/>
      <c r="F245" s="294"/>
      <c r="G245" s="294"/>
      <c r="H245" s="294"/>
    </row>
    <row r="246" spans="1:9">
      <c r="A246" s="64" t="s">
        <v>427</v>
      </c>
      <c r="B246" s="64" t="s">
        <v>427</v>
      </c>
      <c r="C246" s="25" t="s">
        <v>404</v>
      </c>
      <c r="D246" s="1"/>
      <c r="F246" s="67" t="s">
        <v>405</v>
      </c>
      <c r="G246" s="67" t="s">
        <v>154</v>
      </c>
      <c r="H246" s="67" t="s">
        <v>154</v>
      </c>
    </row>
    <row r="247" spans="1:9">
      <c r="A247" s="7" t="s">
        <v>428</v>
      </c>
      <c r="B247" s="7" t="s">
        <v>428</v>
      </c>
      <c r="C247" s="25" t="s">
        <v>287</v>
      </c>
      <c r="D247" s="1"/>
      <c r="F247" s="67" t="s">
        <v>407</v>
      </c>
      <c r="G247" s="67" t="s">
        <v>154</v>
      </c>
      <c r="H247" s="67" t="s">
        <v>154</v>
      </c>
    </row>
    <row r="248" spans="1:9">
      <c r="A248" s="64" t="s">
        <v>429</v>
      </c>
      <c r="B248" s="64" t="s">
        <v>429</v>
      </c>
      <c r="C248" s="25" t="s">
        <v>409</v>
      </c>
      <c r="D248" s="1"/>
      <c r="F248" s="67" t="s">
        <v>405</v>
      </c>
      <c r="G248" s="67" t="s">
        <v>154</v>
      </c>
      <c r="H248" s="67" t="s">
        <v>154</v>
      </c>
    </row>
    <row r="250" spans="1:9">
      <c r="A250" s="24" t="s">
        <v>149</v>
      </c>
      <c r="B250" s="24" t="s">
        <v>150</v>
      </c>
      <c r="C250" s="28" t="s">
        <v>151</v>
      </c>
      <c r="F250" s="44" t="s">
        <v>113</v>
      </c>
      <c r="G250" s="44" t="s">
        <v>82</v>
      </c>
      <c r="H250" s="44" t="s">
        <v>412</v>
      </c>
      <c r="I250" s="44" t="s">
        <v>58</v>
      </c>
    </row>
    <row r="251" spans="1:9">
      <c r="A251" s="296" t="s">
        <v>430</v>
      </c>
      <c r="B251" s="33" t="s">
        <v>431</v>
      </c>
      <c r="C251" s="25" t="s">
        <v>395</v>
      </c>
      <c r="D251" s="1"/>
      <c r="F251" s="67" t="s">
        <v>238</v>
      </c>
      <c r="G251" s="2" t="s">
        <v>239</v>
      </c>
      <c r="H251" s="2" t="s">
        <v>239</v>
      </c>
      <c r="I251" s="2" t="s">
        <v>242</v>
      </c>
    </row>
    <row r="252" spans="1:9">
      <c r="A252" s="297"/>
      <c r="B252" s="33" t="s">
        <v>432</v>
      </c>
      <c r="C252" s="25" t="s">
        <v>397</v>
      </c>
      <c r="D252" s="1"/>
      <c r="F252" s="67" t="s">
        <v>238</v>
      </c>
      <c r="G252" s="2" t="s">
        <v>239</v>
      </c>
      <c r="H252" s="2" t="s">
        <v>239</v>
      </c>
      <c r="I252" s="2" t="s">
        <v>242</v>
      </c>
    </row>
    <row r="253" spans="1:9">
      <c r="A253" s="285" t="s">
        <v>433</v>
      </c>
      <c r="B253" s="37" t="s">
        <v>434</v>
      </c>
      <c r="C253" s="25" t="s">
        <v>435</v>
      </c>
      <c r="D253" s="1"/>
      <c r="F253" s="67" t="s">
        <v>153</v>
      </c>
      <c r="G253" s="67" t="s">
        <v>154</v>
      </c>
      <c r="H253" s="67" t="s">
        <v>154</v>
      </c>
      <c r="I253" s="67" t="s">
        <v>154</v>
      </c>
    </row>
    <row r="254" spans="1:9">
      <c r="A254" s="286"/>
      <c r="B254" s="296" t="s">
        <v>436</v>
      </c>
      <c r="C254" s="25" t="s">
        <v>424</v>
      </c>
      <c r="D254" s="1"/>
      <c r="F254" s="288" t="s">
        <v>162</v>
      </c>
      <c r="G254" s="288" t="s">
        <v>153</v>
      </c>
      <c r="H254" s="288" t="s">
        <v>162</v>
      </c>
      <c r="I254" s="288" t="s">
        <v>162</v>
      </c>
    </row>
    <row r="255" spans="1:9">
      <c r="A255" s="286"/>
      <c r="B255" s="298"/>
      <c r="C255" s="25" t="s">
        <v>425</v>
      </c>
      <c r="D255" s="1"/>
      <c r="F255" s="292"/>
      <c r="G255" s="292"/>
      <c r="H255" s="292"/>
      <c r="I255" s="292"/>
    </row>
    <row r="256" spans="1:9">
      <c r="A256" s="286"/>
      <c r="B256" s="298"/>
      <c r="C256" s="25" t="s">
        <v>426</v>
      </c>
      <c r="D256" s="1"/>
      <c r="F256" s="292"/>
      <c r="G256" s="292"/>
      <c r="H256" s="292"/>
      <c r="I256" s="292"/>
    </row>
    <row r="257" spans="1:9">
      <c r="A257" s="286"/>
      <c r="B257" s="297"/>
      <c r="C257" s="25" t="s">
        <v>437</v>
      </c>
      <c r="D257" s="1"/>
      <c r="F257" s="289"/>
      <c r="G257" s="289"/>
      <c r="H257" s="289"/>
      <c r="I257" s="289"/>
    </row>
    <row r="258" spans="1:9">
      <c r="A258" s="286"/>
      <c r="B258" s="10" t="s">
        <v>421</v>
      </c>
      <c r="C258" s="25" t="s">
        <v>422</v>
      </c>
      <c r="D258" s="1"/>
      <c r="F258" s="67" t="s">
        <v>153</v>
      </c>
      <c r="G258" s="67" t="s">
        <v>154</v>
      </c>
      <c r="H258" s="67" t="s">
        <v>154</v>
      </c>
      <c r="I258" s="67"/>
    </row>
    <row r="259" spans="1:9">
      <c r="A259" s="286"/>
      <c r="B259" s="10" t="s">
        <v>438</v>
      </c>
      <c r="C259" s="25" t="s">
        <v>439</v>
      </c>
      <c r="D259" s="1"/>
      <c r="F259" s="67"/>
      <c r="G259" s="67" t="s">
        <v>440</v>
      </c>
      <c r="H259" s="67" t="s">
        <v>440</v>
      </c>
      <c r="I259" s="67" t="s">
        <v>162</v>
      </c>
    </row>
    <row r="260" spans="1:9">
      <c r="A260" s="287"/>
      <c r="B260" s="10" t="s">
        <v>441</v>
      </c>
      <c r="C260" s="25" t="s">
        <v>442</v>
      </c>
      <c r="D260" s="1"/>
      <c r="F260" s="67" t="s">
        <v>153</v>
      </c>
      <c r="G260" s="67"/>
      <c r="H260" s="67"/>
      <c r="I260" s="67" t="s">
        <v>154</v>
      </c>
    </row>
    <row r="261" spans="1:9">
      <c r="A261" s="64" t="s">
        <v>443</v>
      </c>
      <c r="B261" s="64" t="s">
        <v>443</v>
      </c>
      <c r="C261" s="25" t="s">
        <v>404</v>
      </c>
      <c r="D261" s="1"/>
      <c r="F261" s="67" t="s">
        <v>405</v>
      </c>
      <c r="G261" s="67" t="s">
        <v>154</v>
      </c>
      <c r="H261" s="67" t="s">
        <v>154</v>
      </c>
      <c r="I261" s="67" t="s">
        <v>154</v>
      </c>
    </row>
    <row r="262" spans="1:9">
      <c r="A262" s="7" t="s">
        <v>444</v>
      </c>
      <c r="B262" s="7" t="s">
        <v>444</v>
      </c>
      <c r="C262" s="25" t="s">
        <v>287</v>
      </c>
      <c r="D262" s="1"/>
      <c r="F262" s="67" t="s">
        <v>407</v>
      </c>
      <c r="G262" s="67" t="s">
        <v>154</v>
      </c>
      <c r="H262" s="67" t="s">
        <v>154</v>
      </c>
      <c r="I262" s="67" t="s">
        <v>154</v>
      </c>
    </row>
    <row r="263" spans="1:9">
      <c r="A263" s="64" t="s">
        <v>445</v>
      </c>
      <c r="B263" s="64" t="s">
        <v>445</v>
      </c>
      <c r="C263" s="25" t="s">
        <v>409</v>
      </c>
      <c r="D263" s="1"/>
      <c r="F263" s="67" t="s">
        <v>405</v>
      </c>
      <c r="G263" s="67" t="s">
        <v>154</v>
      </c>
      <c r="H263" s="67" t="s">
        <v>154</v>
      </c>
      <c r="I263" s="67" t="s">
        <v>154</v>
      </c>
    </row>
    <row r="265" spans="1:9">
      <c r="A265" s="24" t="s">
        <v>149</v>
      </c>
      <c r="B265" s="24" t="s">
        <v>150</v>
      </c>
      <c r="C265" s="28" t="s">
        <v>151</v>
      </c>
      <c r="F265" s="44" t="s">
        <v>113</v>
      </c>
      <c r="G265" s="44" t="s">
        <v>392</v>
      </c>
      <c r="H265" s="44" t="s">
        <v>58</v>
      </c>
    </row>
    <row r="266" spans="1:9">
      <c r="A266" s="296" t="s">
        <v>446</v>
      </c>
      <c r="B266" s="33" t="s">
        <v>447</v>
      </c>
      <c r="C266" s="25" t="s">
        <v>395</v>
      </c>
      <c r="D266" s="1"/>
      <c r="F266" s="67" t="s">
        <v>238</v>
      </c>
      <c r="G266" s="2" t="s">
        <v>239</v>
      </c>
      <c r="H266" s="2" t="s">
        <v>242</v>
      </c>
    </row>
    <row r="267" spans="1:9">
      <c r="A267" s="297"/>
      <c r="B267" s="33" t="s">
        <v>448</v>
      </c>
      <c r="C267" s="25" t="s">
        <v>397</v>
      </c>
      <c r="D267" s="1"/>
      <c r="F267" s="67" t="s">
        <v>238</v>
      </c>
      <c r="G267" s="2" t="s">
        <v>239</v>
      </c>
      <c r="H267" s="2" t="s">
        <v>242</v>
      </c>
    </row>
    <row r="268" spans="1:9">
      <c r="A268" s="285" t="s">
        <v>449</v>
      </c>
      <c r="B268" s="33" t="s">
        <v>450</v>
      </c>
      <c r="C268" s="25" t="s">
        <v>400</v>
      </c>
      <c r="D268" s="1"/>
      <c r="F268" s="67" t="s">
        <v>153</v>
      </c>
      <c r="G268" s="2" t="s">
        <v>154</v>
      </c>
      <c r="H268" s="67" t="s">
        <v>154</v>
      </c>
    </row>
    <row r="269" spans="1:9">
      <c r="A269" s="287"/>
      <c r="B269" s="33" t="s">
        <v>451</v>
      </c>
      <c r="C269" s="25" t="s">
        <v>402</v>
      </c>
      <c r="D269" s="1"/>
      <c r="F269" s="2" t="s">
        <v>154</v>
      </c>
      <c r="G269" s="67" t="s">
        <v>153</v>
      </c>
      <c r="H269" s="67" t="s">
        <v>154</v>
      </c>
    </row>
    <row r="271" spans="1:9">
      <c r="A271" s="24" t="s">
        <v>149</v>
      </c>
      <c r="B271" s="24" t="s">
        <v>150</v>
      </c>
      <c r="C271" s="28" t="s">
        <v>151</v>
      </c>
      <c r="F271" s="44" t="s">
        <v>82</v>
      </c>
      <c r="G271" s="44" t="s">
        <v>412</v>
      </c>
    </row>
    <row r="272" spans="1:9">
      <c r="A272" s="296" t="s">
        <v>452</v>
      </c>
      <c r="B272" s="33" t="s">
        <v>453</v>
      </c>
      <c r="C272" s="25" t="s">
        <v>454</v>
      </c>
      <c r="D272" s="1"/>
      <c r="F272" s="2" t="s">
        <v>238</v>
      </c>
      <c r="G272" s="2" t="s">
        <v>239</v>
      </c>
    </row>
    <row r="273" spans="1:7">
      <c r="A273" s="297"/>
      <c r="B273" s="33" t="s">
        <v>455</v>
      </c>
      <c r="C273" s="25" t="s">
        <v>456</v>
      </c>
      <c r="D273" s="1"/>
      <c r="F273" s="2" t="s">
        <v>239</v>
      </c>
      <c r="G273" s="2" t="s">
        <v>238</v>
      </c>
    </row>
    <row r="274" spans="1:7">
      <c r="A274" s="285" t="s">
        <v>457</v>
      </c>
      <c r="B274" s="37" t="s">
        <v>458</v>
      </c>
      <c r="C274" s="25" t="s">
        <v>459</v>
      </c>
      <c r="D274" s="1"/>
      <c r="F274" s="2" t="s">
        <v>154</v>
      </c>
      <c r="G274" s="67" t="s">
        <v>153</v>
      </c>
    </row>
    <row r="275" spans="1:7">
      <c r="A275" s="287"/>
      <c r="B275" s="10" t="s">
        <v>460</v>
      </c>
      <c r="C275" s="25" t="s">
        <v>461</v>
      </c>
      <c r="D275" s="1"/>
      <c r="F275" s="25" t="s">
        <v>153</v>
      </c>
      <c r="G275" s="2" t="s">
        <v>154</v>
      </c>
    </row>
    <row r="277" spans="1:7">
      <c r="A277" s="24" t="s">
        <v>149</v>
      </c>
      <c r="B277" s="24" t="s">
        <v>150</v>
      </c>
      <c r="C277" s="28" t="s">
        <v>151</v>
      </c>
      <c r="F277" s="44" t="s">
        <v>113</v>
      </c>
      <c r="G277" s="44" t="s">
        <v>412</v>
      </c>
    </row>
    <row r="278" spans="1:7">
      <c r="A278" s="296" t="s">
        <v>462</v>
      </c>
      <c r="B278" s="33" t="s">
        <v>463</v>
      </c>
      <c r="C278" s="25" t="s">
        <v>464</v>
      </c>
      <c r="D278" s="1"/>
      <c r="F278" s="2" t="s">
        <v>238</v>
      </c>
      <c r="G278" s="2" t="s">
        <v>239</v>
      </c>
    </row>
    <row r="279" spans="1:7">
      <c r="A279" s="297"/>
      <c r="B279" s="33" t="s">
        <v>465</v>
      </c>
      <c r="C279" s="25" t="s">
        <v>456</v>
      </c>
      <c r="D279" s="1"/>
      <c r="F279" s="2" t="s">
        <v>239</v>
      </c>
      <c r="G279" s="2" t="s">
        <v>238</v>
      </c>
    </row>
    <row r="280" spans="1:7">
      <c r="A280" s="285" t="s">
        <v>466</v>
      </c>
      <c r="B280" s="37" t="s">
        <v>467</v>
      </c>
      <c r="C280" s="25" t="s">
        <v>468</v>
      </c>
      <c r="D280" s="1"/>
      <c r="F280" s="2" t="s">
        <v>154</v>
      </c>
      <c r="G280" s="67" t="s">
        <v>153</v>
      </c>
    </row>
    <row r="281" spans="1:7">
      <c r="A281" s="287"/>
      <c r="B281" s="10" t="s">
        <v>469</v>
      </c>
      <c r="C281" s="25" t="s">
        <v>470</v>
      </c>
      <c r="D281" s="1"/>
      <c r="F281" s="25" t="s">
        <v>153</v>
      </c>
      <c r="G281" s="2" t="s">
        <v>154</v>
      </c>
    </row>
    <row r="284" spans="1:7">
      <c r="A284" s="24" t="s">
        <v>149</v>
      </c>
      <c r="B284" s="24" t="s">
        <v>150</v>
      </c>
      <c r="C284" s="28" t="s">
        <v>151</v>
      </c>
      <c r="F284" s="44" t="s">
        <v>113</v>
      </c>
      <c r="G284" s="44" t="s">
        <v>82</v>
      </c>
    </row>
    <row r="285" spans="1:7">
      <c r="A285" s="296" t="s">
        <v>471</v>
      </c>
      <c r="B285" s="33" t="s">
        <v>472</v>
      </c>
      <c r="C285" s="25" t="s">
        <v>464</v>
      </c>
      <c r="D285" s="1"/>
      <c r="F285" s="2" t="s">
        <v>238</v>
      </c>
      <c r="G285" s="2" t="s">
        <v>239</v>
      </c>
    </row>
    <row r="286" spans="1:7">
      <c r="A286" s="297"/>
      <c r="B286" s="33" t="s">
        <v>473</v>
      </c>
      <c r="C286" s="25" t="s">
        <v>454</v>
      </c>
      <c r="D286" s="1"/>
      <c r="F286" s="2" t="s">
        <v>239</v>
      </c>
      <c r="G286" s="2" t="s">
        <v>238</v>
      </c>
    </row>
    <row r="287" spans="1:7">
      <c r="A287" s="285" t="s">
        <v>474</v>
      </c>
      <c r="B287" s="37" t="s">
        <v>401</v>
      </c>
      <c r="C287" s="25" t="s">
        <v>402</v>
      </c>
      <c r="D287" s="1"/>
      <c r="F287" s="2" t="s">
        <v>154</v>
      </c>
      <c r="G287" s="67" t="s">
        <v>153</v>
      </c>
    </row>
    <row r="288" spans="1:7">
      <c r="A288" s="287"/>
      <c r="B288" s="10" t="s">
        <v>475</v>
      </c>
      <c r="C288" s="25" t="s">
        <v>476</v>
      </c>
      <c r="D288" s="1"/>
      <c r="F288" s="25" t="s">
        <v>153</v>
      </c>
      <c r="G288" s="2" t="s">
        <v>154</v>
      </c>
    </row>
    <row r="291" spans="1:9">
      <c r="A291" s="24" t="s">
        <v>149</v>
      </c>
      <c r="B291" s="24" t="s">
        <v>150</v>
      </c>
      <c r="C291" s="28" t="s">
        <v>151</v>
      </c>
      <c r="D291" s="28" t="s">
        <v>477</v>
      </c>
      <c r="F291" s="43" t="s">
        <v>478</v>
      </c>
      <c r="G291" s="44" t="s">
        <v>479</v>
      </c>
      <c r="H291" s="44" t="s">
        <v>480</v>
      </c>
      <c r="I291" s="44" t="s">
        <v>481</v>
      </c>
    </row>
    <row r="292" spans="1:9">
      <c r="A292" s="37" t="s">
        <v>482</v>
      </c>
      <c r="B292" s="37" t="s">
        <v>482</v>
      </c>
      <c r="C292" s="17" t="s">
        <v>312</v>
      </c>
      <c r="D292" s="17" t="s">
        <v>483</v>
      </c>
      <c r="F292" s="2" t="s">
        <v>484</v>
      </c>
      <c r="G292" s="2" t="s">
        <v>485</v>
      </c>
      <c r="H292" s="2" t="s">
        <v>486</v>
      </c>
      <c r="I292" s="2" t="s">
        <v>162</v>
      </c>
    </row>
    <row r="295" spans="1:9">
      <c r="A295" s="24" t="s">
        <v>149</v>
      </c>
      <c r="B295" s="24" t="s">
        <v>150</v>
      </c>
      <c r="C295" s="28" t="s">
        <v>151</v>
      </c>
      <c r="D295" s="28" t="s">
        <v>477</v>
      </c>
      <c r="F295" s="44" t="s">
        <v>487</v>
      </c>
      <c r="G295" s="44" t="s">
        <v>488</v>
      </c>
    </row>
    <row r="296" spans="1:9">
      <c r="A296" s="37" t="s">
        <v>489</v>
      </c>
      <c r="B296" s="37" t="s">
        <v>489</v>
      </c>
      <c r="C296" s="17" t="s">
        <v>490</v>
      </c>
      <c r="D296" s="17" t="s">
        <v>491</v>
      </c>
      <c r="F296" s="2" t="s">
        <v>492</v>
      </c>
      <c r="G296" s="2" t="s">
        <v>154</v>
      </c>
    </row>
    <row r="297" spans="1:9">
      <c r="A297" s="37" t="s">
        <v>493</v>
      </c>
      <c r="B297" s="37" t="s">
        <v>493</v>
      </c>
      <c r="C297" s="17" t="s">
        <v>152</v>
      </c>
      <c r="D297" s="17" t="s">
        <v>494</v>
      </c>
      <c r="F297" s="2" t="s">
        <v>153</v>
      </c>
      <c r="G297" s="2" t="s">
        <v>154</v>
      </c>
    </row>
    <row r="298" spans="1:9">
      <c r="A298" s="37" t="s">
        <v>495</v>
      </c>
      <c r="B298" s="37" t="s">
        <v>495</v>
      </c>
      <c r="C298" s="17" t="s">
        <v>496</v>
      </c>
      <c r="D298" s="17" t="s">
        <v>494</v>
      </c>
      <c r="F298" s="2" t="s">
        <v>497</v>
      </c>
      <c r="G298" s="2" t="s">
        <v>239</v>
      </c>
    </row>
    <row r="299" spans="1:9">
      <c r="A299" s="37" t="s">
        <v>498</v>
      </c>
      <c r="B299" s="37" t="s">
        <v>498</v>
      </c>
      <c r="C299" s="17" t="s">
        <v>499</v>
      </c>
      <c r="D299" s="17" t="s">
        <v>500</v>
      </c>
      <c r="F299" s="2" t="s">
        <v>193</v>
      </c>
      <c r="G299" s="40" t="s">
        <v>162</v>
      </c>
    </row>
    <row r="302" spans="1:9">
      <c r="A302" s="24" t="s">
        <v>149</v>
      </c>
      <c r="B302" s="24" t="s">
        <v>150</v>
      </c>
      <c r="C302" s="28" t="s">
        <v>151</v>
      </c>
      <c r="D302" s="28" t="s">
        <v>477</v>
      </c>
      <c r="F302" s="44" t="s">
        <v>501</v>
      </c>
      <c r="G302" s="44" t="s">
        <v>502</v>
      </c>
      <c r="H302" s="44" t="s">
        <v>503</v>
      </c>
    </row>
    <row r="303" spans="1:9">
      <c r="A303" s="37" t="s">
        <v>504</v>
      </c>
      <c r="B303" s="37" t="s">
        <v>504</v>
      </c>
      <c r="C303" s="17" t="s">
        <v>499</v>
      </c>
      <c r="D303" s="17" t="s">
        <v>500</v>
      </c>
      <c r="F303" s="40" t="s">
        <v>193</v>
      </c>
      <c r="G303" s="40" t="s">
        <v>162</v>
      </c>
      <c r="H303" s="40" t="s">
        <v>162</v>
      </c>
    </row>
    <row r="304" spans="1:9">
      <c r="A304" s="299" t="s">
        <v>505</v>
      </c>
      <c r="B304" s="296" t="s">
        <v>505</v>
      </c>
      <c r="C304" s="41" t="s">
        <v>506</v>
      </c>
      <c r="D304" s="17"/>
      <c r="F304" s="42"/>
      <c r="G304" s="42" t="s">
        <v>154</v>
      </c>
      <c r="H304" s="42" t="s">
        <v>507</v>
      </c>
    </row>
    <row r="305" spans="1:18">
      <c r="A305" s="300"/>
      <c r="B305" s="297"/>
      <c r="C305" s="41" t="s">
        <v>508</v>
      </c>
      <c r="D305" s="17"/>
      <c r="F305" s="42" t="s">
        <v>509</v>
      </c>
      <c r="G305" s="42" t="s">
        <v>154</v>
      </c>
      <c r="H305" s="42" t="s">
        <v>154</v>
      </c>
    </row>
    <row r="306" spans="1:18">
      <c r="A306" s="284" t="s">
        <v>510</v>
      </c>
      <c r="B306" s="284" t="s">
        <v>510</v>
      </c>
      <c r="C306" s="17" t="s">
        <v>511</v>
      </c>
      <c r="D306" s="17"/>
      <c r="F306" s="42" t="s">
        <v>512</v>
      </c>
      <c r="G306" s="42" t="s">
        <v>162</v>
      </c>
      <c r="H306" s="42" t="s">
        <v>162</v>
      </c>
    </row>
    <row r="307" spans="1:18">
      <c r="A307" s="284"/>
      <c r="B307" s="284"/>
      <c r="C307" s="17" t="s">
        <v>513</v>
      </c>
      <c r="D307" s="17"/>
      <c r="F307" s="42" t="s">
        <v>514</v>
      </c>
      <c r="G307" s="42" t="s">
        <v>162</v>
      </c>
      <c r="H307" s="42" t="s">
        <v>162</v>
      </c>
    </row>
    <row r="308" spans="1:18">
      <c r="A308" s="284"/>
      <c r="B308" s="284"/>
      <c r="C308" s="17" t="s">
        <v>515</v>
      </c>
      <c r="D308" s="17"/>
      <c r="F308" s="42" t="s">
        <v>516</v>
      </c>
      <c r="G308" s="42" t="s">
        <v>162</v>
      </c>
      <c r="H308" s="42" t="s">
        <v>162</v>
      </c>
    </row>
    <row r="309" spans="1:18">
      <c r="A309" s="284"/>
      <c r="B309" s="284"/>
      <c r="C309" s="17" t="s">
        <v>517</v>
      </c>
      <c r="D309" s="17"/>
      <c r="F309" s="42" t="s">
        <v>518</v>
      </c>
      <c r="G309" s="42" t="s">
        <v>162</v>
      </c>
      <c r="H309" s="42" t="s">
        <v>162</v>
      </c>
    </row>
    <row r="310" spans="1:18">
      <c r="A310" s="284"/>
      <c r="B310" s="284"/>
      <c r="C310" s="17" t="s">
        <v>519</v>
      </c>
      <c r="D310" s="17"/>
      <c r="F310" s="42" t="s">
        <v>520</v>
      </c>
      <c r="G310" s="42" t="s">
        <v>162</v>
      </c>
      <c r="H310" s="42" t="s">
        <v>162</v>
      </c>
    </row>
    <row r="311" spans="1:18">
      <c r="A311" s="284"/>
      <c r="B311" s="284"/>
      <c r="C311" s="17" t="s">
        <v>521</v>
      </c>
      <c r="D311" s="17"/>
      <c r="F311" s="42" t="s">
        <v>522</v>
      </c>
      <c r="G311" s="42" t="s">
        <v>162</v>
      </c>
      <c r="H311" s="42" t="s">
        <v>162</v>
      </c>
    </row>
    <row r="314" spans="1:18">
      <c r="A314" s="24" t="s">
        <v>149</v>
      </c>
      <c r="B314" s="24" t="s">
        <v>150</v>
      </c>
      <c r="C314" s="24" t="s">
        <v>296</v>
      </c>
      <c r="D314" s="14"/>
      <c r="E314" s="4"/>
      <c r="F314" s="23" t="s">
        <v>83</v>
      </c>
      <c r="G314" s="23" t="s">
        <v>82</v>
      </c>
      <c r="H314" s="23" t="s">
        <v>84</v>
      </c>
      <c r="I314" s="23" t="s">
        <v>79</v>
      </c>
      <c r="J314" s="23" t="s">
        <v>78</v>
      </c>
      <c r="K314" s="23" t="s">
        <v>75</v>
      </c>
      <c r="L314"/>
      <c r="M314"/>
      <c r="R314" s="4"/>
    </row>
    <row r="315" spans="1:18">
      <c r="A315" s="37" t="s">
        <v>523</v>
      </c>
      <c r="B315" s="37" t="s">
        <v>523</v>
      </c>
      <c r="C315" s="17"/>
      <c r="D315" s="36"/>
      <c r="F315" s="2" t="s">
        <v>524</v>
      </c>
      <c r="G315" s="2" t="s">
        <v>524</v>
      </c>
      <c r="H315" s="2" t="s">
        <v>524</v>
      </c>
      <c r="I315" s="2" t="s">
        <v>524</v>
      </c>
      <c r="J315" s="39" t="s">
        <v>524</v>
      </c>
      <c r="K315" s="2" t="s">
        <v>524</v>
      </c>
      <c r="L315"/>
      <c r="M315"/>
    </row>
    <row r="318" spans="1:18">
      <c r="A318" s="24" t="s">
        <v>149</v>
      </c>
      <c r="B318" s="24" t="s">
        <v>150</v>
      </c>
      <c r="C318" s="28" t="s">
        <v>151</v>
      </c>
      <c r="D318" s="28"/>
      <c r="F318" s="44" t="s">
        <v>10</v>
      </c>
      <c r="G318" s="44" t="s">
        <v>9</v>
      </c>
      <c r="H318" s="44" t="s">
        <v>525</v>
      </c>
      <c r="I318" s="44" t="s">
        <v>526</v>
      </c>
    </row>
    <row r="319" spans="1:18">
      <c r="A319" s="37" t="s">
        <v>527</v>
      </c>
      <c r="B319" s="37" t="s">
        <v>527</v>
      </c>
      <c r="C319" s="17" t="s">
        <v>152</v>
      </c>
      <c r="D319" s="36"/>
      <c r="F319" s="2" t="s">
        <v>153</v>
      </c>
      <c r="G319" s="2" t="s">
        <v>154</v>
      </c>
      <c r="H319" s="2" t="s">
        <v>154</v>
      </c>
    </row>
    <row r="322" spans="1:13">
      <c r="A322" s="24" t="s">
        <v>149</v>
      </c>
      <c r="B322" s="24" t="s">
        <v>150</v>
      </c>
      <c r="C322" s="28" t="s">
        <v>151</v>
      </c>
      <c r="D322" s="28" t="s">
        <v>477</v>
      </c>
      <c r="F322" s="44" t="s">
        <v>501</v>
      </c>
      <c r="G322" s="44" t="s">
        <v>502</v>
      </c>
    </row>
    <row r="323" spans="1:13">
      <c r="A323" s="37" t="s">
        <v>528</v>
      </c>
      <c r="B323" s="37" t="s">
        <v>528</v>
      </c>
      <c r="C323" s="17" t="s">
        <v>499</v>
      </c>
      <c r="D323" s="17"/>
      <c r="F323" s="40" t="s">
        <v>193</v>
      </c>
      <c r="G323" s="40" t="s">
        <v>162</v>
      </c>
    </row>
    <row r="324" spans="1:13">
      <c r="A324" s="10" t="s">
        <v>529</v>
      </c>
      <c r="B324" s="10" t="s">
        <v>529</v>
      </c>
      <c r="C324" s="41" t="s">
        <v>508</v>
      </c>
      <c r="D324" s="17"/>
      <c r="F324" s="42" t="s">
        <v>509</v>
      </c>
      <c r="G324" s="42" t="s">
        <v>154</v>
      </c>
    </row>
    <row r="325" spans="1:13">
      <c r="A325" s="284" t="s">
        <v>530</v>
      </c>
      <c r="B325" s="284" t="s">
        <v>530</v>
      </c>
      <c r="C325" s="17" t="s">
        <v>531</v>
      </c>
      <c r="D325" s="17"/>
      <c r="F325" s="42" t="s">
        <v>512</v>
      </c>
      <c r="G325" s="42" t="s">
        <v>162</v>
      </c>
    </row>
    <row r="326" spans="1:13">
      <c r="A326" s="284"/>
      <c r="B326" s="284"/>
      <c r="C326" s="17" t="s">
        <v>532</v>
      </c>
      <c r="D326" s="17"/>
      <c r="F326" s="42" t="s">
        <v>514</v>
      </c>
      <c r="G326" s="42" t="s">
        <v>162</v>
      </c>
    </row>
    <row r="327" spans="1:13">
      <c r="A327" s="284"/>
      <c r="B327" s="284"/>
      <c r="C327" s="17" t="s">
        <v>533</v>
      </c>
      <c r="D327" s="17"/>
      <c r="F327" s="42" t="s">
        <v>516</v>
      </c>
      <c r="G327" s="42" t="s">
        <v>162</v>
      </c>
    </row>
    <row r="328" spans="1:13">
      <c r="A328" s="284"/>
      <c r="B328" s="284"/>
      <c r="C328" s="17" t="s">
        <v>534</v>
      </c>
      <c r="D328" s="17"/>
      <c r="F328" s="42" t="s">
        <v>518</v>
      </c>
      <c r="G328" s="42" t="s">
        <v>162</v>
      </c>
    </row>
    <row r="329" spans="1:13">
      <c r="A329" s="284"/>
      <c r="B329" s="284"/>
      <c r="C329" s="17" t="s">
        <v>535</v>
      </c>
      <c r="D329" s="17"/>
      <c r="F329" s="42" t="s">
        <v>520</v>
      </c>
      <c r="G329" s="42" t="s">
        <v>162</v>
      </c>
    </row>
    <row r="330" spans="1:13">
      <c r="A330" s="284"/>
      <c r="B330" s="284"/>
      <c r="C330" s="17" t="s">
        <v>536</v>
      </c>
      <c r="D330" s="17"/>
      <c r="F330" s="42" t="s">
        <v>522</v>
      </c>
      <c r="G330" s="42" t="s">
        <v>162</v>
      </c>
    </row>
    <row r="333" spans="1:13">
      <c r="A333" s="24" t="s">
        <v>149</v>
      </c>
      <c r="B333" s="24" t="s">
        <v>150</v>
      </c>
      <c r="C333" s="28" t="s">
        <v>151</v>
      </c>
      <c r="D333" s="28"/>
      <c r="F333" s="44" t="s">
        <v>10</v>
      </c>
      <c r="G333" s="44" t="s">
        <v>9</v>
      </c>
      <c r="H333" s="44" t="s">
        <v>525</v>
      </c>
      <c r="I333" s="44" t="s">
        <v>526</v>
      </c>
    </row>
    <row r="334" spans="1:13">
      <c r="A334" s="37" t="s">
        <v>537</v>
      </c>
      <c r="B334" s="37" t="s">
        <v>537</v>
      </c>
      <c r="C334" s="17" t="s">
        <v>152</v>
      </c>
      <c r="D334" s="36"/>
      <c r="H334" s="2" t="s">
        <v>153</v>
      </c>
      <c r="I334" s="2" t="s">
        <v>154</v>
      </c>
    </row>
    <row r="336" spans="1:13" s="22" customFormat="1">
      <c r="F336" s="27"/>
      <c r="G336" s="27"/>
      <c r="H336" s="27"/>
      <c r="I336" s="27"/>
      <c r="J336" s="27"/>
      <c r="K336" s="27"/>
      <c r="L336" s="27"/>
      <c r="M336" s="27"/>
    </row>
    <row r="339" spans="1:9">
      <c r="A339" s="24" t="s">
        <v>149</v>
      </c>
      <c r="B339" s="24" t="s">
        <v>150</v>
      </c>
      <c r="C339" s="28" t="s">
        <v>151</v>
      </c>
      <c r="F339" s="44" t="s">
        <v>113</v>
      </c>
      <c r="G339" s="44" t="s">
        <v>82</v>
      </c>
      <c r="H339" s="44" t="s">
        <v>412</v>
      </c>
      <c r="I339" s="44" t="s">
        <v>58</v>
      </c>
    </row>
    <row r="340" spans="1:9">
      <c r="A340" s="64" t="s">
        <v>443</v>
      </c>
      <c r="B340" s="64" t="s">
        <v>443</v>
      </c>
      <c r="C340" s="25" t="s">
        <v>404</v>
      </c>
      <c r="D340" s="1"/>
      <c r="F340" s="67" t="s">
        <v>405</v>
      </c>
      <c r="G340" s="67" t="s">
        <v>154</v>
      </c>
      <c r="H340" s="67" t="s">
        <v>154</v>
      </c>
      <c r="I340" s="67" t="s">
        <v>154</v>
      </c>
    </row>
    <row r="341" spans="1:9">
      <c r="A341" s="7" t="s">
        <v>444</v>
      </c>
      <c r="B341" s="7" t="s">
        <v>444</v>
      </c>
      <c r="C341" s="25" t="s">
        <v>287</v>
      </c>
      <c r="D341" s="1"/>
      <c r="F341" s="67" t="s">
        <v>407</v>
      </c>
      <c r="G341" s="67" t="s">
        <v>154</v>
      </c>
      <c r="H341" s="67" t="s">
        <v>154</v>
      </c>
      <c r="I341" s="67" t="s">
        <v>154</v>
      </c>
    </row>
    <row r="342" spans="1:9">
      <c r="A342" s="64" t="s">
        <v>445</v>
      </c>
      <c r="B342" s="64" t="s">
        <v>445</v>
      </c>
      <c r="C342" s="25" t="s">
        <v>409</v>
      </c>
      <c r="D342" s="1"/>
      <c r="F342" s="67" t="s">
        <v>405</v>
      </c>
      <c r="G342" s="67" t="s">
        <v>154</v>
      </c>
      <c r="H342" s="67" t="s">
        <v>154</v>
      </c>
      <c r="I342" s="67" t="s">
        <v>154</v>
      </c>
    </row>
  </sheetData>
  <autoFilter ref="A1:W1" xr:uid="{00000000-0001-0000-0400-000000000000}"/>
  <mergeCells count="90">
    <mergeCell ref="A274:A275"/>
    <mergeCell ref="A280:A281"/>
    <mergeCell ref="A268:A269"/>
    <mergeCell ref="A325:A330"/>
    <mergeCell ref="B325:B330"/>
    <mergeCell ref="A304:A305"/>
    <mergeCell ref="B306:B311"/>
    <mergeCell ref="A306:A311"/>
    <mergeCell ref="A272:A273"/>
    <mergeCell ref="A278:A279"/>
    <mergeCell ref="A285:A286"/>
    <mergeCell ref="A287:A288"/>
    <mergeCell ref="I254:I257"/>
    <mergeCell ref="H254:H257"/>
    <mergeCell ref="G254:G257"/>
    <mergeCell ref="F254:F257"/>
    <mergeCell ref="B304:B305"/>
    <mergeCell ref="B254:B257"/>
    <mergeCell ref="A196:A204"/>
    <mergeCell ref="A208:A216"/>
    <mergeCell ref="A266:A267"/>
    <mergeCell ref="A251:A252"/>
    <mergeCell ref="A220:A221"/>
    <mergeCell ref="A238:A241"/>
    <mergeCell ref="A222:A223"/>
    <mergeCell ref="A253:A260"/>
    <mergeCell ref="A242:A245"/>
    <mergeCell ref="A182:A190"/>
    <mergeCell ref="A106:A110"/>
    <mergeCell ref="A120:A121"/>
    <mergeCell ref="A141:A145"/>
    <mergeCell ref="A155:A178"/>
    <mergeCell ref="B164:B166"/>
    <mergeCell ref="B167:B169"/>
    <mergeCell ref="B160:B161"/>
    <mergeCell ref="B158:B159"/>
    <mergeCell ref="H243:H245"/>
    <mergeCell ref="G243:G245"/>
    <mergeCell ref="F243:F245"/>
    <mergeCell ref="B243:B245"/>
    <mergeCell ref="G174:G178"/>
    <mergeCell ref="F174:F178"/>
    <mergeCell ref="B174:B178"/>
    <mergeCell ref="B170:B173"/>
    <mergeCell ref="F170:F173"/>
    <mergeCell ref="F158:F159"/>
    <mergeCell ref="Q174:Q178"/>
    <mergeCell ref="P174:P178"/>
    <mergeCell ref="J174:J178"/>
    <mergeCell ref="I174:I178"/>
    <mergeCell ref="H174:H178"/>
    <mergeCell ref="Q170:Q173"/>
    <mergeCell ref="P170:P173"/>
    <mergeCell ref="I170:I173"/>
    <mergeCell ref="H170:H173"/>
    <mergeCell ref="G170:G173"/>
    <mergeCell ref="Q167:Q169"/>
    <mergeCell ref="P167:P169"/>
    <mergeCell ref="J167:J169"/>
    <mergeCell ref="H167:H169"/>
    <mergeCell ref="F167:F169"/>
    <mergeCell ref="Q164:Q166"/>
    <mergeCell ref="P164:P166"/>
    <mergeCell ref="I164:I166"/>
    <mergeCell ref="H164:H166"/>
    <mergeCell ref="G164:G166"/>
    <mergeCell ref="A101:A105"/>
    <mergeCell ref="A72:A77"/>
    <mergeCell ref="A78:A84"/>
    <mergeCell ref="A93:A97"/>
    <mergeCell ref="Q162:Q163"/>
    <mergeCell ref="P162:P163"/>
    <mergeCell ref="B162:B163"/>
    <mergeCell ref="H162:H163"/>
    <mergeCell ref="G162:G163"/>
    <mergeCell ref="Q160:Q161"/>
    <mergeCell ref="P160:P161"/>
    <mergeCell ref="H160:H161"/>
    <mergeCell ref="F160:F161"/>
    <mergeCell ref="Q158:Q159"/>
    <mergeCell ref="P158:P159"/>
    <mergeCell ref="G158:G159"/>
    <mergeCell ref="A88:A92"/>
    <mergeCell ref="A58:A59"/>
    <mergeCell ref="A60:A62"/>
    <mergeCell ref="A63:A65"/>
    <mergeCell ref="A10:A12"/>
    <mergeCell ref="A13:A15"/>
    <mergeCell ref="A16:A18"/>
    <mergeCell ref="A66:A6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A284D-E4D7-4731-84AB-DC48DC4879D0}">
  <dimension ref="A1:Q311"/>
  <sheetViews>
    <sheetView zoomScale="85" zoomScaleNormal="85" workbookViewId="0">
      <pane ySplit="1" topLeftCell="A71" activePane="bottomLeft" state="frozen"/>
      <selection pane="bottomLeft" activeCell="A69" sqref="A69:XFD69"/>
    </sheetView>
  </sheetViews>
  <sheetFormatPr defaultRowHeight="14.25"/>
  <cols>
    <col min="1" max="1" width="20.42578125" bestFit="1" customWidth="1"/>
    <col min="2" max="2" width="29" bestFit="1" customWidth="1"/>
    <col min="3" max="3" width="27.140625" style="3" customWidth="1"/>
    <col min="4" max="4" width="17.5703125" style="3" bestFit="1" customWidth="1"/>
    <col min="5" max="5" width="4.140625" customWidth="1"/>
    <col min="6" max="6" width="4.140625" style="3" customWidth="1"/>
    <col min="7" max="7" width="11.140625" style="61" bestFit="1" customWidth="1"/>
    <col min="8" max="8" width="17.42578125" style="15" customWidth="1"/>
    <col min="9" max="10" width="8.5703125" style="15" customWidth="1"/>
    <col min="11" max="12" width="15.140625" style="15" bestFit="1" customWidth="1"/>
    <col min="14" max="14" width="11.140625" style="3" bestFit="1" customWidth="1"/>
    <col min="15" max="15" width="13.5703125" bestFit="1" customWidth="1"/>
  </cols>
  <sheetData>
    <row r="1" spans="1:14">
      <c r="A1" s="32" t="s">
        <v>371</v>
      </c>
      <c r="B1" s="78" t="s">
        <v>149</v>
      </c>
      <c r="C1" s="78" t="s">
        <v>296</v>
      </c>
      <c r="D1" s="79" t="s">
        <v>538</v>
      </c>
      <c r="E1" s="127" t="s">
        <v>539</v>
      </c>
      <c r="F1" s="79" t="s">
        <v>540</v>
      </c>
      <c r="G1" s="128" t="s">
        <v>541</v>
      </c>
      <c r="H1" s="80" t="s">
        <v>83</v>
      </c>
      <c r="I1" s="80" t="s">
        <v>82</v>
      </c>
      <c r="J1" s="80" t="s">
        <v>84</v>
      </c>
      <c r="K1" s="80" t="s">
        <v>358</v>
      </c>
      <c r="L1" s="80" t="s">
        <v>359</v>
      </c>
      <c r="M1" s="53"/>
      <c r="N1" s="80" t="s">
        <v>57</v>
      </c>
    </row>
    <row r="2" spans="1:14" s="53" customFormat="1">
      <c r="A2" s="63" t="s">
        <v>361</v>
      </c>
      <c r="B2" s="63" t="s">
        <v>361</v>
      </c>
      <c r="C2" s="13" t="s">
        <v>542</v>
      </c>
      <c r="D2" s="81" t="s">
        <v>543</v>
      </c>
      <c r="F2" s="81">
        <f>(1/0.05)+1</f>
        <v>21</v>
      </c>
      <c r="G2" s="82">
        <v>1547.91</v>
      </c>
      <c r="H2" s="83" t="s">
        <v>544</v>
      </c>
      <c r="I2" s="83" t="s">
        <v>545</v>
      </c>
      <c r="J2" s="83" t="s">
        <v>546</v>
      </c>
      <c r="K2" s="83" t="s">
        <v>547</v>
      </c>
      <c r="L2" s="83" t="s">
        <v>546</v>
      </c>
      <c r="N2" s="55"/>
    </row>
    <row r="3" spans="1:14">
      <c r="A3" s="66"/>
      <c r="B3" s="66"/>
      <c r="C3" s="47" t="s">
        <v>548</v>
      </c>
      <c r="D3" s="1" t="s">
        <v>543</v>
      </c>
      <c r="F3" s="1">
        <f>1/0.1+1</f>
        <v>11</v>
      </c>
      <c r="G3" s="61">
        <v>921.77099999999996</v>
      </c>
      <c r="H3" s="15" t="s">
        <v>549</v>
      </c>
      <c r="I3" s="15" t="s">
        <v>550</v>
      </c>
      <c r="J3" s="15" t="s">
        <v>546</v>
      </c>
      <c r="K3" s="15" t="s">
        <v>547</v>
      </c>
      <c r="L3" s="15" t="s">
        <v>546</v>
      </c>
      <c r="N3" s="56"/>
    </row>
    <row r="4" spans="1:14">
      <c r="A4" s="66"/>
      <c r="B4" s="66"/>
      <c r="C4" s="47" t="s">
        <v>551</v>
      </c>
      <c r="D4" s="1" t="s">
        <v>543</v>
      </c>
      <c r="F4" s="1">
        <f>1/0.1+1</f>
        <v>11</v>
      </c>
      <c r="G4" s="61">
        <v>982.66600000000005</v>
      </c>
      <c r="H4" s="15" t="s">
        <v>549</v>
      </c>
      <c r="I4" s="15" t="s">
        <v>552</v>
      </c>
      <c r="J4" s="15" t="s">
        <v>546</v>
      </c>
      <c r="K4" s="15" t="s">
        <v>547</v>
      </c>
      <c r="L4" s="15" t="s">
        <v>546</v>
      </c>
      <c r="N4" s="56"/>
    </row>
    <row r="5" spans="1:14">
      <c r="A5" s="64"/>
      <c r="B5" s="64"/>
      <c r="C5" s="48" t="s">
        <v>553</v>
      </c>
      <c r="D5" s="84" t="s">
        <v>543</v>
      </c>
      <c r="E5" s="54"/>
      <c r="F5" s="84">
        <f>1/0.1+1</f>
        <v>11</v>
      </c>
      <c r="G5" s="85">
        <v>1086.02</v>
      </c>
      <c r="H5" s="86" t="s">
        <v>549</v>
      </c>
      <c r="I5" s="86" t="s">
        <v>554</v>
      </c>
      <c r="J5" s="86" t="s">
        <v>546</v>
      </c>
      <c r="K5" s="86" t="s">
        <v>547</v>
      </c>
      <c r="L5" s="86" t="s">
        <v>546</v>
      </c>
      <c r="M5" s="54"/>
      <c r="N5" s="57"/>
    </row>
    <row r="6" spans="1:14" s="119" customFormat="1">
      <c r="A6" s="118"/>
      <c r="B6" s="118"/>
      <c r="C6" s="17"/>
      <c r="D6" s="124"/>
      <c r="F6" s="124"/>
      <c r="G6" s="120"/>
      <c r="H6" s="122"/>
      <c r="I6" s="122"/>
      <c r="J6" s="122"/>
      <c r="K6" s="122"/>
      <c r="L6" s="122"/>
      <c r="N6" s="121"/>
    </row>
    <row r="7" spans="1:14">
      <c r="A7" s="77" t="s">
        <v>360</v>
      </c>
      <c r="B7" s="52" t="s">
        <v>555</v>
      </c>
      <c r="C7" s="47" t="s">
        <v>556</v>
      </c>
      <c r="D7" s="1" t="s">
        <v>543</v>
      </c>
      <c r="F7" s="1"/>
      <c r="G7" s="61">
        <v>600</v>
      </c>
      <c r="H7" s="15" t="s">
        <v>544</v>
      </c>
      <c r="I7" s="15" t="s">
        <v>545</v>
      </c>
      <c r="J7" s="15" t="s">
        <v>546</v>
      </c>
      <c r="K7" s="15" t="s">
        <v>547</v>
      </c>
      <c r="L7" s="15" t="s">
        <v>546</v>
      </c>
      <c r="N7" s="56" t="s">
        <v>547</v>
      </c>
    </row>
    <row r="8" spans="1:14">
      <c r="A8" s="52"/>
      <c r="B8" s="66"/>
      <c r="C8" s="47" t="s">
        <v>557</v>
      </c>
      <c r="D8" s="1" t="s">
        <v>558</v>
      </c>
      <c r="F8" s="1"/>
      <c r="G8" s="61">
        <v>15</v>
      </c>
      <c r="N8" s="56"/>
    </row>
    <row r="9" spans="1:14" s="119" customFormat="1">
      <c r="A9" s="118"/>
      <c r="B9" s="7"/>
      <c r="C9" s="18"/>
      <c r="D9" s="124"/>
      <c r="F9" s="124"/>
      <c r="G9" s="120"/>
      <c r="H9" s="122"/>
      <c r="I9" s="122"/>
      <c r="J9" s="122"/>
      <c r="K9" s="122"/>
      <c r="L9" s="122"/>
      <c r="N9" s="129"/>
    </row>
    <row r="10" spans="1:14">
      <c r="A10" s="66"/>
      <c r="B10" s="66" t="s">
        <v>559</v>
      </c>
      <c r="C10" s="45" t="s">
        <v>560</v>
      </c>
      <c r="D10" t="s">
        <v>561</v>
      </c>
      <c r="F10">
        <v>1</v>
      </c>
      <c r="G10" s="61">
        <v>41.522300000000001</v>
      </c>
      <c r="I10" s="15" t="s">
        <v>552</v>
      </c>
      <c r="J10" s="15" t="s">
        <v>547</v>
      </c>
      <c r="N10" s="56"/>
    </row>
    <row r="11" spans="1:14">
      <c r="A11" s="66"/>
      <c r="B11" s="66"/>
      <c r="C11" s="45" t="s">
        <v>562</v>
      </c>
      <c r="D11" t="s">
        <v>561</v>
      </c>
      <c r="F11">
        <v>1</v>
      </c>
      <c r="G11" s="61">
        <v>41.316299999999998</v>
      </c>
      <c r="K11" s="15" t="s">
        <v>552</v>
      </c>
      <c r="L11" s="15" t="s">
        <v>547</v>
      </c>
      <c r="N11" s="56"/>
    </row>
    <row r="12" spans="1:14">
      <c r="A12" s="66"/>
      <c r="B12" s="66"/>
      <c r="C12" s="45" t="s">
        <v>563</v>
      </c>
      <c r="D12" t="s">
        <v>561</v>
      </c>
      <c r="F12">
        <v>1</v>
      </c>
      <c r="G12" s="61">
        <v>54.264800000000001</v>
      </c>
      <c r="H12" s="15" t="s">
        <v>554</v>
      </c>
      <c r="K12" s="15" t="s">
        <v>547</v>
      </c>
      <c r="N12" s="56"/>
    </row>
    <row r="13" spans="1:14">
      <c r="A13" s="66"/>
      <c r="B13" s="66"/>
      <c r="C13" s="45" t="s">
        <v>564</v>
      </c>
      <c r="D13" t="s">
        <v>561</v>
      </c>
      <c r="F13">
        <v>1</v>
      </c>
      <c r="G13" s="61">
        <v>55.015099999999997</v>
      </c>
      <c r="H13" s="15" t="s">
        <v>554</v>
      </c>
      <c r="I13" s="15" t="s">
        <v>547</v>
      </c>
      <c r="N13" s="56"/>
    </row>
    <row r="14" spans="1:14">
      <c r="A14" s="66"/>
      <c r="B14" s="66"/>
      <c r="C14" s="45" t="s">
        <v>565</v>
      </c>
      <c r="D14" t="s">
        <v>561</v>
      </c>
      <c r="F14">
        <v>1</v>
      </c>
      <c r="G14" s="61">
        <v>57.929400000000001</v>
      </c>
      <c r="H14" s="15" t="s">
        <v>547</v>
      </c>
      <c r="I14" s="15" t="s">
        <v>554</v>
      </c>
      <c r="K14" s="15" t="s">
        <v>547</v>
      </c>
      <c r="N14" s="56"/>
    </row>
    <row r="15" spans="1:14">
      <c r="A15" s="66"/>
      <c r="B15" s="66"/>
      <c r="C15" s="126" t="s">
        <v>566</v>
      </c>
      <c r="D15" t="s">
        <v>561</v>
      </c>
      <c r="F15">
        <v>1</v>
      </c>
      <c r="G15" s="61">
        <v>50.990299999999998</v>
      </c>
      <c r="I15" s="15" t="s">
        <v>554</v>
      </c>
      <c r="K15" s="15" t="s">
        <v>547</v>
      </c>
      <c r="N15" s="56"/>
    </row>
    <row r="16" spans="1:14">
      <c r="A16" s="66"/>
      <c r="B16" s="66"/>
      <c r="C16" s="45"/>
      <c r="D16"/>
      <c r="F16"/>
      <c r="N16" s="56"/>
    </row>
    <row r="17" spans="1:14" s="119" customFormat="1">
      <c r="A17" s="7"/>
      <c r="B17" s="7"/>
      <c r="C17" s="18"/>
      <c r="G17" s="120"/>
      <c r="H17" s="122"/>
      <c r="I17" s="122"/>
      <c r="J17" s="122"/>
      <c r="K17" s="122"/>
      <c r="L17" s="122"/>
      <c r="N17" s="129"/>
    </row>
    <row r="18" spans="1:14">
      <c r="A18" s="66"/>
      <c r="B18" s="66" t="s">
        <v>363</v>
      </c>
      <c r="C18" s="47" t="s">
        <v>567</v>
      </c>
      <c r="D18" s="1" t="s">
        <v>543</v>
      </c>
      <c r="F18" s="1">
        <v>1</v>
      </c>
      <c r="G18" s="61">
        <v>103.48699999999999</v>
      </c>
      <c r="H18" s="15" t="s">
        <v>554</v>
      </c>
      <c r="I18" s="15" t="s">
        <v>547</v>
      </c>
      <c r="J18" s="15" t="s">
        <v>546</v>
      </c>
      <c r="K18" s="15" t="s">
        <v>547</v>
      </c>
      <c r="L18" s="15" t="s">
        <v>546</v>
      </c>
      <c r="N18" s="56" t="s">
        <v>547</v>
      </c>
    </row>
    <row r="19" spans="1:14">
      <c r="A19" s="66"/>
      <c r="B19" s="66"/>
      <c r="C19" s="47" t="s">
        <v>568</v>
      </c>
      <c r="D19" s="1" t="s">
        <v>569</v>
      </c>
      <c r="F19" s="1"/>
      <c r="H19" s="15" t="s">
        <v>554</v>
      </c>
      <c r="I19" s="15" t="s">
        <v>547</v>
      </c>
      <c r="K19" s="15" t="s">
        <v>547</v>
      </c>
      <c r="N19" s="56"/>
    </row>
    <row r="20" spans="1:14">
      <c r="A20" s="66"/>
      <c r="B20" s="66"/>
      <c r="C20" s="47" t="s">
        <v>570</v>
      </c>
      <c r="D20" s="1" t="s">
        <v>543</v>
      </c>
      <c r="F20" s="1">
        <v>1</v>
      </c>
      <c r="G20" s="61">
        <v>92.689899999999994</v>
      </c>
      <c r="H20" s="15" t="s">
        <v>554</v>
      </c>
      <c r="I20" s="15" t="s">
        <v>571</v>
      </c>
      <c r="J20" s="15" t="s">
        <v>546</v>
      </c>
      <c r="K20" s="15" t="s">
        <v>547</v>
      </c>
      <c r="L20" s="15" t="s">
        <v>546</v>
      </c>
      <c r="N20" s="56" t="s">
        <v>547</v>
      </c>
    </row>
    <row r="21" spans="1:14">
      <c r="A21" s="66"/>
      <c r="B21" s="66"/>
      <c r="C21" s="47" t="s">
        <v>572</v>
      </c>
      <c r="D21" s="1" t="s">
        <v>569</v>
      </c>
      <c r="F21" s="1"/>
      <c r="H21" s="15" t="s">
        <v>554</v>
      </c>
      <c r="I21" s="15" t="s">
        <v>571</v>
      </c>
      <c r="K21" s="15" t="s">
        <v>547</v>
      </c>
      <c r="N21" s="56"/>
    </row>
    <row r="22" spans="1:14">
      <c r="A22" s="66"/>
      <c r="B22" s="66"/>
      <c r="C22" s="47" t="s">
        <v>573</v>
      </c>
      <c r="D22" s="1" t="s">
        <v>543</v>
      </c>
      <c r="F22" s="1">
        <v>1</v>
      </c>
      <c r="G22" s="61">
        <v>98.132099999999994</v>
      </c>
      <c r="H22" s="15" t="s">
        <v>554</v>
      </c>
      <c r="I22" s="15" t="s">
        <v>550</v>
      </c>
      <c r="J22" s="15" t="s">
        <v>546</v>
      </c>
      <c r="K22" s="15" t="s">
        <v>547</v>
      </c>
      <c r="L22" s="15" t="s">
        <v>546</v>
      </c>
      <c r="N22" s="56" t="s">
        <v>547</v>
      </c>
    </row>
    <row r="23" spans="1:14">
      <c r="A23" s="66"/>
      <c r="B23" s="66"/>
      <c r="C23" s="47" t="s">
        <v>574</v>
      </c>
      <c r="D23" s="1" t="s">
        <v>569</v>
      </c>
      <c r="F23" s="1"/>
      <c r="H23" s="15" t="s">
        <v>554</v>
      </c>
      <c r="I23" s="15" t="s">
        <v>550</v>
      </c>
      <c r="K23" s="15" t="s">
        <v>547</v>
      </c>
      <c r="N23" s="56"/>
    </row>
    <row r="24" spans="1:14">
      <c r="A24" s="66"/>
      <c r="B24" s="66"/>
      <c r="C24" s="47" t="s">
        <v>575</v>
      </c>
      <c r="D24" s="1" t="s">
        <v>543</v>
      </c>
      <c r="F24" s="1">
        <v>1</v>
      </c>
      <c r="G24" s="61">
        <v>100.773</v>
      </c>
      <c r="H24" s="15" t="s">
        <v>554</v>
      </c>
      <c r="I24" s="15" t="s">
        <v>576</v>
      </c>
      <c r="J24" s="15" t="s">
        <v>546</v>
      </c>
      <c r="K24" s="15" t="s">
        <v>547</v>
      </c>
      <c r="L24" s="15" t="s">
        <v>546</v>
      </c>
      <c r="N24" s="56" t="s">
        <v>547</v>
      </c>
    </row>
    <row r="25" spans="1:14">
      <c r="A25" s="66"/>
      <c r="B25" s="66"/>
      <c r="C25" s="47" t="s">
        <v>577</v>
      </c>
      <c r="D25" s="1" t="s">
        <v>569</v>
      </c>
      <c r="F25" s="1"/>
      <c r="H25" s="15" t="s">
        <v>554</v>
      </c>
      <c r="I25" s="15" t="s">
        <v>576</v>
      </c>
      <c r="K25" s="15" t="s">
        <v>547</v>
      </c>
      <c r="N25" s="56"/>
    </row>
    <row r="26" spans="1:14">
      <c r="A26" s="66"/>
      <c r="B26" s="66"/>
      <c r="C26" s="47" t="s">
        <v>578</v>
      </c>
      <c r="D26" s="1" t="s">
        <v>543</v>
      </c>
      <c r="F26" s="1">
        <v>1</v>
      </c>
      <c r="G26" s="61">
        <v>75.372</v>
      </c>
      <c r="H26" s="15" t="s">
        <v>554</v>
      </c>
      <c r="I26" s="15" t="s">
        <v>545</v>
      </c>
      <c r="J26" s="15" t="s">
        <v>546</v>
      </c>
      <c r="K26" s="15" t="s">
        <v>547</v>
      </c>
      <c r="L26" s="15" t="s">
        <v>546</v>
      </c>
      <c r="N26" s="56" t="s">
        <v>547</v>
      </c>
    </row>
    <row r="27" spans="1:14">
      <c r="A27" s="66"/>
      <c r="B27" s="66"/>
      <c r="C27" s="47" t="s">
        <v>579</v>
      </c>
      <c r="D27" s="1" t="s">
        <v>569</v>
      </c>
      <c r="F27" s="1"/>
      <c r="H27" s="15" t="s">
        <v>554</v>
      </c>
      <c r="I27" s="15" t="s">
        <v>545</v>
      </c>
      <c r="K27" s="15" t="s">
        <v>547</v>
      </c>
      <c r="N27" s="56"/>
    </row>
    <row r="28" spans="1:14">
      <c r="A28" s="66"/>
      <c r="B28" s="66"/>
      <c r="C28" s="47" t="s">
        <v>580</v>
      </c>
      <c r="D28" s="1" t="s">
        <v>543</v>
      </c>
      <c r="F28" s="1">
        <v>1</v>
      </c>
      <c r="G28" s="61">
        <v>85.988699999999994</v>
      </c>
      <c r="H28" s="15" t="s">
        <v>554</v>
      </c>
      <c r="I28" s="15" t="s">
        <v>547</v>
      </c>
      <c r="J28" s="15" t="s">
        <v>546</v>
      </c>
      <c r="K28" s="15" t="s">
        <v>547</v>
      </c>
      <c r="L28" s="15" t="s">
        <v>546</v>
      </c>
      <c r="N28" s="56" t="s">
        <v>547</v>
      </c>
    </row>
    <row r="29" spans="1:14">
      <c r="A29" s="66"/>
      <c r="B29" s="66"/>
      <c r="C29" s="47" t="s">
        <v>581</v>
      </c>
      <c r="D29" s="1" t="s">
        <v>569</v>
      </c>
      <c r="F29" s="1"/>
      <c r="H29" s="15" t="s">
        <v>554</v>
      </c>
      <c r="I29" s="15" t="s">
        <v>547</v>
      </c>
      <c r="K29" s="15" t="s">
        <v>547</v>
      </c>
      <c r="N29" s="56"/>
    </row>
    <row r="30" spans="1:14">
      <c r="A30" s="66"/>
      <c r="B30" s="66"/>
      <c r="C30" s="47" t="s">
        <v>582</v>
      </c>
      <c r="D30" s="1" t="s">
        <v>543</v>
      </c>
      <c r="F30" s="1">
        <v>1</v>
      </c>
      <c r="G30" s="61">
        <v>4728.33</v>
      </c>
      <c r="H30" s="15" t="s">
        <v>583</v>
      </c>
      <c r="I30" s="15" t="s">
        <v>545</v>
      </c>
      <c r="J30" s="15" t="s">
        <v>546</v>
      </c>
      <c r="K30" s="15" t="s">
        <v>547</v>
      </c>
      <c r="L30" s="15" t="s">
        <v>546</v>
      </c>
      <c r="N30" s="56" t="s">
        <v>547</v>
      </c>
    </row>
    <row r="31" spans="1:14">
      <c r="A31" s="66"/>
      <c r="B31" s="66"/>
      <c r="C31" s="47" t="s">
        <v>584</v>
      </c>
      <c r="D31" s="1" t="s">
        <v>585</v>
      </c>
      <c r="F31" s="1"/>
      <c r="K31" s="15" t="s">
        <v>547</v>
      </c>
      <c r="N31" s="56"/>
    </row>
    <row r="32" spans="1:14">
      <c r="A32" s="66"/>
      <c r="B32" s="66"/>
      <c r="C32" s="47" t="s">
        <v>586</v>
      </c>
      <c r="D32" s="1"/>
      <c r="F32" s="1"/>
      <c r="N32" s="56"/>
    </row>
    <row r="33" spans="1:14">
      <c r="A33" s="66"/>
      <c r="B33" s="66"/>
      <c r="C33" s="47" t="s">
        <v>587</v>
      </c>
      <c r="D33" s="1" t="s">
        <v>569</v>
      </c>
      <c r="F33" s="1"/>
      <c r="H33" s="15" t="s">
        <v>586</v>
      </c>
      <c r="I33" s="15" t="s">
        <v>545</v>
      </c>
      <c r="K33" s="15" t="s">
        <v>547</v>
      </c>
      <c r="N33" s="56"/>
    </row>
    <row r="34" spans="1:14">
      <c r="A34" s="66"/>
      <c r="B34" s="66"/>
      <c r="C34" s="47" t="s">
        <v>588</v>
      </c>
      <c r="D34" s="1" t="s">
        <v>569</v>
      </c>
      <c r="F34" s="1"/>
      <c r="H34" s="15" t="s">
        <v>586</v>
      </c>
      <c r="I34" s="15" t="s">
        <v>545</v>
      </c>
      <c r="K34" s="15" t="s">
        <v>547</v>
      </c>
      <c r="N34" s="56"/>
    </row>
    <row r="35" spans="1:14">
      <c r="A35" s="66"/>
      <c r="B35" s="66"/>
      <c r="C35" s="47"/>
      <c r="D35" s="1"/>
      <c r="F35" s="1"/>
      <c r="N35" s="56"/>
    </row>
    <row r="36" spans="1:14" s="119" customFormat="1">
      <c r="A36" s="7"/>
      <c r="B36" s="7"/>
      <c r="C36" s="17"/>
      <c r="D36" s="124"/>
      <c r="F36" s="124"/>
      <c r="G36" s="120"/>
      <c r="H36" s="122"/>
      <c r="I36" s="122"/>
      <c r="J36" s="122"/>
      <c r="K36" s="122"/>
      <c r="L36" s="122"/>
      <c r="N36" s="129"/>
    </row>
    <row r="37" spans="1:14">
      <c r="A37" s="66"/>
      <c r="B37" s="66" t="s">
        <v>364</v>
      </c>
      <c r="C37" s="47" t="s">
        <v>589</v>
      </c>
      <c r="D37" t="s">
        <v>543</v>
      </c>
      <c r="F37" s="1">
        <v>1</v>
      </c>
      <c r="G37" s="61">
        <v>4208.09</v>
      </c>
      <c r="H37" s="3" t="s">
        <v>583</v>
      </c>
      <c r="I37" t="s">
        <v>552</v>
      </c>
      <c r="J37" s="15" t="s">
        <v>546</v>
      </c>
      <c r="K37" s="15" t="s">
        <v>547</v>
      </c>
      <c r="L37" s="15" t="s">
        <v>546</v>
      </c>
      <c r="N37" s="56" t="s">
        <v>547</v>
      </c>
    </row>
    <row r="38" spans="1:14">
      <c r="A38" s="66"/>
      <c r="B38" s="66"/>
      <c r="C38" s="47" t="s">
        <v>590</v>
      </c>
      <c r="D38" t="s">
        <v>585</v>
      </c>
      <c r="F38"/>
      <c r="H38" s="3" t="s">
        <v>583</v>
      </c>
      <c r="I38" t="s">
        <v>552</v>
      </c>
      <c r="K38" s="15" t="s">
        <v>547</v>
      </c>
      <c r="N38" s="56"/>
    </row>
    <row r="39" spans="1:14">
      <c r="A39" s="66"/>
      <c r="B39" s="66"/>
      <c r="C39" s="47" t="s">
        <v>591</v>
      </c>
      <c r="D39"/>
      <c r="F39"/>
      <c r="H39" s="3"/>
      <c r="I39"/>
      <c r="N39" s="56"/>
    </row>
    <row r="40" spans="1:14">
      <c r="A40" s="66"/>
      <c r="B40" s="66"/>
      <c r="C40" s="47" t="s">
        <v>592</v>
      </c>
      <c r="D40" t="s">
        <v>569</v>
      </c>
      <c r="F40"/>
      <c r="H40" s="3" t="s">
        <v>591</v>
      </c>
      <c r="I40" t="s">
        <v>552</v>
      </c>
      <c r="K40" s="15" t="s">
        <v>547</v>
      </c>
      <c r="N40" s="56"/>
    </row>
    <row r="41" spans="1:14" s="119" customFormat="1">
      <c r="A41" s="7"/>
      <c r="B41" s="118"/>
      <c r="C41" s="123"/>
      <c r="G41" s="120"/>
      <c r="H41" s="121"/>
      <c r="J41" s="122"/>
      <c r="K41" s="122"/>
      <c r="L41" s="122"/>
      <c r="N41" s="129"/>
    </row>
    <row r="42" spans="1:14">
      <c r="A42" s="66"/>
      <c r="B42" s="52" t="s">
        <v>365</v>
      </c>
      <c r="C42" s="90" t="s">
        <v>593</v>
      </c>
      <c r="D42" t="s">
        <v>561</v>
      </c>
      <c r="F42">
        <v>1</v>
      </c>
      <c r="G42" s="61">
        <v>200.27799999999999</v>
      </c>
      <c r="H42" s="3" t="s">
        <v>547</v>
      </c>
      <c r="I42" t="s">
        <v>552</v>
      </c>
      <c r="N42" s="56" t="s">
        <v>547</v>
      </c>
    </row>
    <row r="43" spans="1:14">
      <c r="A43" s="66"/>
      <c r="B43" s="52"/>
      <c r="C43" s="90" t="s">
        <v>594</v>
      </c>
      <c r="D43"/>
      <c r="F43"/>
      <c r="H43" s="3"/>
      <c r="I43"/>
      <c r="N43" s="56"/>
    </row>
    <row r="44" spans="1:14">
      <c r="A44" s="66"/>
      <c r="B44" s="52"/>
      <c r="C44" s="90" t="s">
        <v>595</v>
      </c>
      <c r="D44"/>
      <c r="F44"/>
      <c r="H44" s="3"/>
      <c r="I44"/>
      <c r="N44" s="56"/>
    </row>
    <row r="45" spans="1:14">
      <c r="A45" s="66"/>
      <c r="B45" s="52"/>
      <c r="C45" s="90" t="s">
        <v>596</v>
      </c>
      <c r="D45" t="s">
        <v>561</v>
      </c>
      <c r="F45" s="1">
        <v>1</v>
      </c>
      <c r="G45" s="61">
        <v>53.270200000000003</v>
      </c>
      <c r="H45" s="3" t="s">
        <v>597</v>
      </c>
      <c r="I45" t="s">
        <v>552</v>
      </c>
      <c r="N45" s="56" t="s">
        <v>547</v>
      </c>
    </row>
    <row r="46" spans="1:14">
      <c r="A46" s="66"/>
      <c r="B46" s="52"/>
      <c r="C46" s="90" t="s">
        <v>598</v>
      </c>
      <c r="D46" t="s">
        <v>561</v>
      </c>
      <c r="F46" s="1">
        <v>1</v>
      </c>
      <c r="G46" s="61">
        <v>50.950600000000001</v>
      </c>
      <c r="H46" s="3" t="s">
        <v>599</v>
      </c>
      <c r="I46" t="s">
        <v>552</v>
      </c>
      <c r="N46" s="56" t="s">
        <v>547</v>
      </c>
    </row>
    <row r="47" spans="1:14">
      <c r="A47" s="66"/>
      <c r="B47" s="52"/>
      <c r="C47" s="90" t="s">
        <v>600</v>
      </c>
      <c r="D47" t="s">
        <v>561</v>
      </c>
      <c r="F47" s="1">
        <v>1</v>
      </c>
      <c r="G47" s="61">
        <v>95.314700000000002</v>
      </c>
      <c r="H47" s="58" t="s">
        <v>601</v>
      </c>
      <c r="I47" t="s">
        <v>552</v>
      </c>
      <c r="N47" s="56" t="s">
        <v>547</v>
      </c>
    </row>
    <row r="48" spans="1:14">
      <c r="A48" s="66"/>
      <c r="B48" s="52"/>
      <c r="C48" s="90" t="s">
        <v>602</v>
      </c>
      <c r="D48" t="s">
        <v>561</v>
      </c>
      <c r="F48" s="1">
        <v>1</v>
      </c>
      <c r="G48" s="61">
        <v>92.903999999999996</v>
      </c>
      <c r="H48" s="3" t="s">
        <v>552</v>
      </c>
      <c r="I48" t="s">
        <v>547</v>
      </c>
      <c r="N48" s="56" t="s">
        <v>547</v>
      </c>
    </row>
    <row r="49" spans="1:14">
      <c r="A49" s="66"/>
      <c r="B49" s="52"/>
      <c r="C49" s="90" t="s">
        <v>603</v>
      </c>
      <c r="D49" t="s">
        <v>543</v>
      </c>
      <c r="F49" s="1">
        <v>4</v>
      </c>
      <c r="G49" s="61">
        <v>165.78899999999999</v>
      </c>
      <c r="H49" s="3" t="s">
        <v>604</v>
      </c>
      <c r="I49" t="s">
        <v>545</v>
      </c>
      <c r="J49" s="15" t="s">
        <v>546</v>
      </c>
      <c r="K49" s="15" t="s">
        <v>547</v>
      </c>
      <c r="L49" s="15" t="s">
        <v>546</v>
      </c>
      <c r="N49" s="56" t="s">
        <v>547</v>
      </c>
    </row>
    <row r="50" spans="1:14">
      <c r="A50" s="66"/>
      <c r="B50" s="52"/>
      <c r="C50" s="90" t="s">
        <v>605</v>
      </c>
      <c r="D50" t="s">
        <v>569</v>
      </c>
      <c r="F50"/>
      <c r="H50" s="3" t="s">
        <v>552</v>
      </c>
      <c r="I50" t="s">
        <v>545</v>
      </c>
      <c r="N50" s="56"/>
    </row>
    <row r="51" spans="1:14">
      <c r="A51" s="66"/>
      <c r="B51" s="52"/>
      <c r="C51" s="90" t="s">
        <v>606</v>
      </c>
      <c r="D51" t="s">
        <v>569</v>
      </c>
      <c r="F51"/>
      <c r="H51" s="3" t="s">
        <v>607</v>
      </c>
      <c r="I51" t="s">
        <v>545</v>
      </c>
      <c r="N51" s="56"/>
    </row>
    <row r="52" spans="1:14">
      <c r="A52" s="66"/>
      <c r="B52" s="52"/>
      <c r="C52" s="90" t="s">
        <v>608</v>
      </c>
      <c r="D52" t="s">
        <v>569</v>
      </c>
      <c r="F52"/>
      <c r="H52" s="3" t="s">
        <v>609</v>
      </c>
      <c r="I52" t="s">
        <v>545</v>
      </c>
      <c r="N52" s="56"/>
    </row>
    <row r="53" spans="1:14">
      <c r="A53" s="66"/>
      <c r="B53" s="52"/>
      <c r="C53" s="90" t="s">
        <v>610</v>
      </c>
      <c r="D53" t="s">
        <v>569</v>
      </c>
      <c r="F53"/>
      <c r="H53" s="3" t="s">
        <v>611</v>
      </c>
      <c r="I53" t="s">
        <v>545</v>
      </c>
      <c r="N53" s="56"/>
    </row>
    <row r="54" spans="1:14">
      <c r="A54" s="66"/>
      <c r="B54" s="52"/>
      <c r="C54" s="90" t="s">
        <v>612</v>
      </c>
      <c r="D54" t="s">
        <v>543</v>
      </c>
      <c r="F54" s="1">
        <v>4</v>
      </c>
      <c r="G54" s="61">
        <v>169.65799999999999</v>
      </c>
      <c r="H54" s="3" t="s">
        <v>604</v>
      </c>
      <c r="I54" t="s">
        <v>552</v>
      </c>
      <c r="J54" s="15" t="s">
        <v>546</v>
      </c>
      <c r="K54" s="15" t="s">
        <v>547</v>
      </c>
      <c r="L54" s="15" t="s">
        <v>546</v>
      </c>
      <c r="N54" s="56" t="s">
        <v>547</v>
      </c>
    </row>
    <row r="55" spans="1:14">
      <c r="A55" s="66"/>
      <c r="B55" s="52"/>
      <c r="C55" s="90" t="s">
        <v>613</v>
      </c>
      <c r="D55" t="s">
        <v>569</v>
      </c>
      <c r="F55"/>
      <c r="H55" s="3" t="s">
        <v>552</v>
      </c>
      <c r="I55" t="s">
        <v>552</v>
      </c>
      <c r="N55" s="56"/>
    </row>
    <row r="56" spans="1:14">
      <c r="A56" s="66"/>
      <c r="B56" s="52"/>
      <c r="C56" s="90" t="s">
        <v>614</v>
      </c>
      <c r="D56" t="s">
        <v>569</v>
      </c>
      <c r="F56"/>
      <c r="H56" s="3" t="s">
        <v>607</v>
      </c>
      <c r="I56" t="s">
        <v>552</v>
      </c>
      <c r="N56" s="56"/>
    </row>
    <row r="57" spans="1:14">
      <c r="A57" s="66"/>
      <c r="B57" s="52"/>
      <c r="C57" s="90" t="s">
        <v>615</v>
      </c>
      <c r="D57" t="s">
        <v>569</v>
      </c>
      <c r="F57"/>
      <c r="H57" s="3" t="s">
        <v>609</v>
      </c>
      <c r="I57" t="s">
        <v>552</v>
      </c>
      <c r="N57" s="56"/>
    </row>
    <row r="58" spans="1:14">
      <c r="A58" s="66"/>
      <c r="B58" s="52"/>
      <c r="C58" s="90" t="s">
        <v>616</v>
      </c>
      <c r="D58" t="s">
        <v>569</v>
      </c>
      <c r="F58"/>
      <c r="H58" s="3" t="s">
        <v>611</v>
      </c>
      <c r="I58" t="s">
        <v>552</v>
      </c>
      <c r="N58" s="56"/>
    </row>
    <row r="59" spans="1:14">
      <c r="A59" s="66"/>
      <c r="B59" s="52"/>
      <c r="C59" s="90" t="s">
        <v>617</v>
      </c>
      <c r="D59" t="s">
        <v>543</v>
      </c>
      <c r="F59" s="1">
        <v>4</v>
      </c>
      <c r="G59" s="61">
        <v>170.47900000000001</v>
      </c>
      <c r="H59" s="3" t="s">
        <v>618</v>
      </c>
      <c r="I59" t="s">
        <v>552</v>
      </c>
      <c r="J59" s="15" t="s">
        <v>546</v>
      </c>
      <c r="K59" s="15" t="s">
        <v>547</v>
      </c>
      <c r="L59" s="15" t="s">
        <v>546</v>
      </c>
      <c r="N59" s="56" t="s">
        <v>547</v>
      </c>
    </row>
    <row r="60" spans="1:14">
      <c r="A60" s="66"/>
      <c r="B60" s="52"/>
      <c r="C60" s="90" t="s">
        <v>619</v>
      </c>
      <c r="D60" t="s">
        <v>569</v>
      </c>
      <c r="F60"/>
      <c r="H60" s="3" t="s">
        <v>620</v>
      </c>
      <c r="I60" t="s">
        <v>552</v>
      </c>
      <c r="N60" s="56"/>
    </row>
    <row r="61" spans="1:14">
      <c r="A61" s="66"/>
      <c r="B61" s="52"/>
      <c r="C61" s="90" t="s">
        <v>621</v>
      </c>
      <c r="D61" t="s">
        <v>569</v>
      </c>
      <c r="F61"/>
      <c r="H61" s="3" t="s">
        <v>622</v>
      </c>
      <c r="I61" t="s">
        <v>552</v>
      </c>
      <c r="N61" s="56"/>
    </row>
    <row r="62" spans="1:14">
      <c r="A62" s="66"/>
      <c r="B62" s="52"/>
      <c r="C62" s="90" t="s">
        <v>623</v>
      </c>
      <c r="D62" t="s">
        <v>569</v>
      </c>
      <c r="F62"/>
      <c r="H62" s="3" t="s">
        <v>624</v>
      </c>
      <c r="I62" t="s">
        <v>552</v>
      </c>
      <c r="N62" s="56"/>
    </row>
    <row r="63" spans="1:14">
      <c r="A63" s="66"/>
      <c r="B63" s="52"/>
      <c r="C63" s="90" t="s">
        <v>625</v>
      </c>
      <c r="D63" t="s">
        <v>569</v>
      </c>
      <c r="F63"/>
      <c r="H63" s="3" t="s">
        <v>550</v>
      </c>
      <c r="I63" t="s">
        <v>552</v>
      </c>
      <c r="N63" s="56"/>
    </row>
    <row r="64" spans="1:14">
      <c r="A64" s="66"/>
      <c r="B64" s="52"/>
      <c r="C64" s="90" t="s">
        <v>626</v>
      </c>
      <c r="D64" t="s">
        <v>543</v>
      </c>
      <c r="F64" s="1">
        <v>4</v>
      </c>
      <c r="G64" s="61">
        <v>171.91</v>
      </c>
      <c r="H64" s="3" t="s">
        <v>604</v>
      </c>
      <c r="I64" t="s">
        <v>620</v>
      </c>
      <c r="J64" s="15" t="s">
        <v>546</v>
      </c>
      <c r="K64" s="15" t="s">
        <v>547</v>
      </c>
      <c r="L64" s="15" t="s">
        <v>546</v>
      </c>
      <c r="N64" s="56" t="s">
        <v>547</v>
      </c>
    </row>
    <row r="65" spans="1:14">
      <c r="A65" s="66"/>
      <c r="B65" s="52"/>
      <c r="C65" s="90" t="s">
        <v>627</v>
      </c>
      <c r="D65" t="s">
        <v>569</v>
      </c>
      <c r="F65"/>
      <c r="H65" s="3" t="s">
        <v>552</v>
      </c>
      <c r="I65" t="s">
        <v>620</v>
      </c>
      <c r="N65" s="56"/>
    </row>
    <row r="66" spans="1:14">
      <c r="A66" s="66"/>
      <c r="B66" s="52"/>
      <c r="C66" s="90" t="s">
        <v>628</v>
      </c>
      <c r="D66" t="s">
        <v>569</v>
      </c>
      <c r="F66"/>
      <c r="H66" s="3" t="s">
        <v>607</v>
      </c>
      <c r="I66" t="s">
        <v>620</v>
      </c>
      <c r="N66" s="56"/>
    </row>
    <row r="67" spans="1:14">
      <c r="A67" s="66"/>
      <c r="B67" s="52"/>
      <c r="C67" s="90" t="s">
        <v>629</v>
      </c>
      <c r="D67" t="s">
        <v>569</v>
      </c>
      <c r="F67"/>
      <c r="H67" s="3" t="s">
        <v>609</v>
      </c>
      <c r="I67" t="s">
        <v>620</v>
      </c>
      <c r="N67" s="56"/>
    </row>
    <row r="68" spans="1:14">
      <c r="A68" s="66"/>
      <c r="B68" s="52"/>
      <c r="C68" s="90" t="s">
        <v>630</v>
      </c>
      <c r="D68" t="s">
        <v>569</v>
      </c>
      <c r="F68"/>
      <c r="H68" s="3" t="s">
        <v>611</v>
      </c>
      <c r="I68" t="s">
        <v>620</v>
      </c>
      <c r="N68" s="56"/>
    </row>
    <row r="69" spans="1:14">
      <c r="A69" s="66"/>
      <c r="B69" s="52"/>
      <c r="C69" s="90" t="s">
        <v>631</v>
      </c>
      <c r="D69" t="s">
        <v>632</v>
      </c>
      <c r="F69"/>
      <c r="H69" s="3"/>
      <c r="I69"/>
      <c r="N69" s="56"/>
    </row>
    <row r="70" spans="1:14">
      <c r="A70" s="66"/>
      <c r="B70" s="52"/>
      <c r="C70" s="90" t="s">
        <v>633</v>
      </c>
      <c r="D70" t="s">
        <v>632</v>
      </c>
      <c r="F70"/>
      <c r="H70" s="3"/>
      <c r="I70"/>
      <c r="N70" s="56"/>
    </row>
    <row r="71" spans="1:14">
      <c r="A71" s="66"/>
      <c r="B71" s="52"/>
      <c r="C71" s="90" t="s">
        <v>634</v>
      </c>
      <c r="D71" t="s">
        <v>632</v>
      </c>
      <c r="F71"/>
      <c r="H71" s="3"/>
      <c r="I71"/>
      <c r="N71" s="56"/>
    </row>
    <row r="72" spans="1:14">
      <c r="A72" s="66"/>
      <c r="B72" s="52"/>
      <c r="C72" s="90" t="s">
        <v>635</v>
      </c>
      <c r="D72" t="s">
        <v>632</v>
      </c>
      <c r="F72"/>
      <c r="H72" s="3"/>
      <c r="I72"/>
      <c r="N72" s="56"/>
    </row>
    <row r="73" spans="1:14">
      <c r="A73" s="66"/>
      <c r="B73" s="52"/>
      <c r="C73" s="90" t="s">
        <v>636</v>
      </c>
      <c r="D73" t="s">
        <v>543</v>
      </c>
      <c r="F73" s="1">
        <v>1</v>
      </c>
      <c r="G73" s="61">
        <v>68.386399999999995</v>
      </c>
      <c r="H73" s="3" t="s">
        <v>557</v>
      </c>
      <c r="I73" t="s">
        <v>545</v>
      </c>
      <c r="J73" s="15" t="s">
        <v>546</v>
      </c>
      <c r="K73" s="15" t="s">
        <v>547</v>
      </c>
      <c r="L73" s="15" t="s">
        <v>546</v>
      </c>
      <c r="N73" s="56" t="s">
        <v>547</v>
      </c>
    </row>
    <row r="74" spans="1:14">
      <c r="A74" s="66"/>
      <c r="B74" s="52"/>
      <c r="C74" s="90" t="s">
        <v>637</v>
      </c>
      <c r="D74" t="s">
        <v>569</v>
      </c>
      <c r="F74"/>
      <c r="H74" s="3" t="s">
        <v>557</v>
      </c>
      <c r="I74" t="s">
        <v>545</v>
      </c>
      <c r="N74" s="56"/>
    </row>
    <row r="75" spans="1:14">
      <c r="A75" s="66"/>
      <c r="B75" s="52"/>
      <c r="C75" s="90" t="s">
        <v>638</v>
      </c>
      <c r="D75" t="s">
        <v>639</v>
      </c>
      <c r="F75"/>
      <c r="H75" s="3" t="s">
        <v>640</v>
      </c>
      <c r="I75" t="s">
        <v>552</v>
      </c>
      <c r="N75" s="56"/>
    </row>
    <row r="76" spans="1:14">
      <c r="A76" s="66"/>
      <c r="B76" s="52"/>
      <c r="C76" s="90" t="s">
        <v>641</v>
      </c>
      <c r="D76" t="s">
        <v>639</v>
      </c>
      <c r="F76"/>
      <c r="H76" s="3" t="s">
        <v>583</v>
      </c>
      <c r="I76" t="s">
        <v>545</v>
      </c>
      <c r="N76" s="56"/>
    </row>
    <row r="77" spans="1:14">
      <c r="A77" s="66"/>
      <c r="B77" s="52"/>
      <c r="C77" s="90" t="s">
        <v>642</v>
      </c>
      <c r="D77" t="s">
        <v>639</v>
      </c>
      <c r="F77"/>
      <c r="H77" s="3" t="s">
        <v>583</v>
      </c>
      <c r="I77" t="s">
        <v>545</v>
      </c>
      <c r="N77" s="56"/>
    </row>
    <row r="78" spans="1:14">
      <c r="A78" s="66"/>
      <c r="B78" s="52"/>
      <c r="C78" s="90" t="s">
        <v>643</v>
      </c>
      <c r="D78" t="s">
        <v>569</v>
      </c>
      <c r="F78"/>
      <c r="H78" s="3" t="s">
        <v>641</v>
      </c>
      <c r="I78" t="s">
        <v>545</v>
      </c>
      <c r="N78" s="56"/>
    </row>
    <row r="79" spans="1:14" s="15" customFormat="1">
      <c r="A79" s="66"/>
      <c r="B79" s="52"/>
      <c r="C79" s="90" t="s">
        <v>644</v>
      </c>
      <c r="D79" t="s">
        <v>569</v>
      </c>
      <c r="E79"/>
      <c r="F79"/>
      <c r="G79" s="61"/>
      <c r="H79" s="3" t="s">
        <v>645</v>
      </c>
      <c r="I79" t="s">
        <v>545</v>
      </c>
      <c r="M79"/>
      <c r="N79" s="56"/>
    </row>
    <row r="80" spans="1:14" s="15" customFormat="1">
      <c r="A80" s="66"/>
      <c r="B80" s="52"/>
      <c r="C80" s="90" t="s">
        <v>646</v>
      </c>
      <c r="D80" t="s">
        <v>569</v>
      </c>
      <c r="E80"/>
      <c r="F80"/>
      <c r="G80" s="61"/>
      <c r="H80" s="3" t="s">
        <v>647</v>
      </c>
      <c r="I80" t="s">
        <v>545</v>
      </c>
      <c r="M80"/>
      <c r="N80" s="56"/>
    </row>
    <row r="81" spans="1:14" s="15" customFormat="1">
      <c r="A81" s="66"/>
      <c r="B81" s="52"/>
      <c r="C81" s="90" t="s">
        <v>648</v>
      </c>
      <c r="D81" t="s">
        <v>569</v>
      </c>
      <c r="E81"/>
      <c r="F81"/>
      <c r="G81" s="61"/>
      <c r="H81" s="3" t="s">
        <v>649</v>
      </c>
      <c r="I81" t="s">
        <v>545</v>
      </c>
      <c r="M81"/>
      <c r="N81" s="56"/>
    </row>
    <row r="82" spans="1:14" s="15" customFormat="1">
      <c r="A82" s="66"/>
      <c r="B82" s="52"/>
      <c r="C82" s="90" t="s">
        <v>650</v>
      </c>
      <c r="D82" t="s">
        <v>569</v>
      </c>
      <c r="E82"/>
      <c r="F82"/>
      <c r="G82" s="61"/>
      <c r="H82" s="3" t="s">
        <v>651</v>
      </c>
      <c r="I82" t="s">
        <v>545</v>
      </c>
      <c r="M82"/>
      <c r="N82" s="56"/>
    </row>
    <row r="83" spans="1:14" s="15" customFormat="1">
      <c r="A83" s="66"/>
      <c r="B83" s="52"/>
      <c r="C83" s="90" t="s">
        <v>652</v>
      </c>
      <c r="D83" t="s">
        <v>632</v>
      </c>
      <c r="E83"/>
      <c r="F83"/>
      <c r="G83" s="61"/>
      <c r="H83" s="3"/>
      <c r="I83" t="s">
        <v>545</v>
      </c>
      <c r="M83"/>
      <c r="N83" s="56"/>
    </row>
    <row r="84" spans="1:14" s="15" customFormat="1">
      <c r="A84" s="66"/>
      <c r="B84" s="52"/>
      <c r="C84" s="90" t="s">
        <v>653</v>
      </c>
      <c r="D84" t="s">
        <v>639</v>
      </c>
      <c r="E84"/>
      <c r="F84"/>
      <c r="G84" s="61"/>
      <c r="H84" s="3" t="s">
        <v>583</v>
      </c>
      <c r="I84" t="s">
        <v>552</v>
      </c>
      <c r="M84"/>
      <c r="N84" s="56"/>
    </row>
    <row r="85" spans="1:14" s="15" customFormat="1">
      <c r="A85" s="66"/>
      <c r="B85" s="52"/>
      <c r="C85" s="90" t="s">
        <v>654</v>
      </c>
      <c r="D85" t="s">
        <v>639</v>
      </c>
      <c r="E85"/>
      <c r="F85"/>
      <c r="G85" s="61"/>
      <c r="H85" s="3" t="s">
        <v>583</v>
      </c>
      <c r="I85" t="s">
        <v>552</v>
      </c>
      <c r="M85"/>
      <c r="N85" s="56"/>
    </row>
    <row r="86" spans="1:14" s="15" customFormat="1">
      <c r="A86" s="66"/>
      <c r="B86" s="52"/>
      <c r="C86" s="90" t="s">
        <v>655</v>
      </c>
      <c r="D86" t="s">
        <v>569</v>
      </c>
      <c r="E86"/>
      <c r="F86"/>
      <c r="G86" s="61"/>
      <c r="H86" s="3" t="s">
        <v>653</v>
      </c>
      <c r="I86" t="s">
        <v>552</v>
      </c>
      <c r="M86"/>
      <c r="N86" s="56"/>
    </row>
    <row r="87" spans="1:14" s="15" customFormat="1">
      <c r="A87" s="66"/>
      <c r="B87" s="52"/>
      <c r="C87" s="90" t="s">
        <v>656</v>
      </c>
      <c r="D87" t="s">
        <v>569</v>
      </c>
      <c r="E87"/>
      <c r="F87"/>
      <c r="G87" s="61"/>
      <c r="H87" s="3" t="s">
        <v>657</v>
      </c>
      <c r="I87" t="s">
        <v>552</v>
      </c>
      <c r="M87"/>
      <c r="N87" s="56"/>
    </row>
    <row r="88" spans="1:14" s="15" customFormat="1">
      <c r="A88" s="66"/>
      <c r="B88" s="52"/>
      <c r="C88" s="90" t="s">
        <v>658</v>
      </c>
      <c r="D88" t="s">
        <v>569</v>
      </c>
      <c r="E88"/>
      <c r="F88"/>
      <c r="G88" s="61"/>
      <c r="H88" s="3" t="s">
        <v>659</v>
      </c>
      <c r="I88" t="s">
        <v>552</v>
      </c>
      <c r="M88"/>
      <c r="N88" s="56"/>
    </row>
    <row r="89" spans="1:14" s="15" customFormat="1">
      <c r="A89" s="66"/>
      <c r="B89" s="52"/>
      <c r="C89" s="90" t="s">
        <v>660</v>
      </c>
      <c r="D89" t="s">
        <v>569</v>
      </c>
      <c r="E89"/>
      <c r="F89"/>
      <c r="G89" s="61"/>
      <c r="H89" s="3" t="s">
        <v>661</v>
      </c>
      <c r="I89" t="s">
        <v>552</v>
      </c>
      <c r="M89"/>
      <c r="N89" s="56"/>
    </row>
    <row r="90" spans="1:14" s="15" customFormat="1">
      <c r="A90" s="66"/>
      <c r="B90" s="52"/>
      <c r="C90" s="90" t="s">
        <v>662</v>
      </c>
      <c r="D90" t="s">
        <v>569</v>
      </c>
      <c r="E90"/>
      <c r="F90"/>
      <c r="G90" s="61"/>
      <c r="H90" s="3" t="s">
        <v>663</v>
      </c>
      <c r="I90" t="s">
        <v>552</v>
      </c>
      <c r="M90"/>
      <c r="N90" s="56"/>
    </row>
    <row r="91" spans="1:14" s="15" customFormat="1">
      <c r="A91" s="66"/>
      <c r="B91" s="52"/>
      <c r="C91" s="90" t="s">
        <v>664</v>
      </c>
      <c r="D91" t="s">
        <v>632</v>
      </c>
      <c r="E91"/>
      <c r="F91"/>
      <c r="G91" s="61"/>
      <c r="H91" s="3"/>
      <c r="I91"/>
      <c r="M91"/>
      <c r="N91" s="56"/>
    </row>
    <row r="92" spans="1:14" s="15" customFormat="1">
      <c r="A92" s="66"/>
      <c r="B92" s="52"/>
      <c r="C92" s="90" t="s">
        <v>665</v>
      </c>
      <c r="D92" t="s">
        <v>632</v>
      </c>
      <c r="E92"/>
      <c r="F92"/>
      <c r="G92" s="61"/>
      <c r="H92" s="3"/>
      <c r="I92"/>
      <c r="M92"/>
      <c r="N92" s="56"/>
    </row>
    <row r="93" spans="1:14" s="15" customFormat="1">
      <c r="A93" s="66"/>
      <c r="B93" s="52"/>
      <c r="C93" s="90" t="s">
        <v>666</v>
      </c>
      <c r="D93" t="s">
        <v>632</v>
      </c>
      <c r="E93"/>
      <c r="F93"/>
      <c r="G93" s="61"/>
      <c r="H93" s="3"/>
      <c r="I93"/>
      <c r="M93"/>
      <c r="N93" s="56"/>
    </row>
    <row r="94" spans="1:14">
      <c r="A94" s="66"/>
      <c r="B94" s="52"/>
      <c r="C94" s="90" t="s">
        <v>667</v>
      </c>
      <c r="D94" t="s">
        <v>632</v>
      </c>
      <c r="F94"/>
      <c r="H94" s="3"/>
      <c r="I94"/>
      <c r="N94" s="56"/>
    </row>
    <row r="95" spans="1:14">
      <c r="A95" s="66"/>
      <c r="B95" s="52"/>
      <c r="C95" s="90" t="s">
        <v>668</v>
      </c>
      <c r="D95" t="s">
        <v>561</v>
      </c>
      <c r="F95" s="1">
        <v>1</v>
      </c>
      <c r="G95" s="61">
        <v>95.685400000000001</v>
      </c>
      <c r="H95" s="3" t="s">
        <v>669</v>
      </c>
      <c r="I95" t="s">
        <v>552</v>
      </c>
      <c r="N95" s="56"/>
    </row>
    <row r="96" spans="1:14">
      <c r="A96" s="66"/>
      <c r="B96" s="52"/>
      <c r="C96" s="90" t="s">
        <v>670</v>
      </c>
      <c r="D96"/>
      <c r="F96" s="1">
        <v>1</v>
      </c>
      <c r="G96" s="61">
        <v>95.685400000000001</v>
      </c>
      <c r="H96" s="3" t="s">
        <v>669</v>
      </c>
      <c r="I96" t="s">
        <v>552</v>
      </c>
      <c r="N96" s="56"/>
    </row>
    <row r="97" spans="1:17">
      <c r="A97" s="66"/>
      <c r="B97" s="52"/>
      <c r="C97" s="90" t="s">
        <v>671</v>
      </c>
      <c r="D97" t="s">
        <v>543</v>
      </c>
      <c r="F97" s="1">
        <v>6</v>
      </c>
      <c r="G97" s="61">
        <v>252.827</v>
      </c>
      <c r="H97" s="3" t="s">
        <v>672</v>
      </c>
      <c r="I97" t="s">
        <v>545</v>
      </c>
      <c r="J97" s="15" t="s">
        <v>546</v>
      </c>
      <c r="K97" s="15" t="s">
        <v>547</v>
      </c>
      <c r="L97" s="15" t="s">
        <v>546</v>
      </c>
      <c r="N97" s="56" t="s">
        <v>547</v>
      </c>
      <c r="Q97" s="61"/>
    </row>
    <row r="98" spans="1:17">
      <c r="A98" s="66"/>
      <c r="B98" s="52"/>
      <c r="C98" s="90" t="s">
        <v>673</v>
      </c>
      <c r="D98" t="s">
        <v>569</v>
      </c>
      <c r="F98"/>
      <c r="H98" s="3" t="s">
        <v>674</v>
      </c>
      <c r="I98" t="s">
        <v>545</v>
      </c>
      <c r="N98" s="56"/>
    </row>
    <row r="99" spans="1:17">
      <c r="A99" s="66"/>
      <c r="B99" s="52"/>
      <c r="C99" s="90" t="s">
        <v>675</v>
      </c>
      <c r="D99" t="s">
        <v>569</v>
      </c>
      <c r="F99"/>
      <c r="H99" s="3" t="s">
        <v>676</v>
      </c>
      <c r="I99" t="s">
        <v>545</v>
      </c>
      <c r="N99" s="56"/>
    </row>
    <row r="100" spans="1:17">
      <c r="A100" s="66"/>
      <c r="B100" s="52"/>
      <c r="C100" s="90" t="s">
        <v>677</v>
      </c>
      <c r="D100" t="s">
        <v>569</v>
      </c>
      <c r="F100"/>
      <c r="H100" s="3" t="s">
        <v>678</v>
      </c>
      <c r="I100" t="s">
        <v>545</v>
      </c>
      <c r="N100" s="56"/>
    </row>
    <row r="101" spans="1:17">
      <c r="A101" s="66"/>
      <c r="B101" s="52"/>
      <c r="C101" s="90" t="s">
        <v>679</v>
      </c>
      <c r="D101" t="s">
        <v>543</v>
      </c>
      <c r="F101" s="1">
        <v>6</v>
      </c>
      <c r="G101" s="61">
        <v>231.37100000000001</v>
      </c>
      <c r="H101" s="3" t="s">
        <v>680</v>
      </c>
      <c r="I101" t="s">
        <v>552</v>
      </c>
      <c r="J101" s="15" t="s">
        <v>546</v>
      </c>
      <c r="K101" s="15" t="s">
        <v>547</v>
      </c>
      <c r="L101" s="15" t="s">
        <v>546</v>
      </c>
      <c r="N101" s="56" t="s">
        <v>547</v>
      </c>
    </row>
    <row r="102" spans="1:17">
      <c r="A102" s="66"/>
      <c r="B102" s="52"/>
      <c r="C102" s="90" t="s">
        <v>681</v>
      </c>
      <c r="D102" t="s">
        <v>569</v>
      </c>
      <c r="F102"/>
      <c r="H102" s="3" t="s">
        <v>682</v>
      </c>
      <c r="I102" t="s">
        <v>552</v>
      </c>
      <c r="N102" s="56"/>
    </row>
    <row r="103" spans="1:17">
      <c r="A103" s="66"/>
      <c r="B103" s="52"/>
      <c r="C103" s="90" t="s">
        <v>683</v>
      </c>
      <c r="D103" t="s">
        <v>569</v>
      </c>
      <c r="F103"/>
      <c r="H103" s="3" t="s">
        <v>684</v>
      </c>
      <c r="I103" t="s">
        <v>552</v>
      </c>
      <c r="N103" s="56"/>
    </row>
    <row r="104" spans="1:17">
      <c r="A104" s="66"/>
      <c r="B104" s="52"/>
      <c r="C104" s="90" t="s">
        <v>685</v>
      </c>
      <c r="D104" t="s">
        <v>569</v>
      </c>
      <c r="F104"/>
      <c r="H104" s="3" t="s">
        <v>686</v>
      </c>
      <c r="I104" t="s">
        <v>552</v>
      </c>
      <c r="N104" s="56"/>
    </row>
    <row r="105" spans="1:17">
      <c r="A105" s="66"/>
      <c r="B105" s="52"/>
      <c r="C105" s="90" t="s">
        <v>687</v>
      </c>
      <c r="D105" t="s">
        <v>543</v>
      </c>
      <c r="F105" s="1">
        <v>2</v>
      </c>
      <c r="G105" s="61">
        <v>106.18899999999999</v>
      </c>
      <c r="H105" s="3" t="s">
        <v>688</v>
      </c>
      <c r="I105" t="s">
        <v>545</v>
      </c>
      <c r="J105" s="15" t="s">
        <v>546</v>
      </c>
      <c r="K105" s="15" t="s">
        <v>547</v>
      </c>
      <c r="L105" s="15" t="s">
        <v>546</v>
      </c>
      <c r="N105" s="56" t="s">
        <v>547</v>
      </c>
    </row>
    <row r="106" spans="1:17">
      <c r="A106" s="66"/>
      <c r="B106" s="52"/>
      <c r="C106" s="90" t="s">
        <v>689</v>
      </c>
      <c r="D106" t="s">
        <v>543</v>
      </c>
      <c r="F106">
        <f>(1.1-0.65)/0.05+1</f>
        <v>10</v>
      </c>
      <c r="G106" s="61">
        <v>360.38400000000001</v>
      </c>
      <c r="H106" s="3" t="s">
        <v>690</v>
      </c>
      <c r="I106" t="s">
        <v>545</v>
      </c>
      <c r="J106" s="15" t="s">
        <v>546</v>
      </c>
      <c r="K106" s="15" t="s">
        <v>547</v>
      </c>
      <c r="L106" s="15" t="s">
        <v>546</v>
      </c>
      <c r="N106" s="56" t="s">
        <v>547</v>
      </c>
    </row>
    <row r="107" spans="1:17">
      <c r="A107" s="66"/>
      <c r="B107" s="52"/>
      <c r="C107" s="90" t="s">
        <v>691</v>
      </c>
      <c r="D107" t="s">
        <v>569</v>
      </c>
      <c r="F107"/>
      <c r="H107" s="3" t="s">
        <v>692</v>
      </c>
      <c r="I107" t="s">
        <v>545</v>
      </c>
      <c r="N107" s="56"/>
    </row>
    <row r="108" spans="1:17">
      <c r="A108" s="66"/>
      <c r="B108" s="52"/>
      <c r="C108" s="90" t="s">
        <v>693</v>
      </c>
      <c r="D108" t="s">
        <v>569</v>
      </c>
      <c r="F108"/>
      <c r="H108" s="3" t="s">
        <v>694</v>
      </c>
      <c r="I108" t="s">
        <v>545</v>
      </c>
      <c r="N108" s="56"/>
    </row>
    <row r="109" spans="1:17">
      <c r="A109" s="66"/>
      <c r="B109" s="52"/>
      <c r="C109" s="90" t="s">
        <v>695</v>
      </c>
      <c r="D109" t="s">
        <v>569</v>
      </c>
      <c r="F109"/>
      <c r="H109" s="3" t="s">
        <v>696</v>
      </c>
      <c r="I109" t="s">
        <v>545</v>
      </c>
      <c r="N109" s="56"/>
    </row>
    <row r="110" spans="1:17">
      <c r="A110" s="66"/>
      <c r="B110" s="52"/>
      <c r="C110" s="90" t="s">
        <v>697</v>
      </c>
      <c r="D110" t="s">
        <v>569</v>
      </c>
      <c r="F110"/>
      <c r="H110" s="3" t="s">
        <v>698</v>
      </c>
      <c r="I110" t="s">
        <v>545</v>
      </c>
      <c r="N110" s="56"/>
    </row>
    <row r="111" spans="1:17">
      <c r="A111" s="66"/>
      <c r="B111" s="52"/>
      <c r="C111" s="90" t="s">
        <v>699</v>
      </c>
      <c r="D111" t="s">
        <v>569</v>
      </c>
      <c r="F111"/>
      <c r="H111" s="3" t="s">
        <v>700</v>
      </c>
      <c r="I111" t="s">
        <v>545</v>
      </c>
      <c r="N111" s="56"/>
    </row>
    <row r="112" spans="1:17">
      <c r="A112" s="66"/>
      <c r="B112" s="52"/>
      <c r="C112" s="90" t="s">
        <v>701</v>
      </c>
      <c r="D112" t="s">
        <v>569</v>
      </c>
      <c r="F112"/>
      <c r="H112" s="3" t="s">
        <v>702</v>
      </c>
      <c r="I112" t="s">
        <v>545</v>
      </c>
      <c r="N112" s="56"/>
    </row>
    <row r="113" spans="1:14">
      <c r="A113" s="66"/>
      <c r="B113" s="52"/>
      <c r="C113" s="90" t="s">
        <v>703</v>
      </c>
      <c r="D113" t="s">
        <v>569</v>
      </c>
      <c r="F113"/>
      <c r="H113" s="3" t="s">
        <v>704</v>
      </c>
      <c r="I113" t="s">
        <v>545</v>
      </c>
      <c r="N113" s="56"/>
    </row>
    <row r="114" spans="1:14">
      <c r="A114" s="66"/>
      <c r="B114" s="52"/>
      <c r="C114" s="90" t="s">
        <v>705</v>
      </c>
      <c r="D114" t="s">
        <v>569</v>
      </c>
      <c r="F114"/>
      <c r="H114" s="3" t="s">
        <v>706</v>
      </c>
      <c r="I114" t="s">
        <v>545</v>
      </c>
      <c r="N114" s="56"/>
    </row>
    <row r="115" spans="1:14">
      <c r="A115" s="66"/>
      <c r="B115" s="52"/>
      <c r="C115" s="90" t="s">
        <v>707</v>
      </c>
      <c r="D115" t="s">
        <v>569</v>
      </c>
      <c r="F115"/>
      <c r="H115" s="3" t="s">
        <v>708</v>
      </c>
      <c r="I115" t="s">
        <v>545</v>
      </c>
      <c r="N115" s="56"/>
    </row>
    <row r="116" spans="1:14">
      <c r="A116" s="66"/>
      <c r="B116" s="52"/>
      <c r="C116" s="90" t="s">
        <v>709</v>
      </c>
      <c r="D116" t="s">
        <v>543</v>
      </c>
      <c r="F116" s="1">
        <v>2</v>
      </c>
      <c r="G116" s="61">
        <v>108.983</v>
      </c>
      <c r="H116" s="3" t="s">
        <v>710</v>
      </c>
      <c r="I116" t="s">
        <v>545</v>
      </c>
      <c r="J116" s="15" t="s">
        <v>546</v>
      </c>
      <c r="K116" s="15" t="s">
        <v>547</v>
      </c>
      <c r="L116" s="15" t="s">
        <v>546</v>
      </c>
      <c r="N116" s="56" t="s">
        <v>547</v>
      </c>
    </row>
    <row r="117" spans="1:14">
      <c r="A117" s="66"/>
      <c r="B117" s="52"/>
      <c r="C117" s="90" t="s">
        <v>711</v>
      </c>
      <c r="D117" t="s">
        <v>543</v>
      </c>
      <c r="F117" s="1">
        <v>2</v>
      </c>
      <c r="G117" s="61">
        <v>107.95099999999999</v>
      </c>
      <c r="H117" s="3" t="s">
        <v>712</v>
      </c>
      <c r="I117" t="s">
        <v>552</v>
      </c>
      <c r="J117" s="15" t="s">
        <v>546</v>
      </c>
      <c r="K117" s="15" t="s">
        <v>547</v>
      </c>
      <c r="L117" s="15" t="s">
        <v>546</v>
      </c>
      <c r="N117" s="56" t="s">
        <v>547</v>
      </c>
    </row>
    <row r="118" spans="1:14">
      <c r="A118" s="66"/>
      <c r="B118" s="52"/>
      <c r="C118" s="90" t="s">
        <v>713</v>
      </c>
      <c r="D118" t="s">
        <v>569</v>
      </c>
      <c r="F118"/>
      <c r="H118" s="3" t="s">
        <v>714</v>
      </c>
      <c r="I118" t="s">
        <v>545</v>
      </c>
      <c r="N118" s="56"/>
    </row>
    <row r="119" spans="1:14">
      <c r="A119" s="66"/>
      <c r="B119" s="52"/>
      <c r="C119" s="90" t="s">
        <v>715</v>
      </c>
      <c r="D119" t="s">
        <v>569</v>
      </c>
      <c r="F119"/>
      <c r="H119" s="3" t="s">
        <v>716</v>
      </c>
      <c r="I119" t="s">
        <v>545</v>
      </c>
      <c r="N119" s="56"/>
    </row>
    <row r="120" spans="1:14">
      <c r="A120" s="66"/>
      <c r="B120" s="52"/>
      <c r="C120" s="90" t="s">
        <v>717</v>
      </c>
      <c r="D120" t="s">
        <v>569</v>
      </c>
      <c r="F120"/>
      <c r="H120" s="3" t="s">
        <v>718</v>
      </c>
      <c r="I120" t="s">
        <v>552</v>
      </c>
      <c r="N120" s="56"/>
    </row>
    <row r="121" spans="1:14">
      <c r="A121" s="66"/>
      <c r="B121" s="52"/>
      <c r="C121" s="90" t="s">
        <v>719</v>
      </c>
      <c r="D121" t="s">
        <v>569</v>
      </c>
      <c r="F121"/>
      <c r="H121" s="3" t="s">
        <v>720</v>
      </c>
      <c r="I121" t="s">
        <v>552</v>
      </c>
      <c r="N121" s="56"/>
    </row>
    <row r="122" spans="1:14">
      <c r="A122" s="66"/>
      <c r="B122" s="52"/>
      <c r="C122" s="90" t="s">
        <v>721</v>
      </c>
      <c r="D122" t="s">
        <v>543</v>
      </c>
      <c r="F122" s="1">
        <v>2</v>
      </c>
      <c r="G122" s="61">
        <v>103.82</v>
      </c>
      <c r="H122" s="3" t="s">
        <v>722</v>
      </c>
      <c r="I122" t="s">
        <v>552</v>
      </c>
      <c r="J122" s="15" t="s">
        <v>546</v>
      </c>
      <c r="K122" s="15" t="s">
        <v>547</v>
      </c>
      <c r="L122" s="15" t="s">
        <v>546</v>
      </c>
      <c r="N122" s="56"/>
    </row>
    <row r="123" spans="1:14">
      <c r="A123" s="66"/>
      <c r="B123" s="52"/>
      <c r="C123" s="90" t="s">
        <v>723</v>
      </c>
      <c r="D123" t="s">
        <v>543</v>
      </c>
      <c r="F123" s="1">
        <v>1</v>
      </c>
      <c r="G123" s="61">
        <v>74.339200000000005</v>
      </c>
      <c r="H123" s="3" t="s">
        <v>718</v>
      </c>
      <c r="I123" t="s">
        <v>552</v>
      </c>
      <c r="J123" s="15" t="s">
        <v>546</v>
      </c>
      <c r="K123" s="15" t="s">
        <v>547</v>
      </c>
      <c r="L123" s="15" t="s">
        <v>546</v>
      </c>
      <c r="N123" s="56"/>
    </row>
    <row r="124" spans="1:14">
      <c r="A124" s="66"/>
      <c r="B124" s="52"/>
      <c r="C124" s="90" t="s">
        <v>724</v>
      </c>
      <c r="D124" t="s">
        <v>569</v>
      </c>
      <c r="F124"/>
      <c r="H124" s="3" t="s">
        <v>725</v>
      </c>
      <c r="I124" t="s">
        <v>552</v>
      </c>
      <c r="N124" s="56"/>
    </row>
    <row r="125" spans="1:14">
      <c r="A125" s="66"/>
      <c r="B125" s="52"/>
      <c r="C125" s="90" t="s">
        <v>726</v>
      </c>
      <c r="D125" t="s">
        <v>569</v>
      </c>
      <c r="F125"/>
      <c r="H125" s="3" t="s">
        <v>727</v>
      </c>
      <c r="I125" t="s">
        <v>552</v>
      </c>
      <c r="N125" s="56"/>
    </row>
    <row r="126" spans="1:14">
      <c r="A126" s="66"/>
      <c r="B126" s="52"/>
      <c r="C126" s="90" t="s">
        <v>728</v>
      </c>
      <c r="D126" t="s">
        <v>569</v>
      </c>
      <c r="F126"/>
      <c r="H126" s="3" t="s">
        <v>718</v>
      </c>
      <c r="I126" t="s">
        <v>552</v>
      </c>
      <c r="N126" s="56"/>
    </row>
    <row r="127" spans="1:14">
      <c r="A127" s="66"/>
      <c r="B127" s="52"/>
      <c r="C127" s="90" t="s">
        <v>729</v>
      </c>
      <c r="D127" t="s">
        <v>543</v>
      </c>
      <c r="F127" s="1">
        <v>2</v>
      </c>
      <c r="G127" s="61">
        <v>102.636</v>
      </c>
      <c r="H127" s="3" t="s">
        <v>722</v>
      </c>
      <c r="I127" t="s">
        <v>554</v>
      </c>
      <c r="J127" s="15" t="s">
        <v>546</v>
      </c>
      <c r="K127" s="15" t="s">
        <v>547</v>
      </c>
      <c r="L127" s="15" t="s">
        <v>546</v>
      </c>
      <c r="N127" s="56" t="s">
        <v>547</v>
      </c>
    </row>
    <row r="128" spans="1:14">
      <c r="A128" s="66"/>
      <c r="B128" s="52"/>
      <c r="C128" s="90" t="s">
        <v>730</v>
      </c>
      <c r="D128" t="s">
        <v>543</v>
      </c>
      <c r="F128" s="1">
        <v>1</v>
      </c>
      <c r="G128" s="61">
        <v>74.065200000000004</v>
      </c>
      <c r="H128" s="3" t="s">
        <v>718</v>
      </c>
      <c r="I128" t="s">
        <v>554</v>
      </c>
      <c r="J128" s="15" t="s">
        <v>546</v>
      </c>
      <c r="K128" s="15" t="s">
        <v>547</v>
      </c>
      <c r="L128" s="15" t="s">
        <v>546</v>
      </c>
      <c r="N128" s="56" t="s">
        <v>547</v>
      </c>
    </row>
    <row r="129" spans="1:14">
      <c r="A129" s="66"/>
      <c r="B129" s="52"/>
      <c r="C129" s="90" t="s">
        <v>731</v>
      </c>
      <c r="D129" t="s">
        <v>569</v>
      </c>
      <c r="F129"/>
      <c r="H129" s="3" t="s">
        <v>725</v>
      </c>
      <c r="I129" t="s">
        <v>554</v>
      </c>
      <c r="N129" s="56"/>
    </row>
    <row r="130" spans="1:14">
      <c r="A130" s="66"/>
      <c r="B130" s="52"/>
      <c r="C130" s="90" t="s">
        <v>732</v>
      </c>
      <c r="D130" t="s">
        <v>569</v>
      </c>
      <c r="F130"/>
      <c r="H130" s="3" t="s">
        <v>727</v>
      </c>
      <c r="I130" t="s">
        <v>554</v>
      </c>
      <c r="N130" s="56"/>
    </row>
    <row r="131" spans="1:14">
      <c r="A131" s="66"/>
      <c r="B131" s="52"/>
      <c r="C131" s="90" t="s">
        <v>733</v>
      </c>
      <c r="D131" t="s">
        <v>569</v>
      </c>
      <c r="F131"/>
      <c r="H131" s="3" t="s">
        <v>718</v>
      </c>
      <c r="I131" t="s">
        <v>554</v>
      </c>
      <c r="N131" s="56"/>
    </row>
    <row r="132" spans="1:14">
      <c r="A132" s="52"/>
      <c r="B132" s="118"/>
      <c r="C132" s="119"/>
      <c r="D132" s="119"/>
      <c r="E132" s="119"/>
      <c r="F132" s="119"/>
      <c r="G132" s="120"/>
      <c r="H132" s="121"/>
      <c r="I132" s="119"/>
      <c r="J132" s="122"/>
      <c r="K132" s="122"/>
      <c r="L132" s="122"/>
      <c r="M132" s="119"/>
      <c r="N132" s="129"/>
    </row>
    <row r="133" spans="1:14">
      <c r="A133" s="52"/>
      <c r="B133" s="63" t="s">
        <v>366</v>
      </c>
      <c r="C133" s="53" t="s">
        <v>734</v>
      </c>
      <c r="D133" s="53" t="s">
        <v>543</v>
      </c>
      <c r="E133" s="53"/>
      <c r="F133" s="53">
        <f>0.6/0.02+1</f>
        <v>31</v>
      </c>
      <c r="G133" s="82">
        <v>986.60400000000004</v>
      </c>
      <c r="H133" s="88" t="s">
        <v>735</v>
      </c>
      <c r="I133" s="53" t="s">
        <v>545</v>
      </c>
      <c r="J133" s="83" t="s">
        <v>546</v>
      </c>
      <c r="K133" s="83" t="s">
        <v>547</v>
      </c>
      <c r="L133" s="83" t="s">
        <v>546</v>
      </c>
      <c r="M133" s="53"/>
      <c r="N133" s="55" t="s">
        <v>547</v>
      </c>
    </row>
    <row r="134" spans="1:14">
      <c r="A134" s="52"/>
      <c r="B134" s="66"/>
      <c r="C134" t="s">
        <v>736</v>
      </c>
      <c r="D134" t="s">
        <v>737</v>
      </c>
      <c r="F134"/>
      <c r="H134" s="3"/>
      <c r="I134"/>
      <c r="N134" s="56"/>
    </row>
    <row r="135" spans="1:14">
      <c r="A135" s="52"/>
      <c r="B135" s="66"/>
      <c r="C135" t="s">
        <v>738</v>
      </c>
      <c r="D135"/>
      <c r="F135"/>
      <c r="H135" s="3"/>
      <c r="I135"/>
      <c r="N135" s="56"/>
    </row>
    <row r="136" spans="1:14">
      <c r="A136" s="52"/>
      <c r="B136" s="64"/>
      <c r="C136" s="54" t="s">
        <v>739</v>
      </c>
      <c r="D136" s="54"/>
      <c r="E136" s="54"/>
      <c r="F136" s="54"/>
      <c r="G136" s="85"/>
      <c r="H136" s="91"/>
      <c r="I136" s="54"/>
      <c r="J136" s="86"/>
      <c r="K136" s="86"/>
      <c r="L136" s="86"/>
      <c r="M136" s="54"/>
      <c r="N136" s="57"/>
    </row>
    <row r="137" spans="1:14">
      <c r="A137" s="52"/>
      <c r="B137" s="66"/>
      <c r="C137"/>
      <c r="D137"/>
      <c r="F137"/>
      <c r="H137" s="3"/>
      <c r="I137"/>
      <c r="N137" s="56"/>
    </row>
    <row r="138" spans="1:14">
      <c r="A138" s="66"/>
      <c r="B138" s="63" t="s">
        <v>740</v>
      </c>
      <c r="C138" s="13" t="s">
        <v>741</v>
      </c>
      <c r="D138" s="53" t="s">
        <v>543</v>
      </c>
      <c r="E138" s="53"/>
      <c r="F138" s="53">
        <f>0.2/0.05+1</f>
        <v>5</v>
      </c>
      <c r="G138" s="82">
        <v>199.61199999999999</v>
      </c>
      <c r="H138" s="88" t="s">
        <v>742</v>
      </c>
      <c r="I138" s="53" t="s">
        <v>571</v>
      </c>
      <c r="J138" s="83" t="s">
        <v>546</v>
      </c>
      <c r="K138" s="83" t="s">
        <v>547</v>
      </c>
      <c r="L138" s="83" t="s">
        <v>546</v>
      </c>
      <c r="M138" s="53"/>
      <c r="N138" s="55"/>
    </row>
    <row r="139" spans="1:14">
      <c r="A139" s="66"/>
      <c r="B139" s="66"/>
      <c r="C139" s="47" t="s">
        <v>743</v>
      </c>
      <c r="D139" t="s">
        <v>543</v>
      </c>
      <c r="F139">
        <f t="shared" ref="F139:F144" si="0">0.2/0.05+1</f>
        <v>5</v>
      </c>
      <c r="G139" s="61">
        <v>199.101</v>
      </c>
      <c r="H139" s="3" t="s">
        <v>742</v>
      </c>
      <c r="I139" t="s">
        <v>599</v>
      </c>
      <c r="J139" s="15" t="s">
        <v>546</v>
      </c>
      <c r="K139" s="15" t="s">
        <v>547</v>
      </c>
      <c r="L139" s="15" t="s">
        <v>546</v>
      </c>
      <c r="N139" s="56"/>
    </row>
    <row r="140" spans="1:14">
      <c r="A140" s="66"/>
      <c r="B140" s="66"/>
      <c r="C140" s="47" t="s">
        <v>744</v>
      </c>
      <c r="D140" t="s">
        <v>543</v>
      </c>
      <c r="F140">
        <f t="shared" si="0"/>
        <v>5</v>
      </c>
      <c r="G140" s="61">
        <v>199.09</v>
      </c>
      <c r="H140" s="3" t="s">
        <v>742</v>
      </c>
      <c r="I140" t="s">
        <v>745</v>
      </c>
      <c r="J140" s="15" t="s">
        <v>546</v>
      </c>
      <c r="K140" s="15" t="s">
        <v>547</v>
      </c>
      <c r="L140" s="15" t="s">
        <v>546</v>
      </c>
      <c r="N140" s="56"/>
    </row>
    <row r="141" spans="1:14">
      <c r="A141" s="66"/>
      <c r="B141" s="66"/>
      <c r="C141" s="47" t="s">
        <v>746</v>
      </c>
      <c r="D141" t="s">
        <v>543</v>
      </c>
      <c r="F141">
        <f t="shared" si="0"/>
        <v>5</v>
      </c>
      <c r="G141" s="61">
        <v>197.84700000000001</v>
      </c>
      <c r="H141" s="3" t="s">
        <v>742</v>
      </c>
      <c r="I141" t="s">
        <v>550</v>
      </c>
      <c r="J141" s="15" t="s">
        <v>546</v>
      </c>
      <c r="K141" s="15" t="s">
        <v>547</v>
      </c>
      <c r="L141" s="15" t="s">
        <v>546</v>
      </c>
      <c r="N141" s="56"/>
    </row>
    <row r="142" spans="1:14">
      <c r="A142" s="66"/>
      <c r="B142" s="66"/>
      <c r="C142" s="47" t="s">
        <v>747</v>
      </c>
      <c r="D142" t="s">
        <v>543</v>
      </c>
      <c r="F142">
        <f t="shared" si="0"/>
        <v>5</v>
      </c>
      <c r="G142" s="61">
        <v>198.30500000000001</v>
      </c>
      <c r="H142" s="3" t="s">
        <v>742</v>
      </c>
      <c r="I142" t="s">
        <v>748</v>
      </c>
      <c r="J142" s="15" t="s">
        <v>546</v>
      </c>
      <c r="K142" s="15" t="s">
        <v>547</v>
      </c>
      <c r="L142" s="15" t="s">
        <v>546</v>
      </c>
      <c r="N142" s="56"/>
    </row>
    <row r="143" spans="1:14">
      <c r="A143" s="66"/>
      <c r="B143" s="66"/>
      <c r="C143" s="47" t="s">
        <v>749</v>
      </c>
      <c r="D143" t="s">
        <v>543</v>
      </c>
      <c r="F143">
        <f t="shared" si="0"/>
        <v>5</v>
      </c>
      <c r="G143" s="61">
        <v>198.05600000000001</v>
      </c>
      <c r="H143" s="3" t="s">
        <v>742</v>
      </c>
      <c r="I143" t="s">
        <v>620</v>
      </c>
      <c r="J143" s="15" t="s">
        <v>546</v>
      </c>
      <c r="K143" s="15" t="s">
        <v>547</v>
      </c>
      <c r="L143" s="15" t="s">
        <v>546</v>
      </c>
      <c r="N143" s="56"/>
    </row>
    <row r="144" spans="1:14">
      <c r="A144" s="66"/>
      <c r="B144" s="66"/>
      <c r="C144" s="47" t="s">
        <v>750</v>
      </c>
      <c r="D144" t="s">
        <v>543</v>
      </c>
      <c r="F144">
        <f t="shared" si="0"/>
        <v>5</v>
      </c>
      <c r="G144" s="61">
        <v>198.887</v>
      </c>
      <c r="H144" s="3" t="s">
        <v>742</v>
      </c>
      <c r="I144" t="s">
        <v>576</v>
      </c>
      <c r="J144" s="15" t="s">
        <v>546</v>
      </c>
      <c r="K144" s="15" t="s">
        <v>547</v>
      </c>
      <c r="L144" s="15" t="s">
        <v>546</v>
      </c>
      <c r="N144" s="56"/>
    </row>
    <row r="145" spans="1:14">
      <c r="A145" s="66"/>
      <c r="B145" s="66"/>
      <c r="C145" s="47" t="s">
        <v>751</v>
      </c>
      <c r="D145" t="s">
        <v>569</v>
      </c>
      <c r="F145"/>
      <c r="H145" s="3" t="s">
        <v>752</v>
      </c>
      <c r="I145" t="s">
        <v>571</v>
      </c>
      <c r="K145" s="15" t="s">
        <v>547</v>
      </c>
      <c r="N145" s="56"/>
    </row>
    <row r="146" spans="1:14">
      <c r="A146" s="66"/>
      <c r="B146" s="66"/>
      <c r="C146" s="47" t="s">
        <v>753</v>
      </c>
      <c r="D146" t="s">
        <v>569</v>
      </c>
      <c r="F146"/>
      <c r="H146" s="3" t="s">
        <v>754</v>
      </c>
      <c r="I146" t="s">
        <v>571</v>
      </c>
      <c r="K146" s="15" t="s">
        <v>547</v>
      </c>
      <c r="N146" s="56"/>
    </row>
    <row r="147" spans="1:14" s="15" customFormat="1">
      <c r="A147" s="66"/>
      <c r="B147" s="66"/>
      <c r="C147" s="47" t="s">
        <v>755</v>
      </c>
      <c r="D147" t="s">
        <v>569</v>
      </c>
      <c r="E147"/>
      <c r="F147"/>
      <c r="G147" s="61"/>
      <c r="H147" s="3" t="s">
        <v>682</v>
      </c>
      <c r="I147" t="s">
        <v>571</v>
      </c>
      <c r="K147" s="15" t="s">
        <v>547</v>
      </c>
      <c r="M147"/>
      <c r="N147" s="56"/>
    </row>
    <row r="148" spans="1:14" s="15" customFormat="1">
      <c r="A148" s="66"/>
      <c r="B148" s="66"/>
      <c r="C148" s="47" t="s">
        <v>756</v>
      </c>
      <c r="D148" t="s">
        <v>569</v>
      </c>
      <c r="E148"/>
      <c r="F148"/>
      <c r="G148" s="61"/>
      <c r="H148" s="3" t="s">
        <v>757</v>
      </c>
      <c r="I148" t="s">
        <v>571</v>
      </c>
      <c r="K148" s="15" t="s">
        <v>547</v>
      </c>
      <c r="M148"/>
      <c r="N148" s="56"/>
    </row>
    <row r="149" spans="1:14" s="15" customFormat="1">
      <c r="A149" s="66"/>
      <c r="B149" s="66"/>
      <c r="C149" s="47" t="s">
        <v>758</v>
      </c>
      <c r="D149" t="s">
        <v>569</v>
      </c>
      <c r="E149"/>
      <c r="F149"/>
      <c r="G149" s="61"/>
      <c r="H149" s="3" t="s">
        <v>759</v>
      </c>
      <c r="I149" t="s">
        <v>571</v>
      </c>
      <c r="K149" s="15" t="s">
        <v>547</v>
      </c>
      <c r="M149"/>
      <c r="N149" s="56"/>
    </row>
    <row r="150" spans="1:14" s="15" customFormat="1">
      <c r="A150" s="66"/>
      <c r="B150" s="66"/>
      <c r="C150" s="47" t="s">
        <v>760</v>
      </c>
      <c r="D150" t="s">
        <v>569</v>
      </c>
      <c r="E150"/>
      <c r="F150"/>
      <c r="G150" s="61"/>
      <c r="H150" s="3" t="s">
        <v>752</v>
      </c>
      <c r="I150" t="s">
        <v>599</v>
      </c>
      <c r="K150" s="15" t="s">
        <v>547</v>
      </c>
      <c r="M150"/>
      <c r="N150" s="56"/>
    </row>
    <row r="151" spans="1:14" s="15" customFormat="1">
      <c r="A151" s="66"/>
      <c r="B151" s="66"/>
      <c r="C151" s="47" t="s">
        <v>761</v>
      </c>
      <c r="D151" t="s">
        <v>569</v>
      </c>
      <c r="E151"/>
      <c r="F151"/>
      <c r="G151" s="61"/>
      <c r="H151" s="3" t="s">
        <v>754</v>
      </c>
      <c r="I151" t="s">
        <v>599</v>
      </c>
      <c r="K151" s="15" t="s">
        <v>547</v>
      </c>
      <c r="M151"/>
      <c r="N151" s="56"/>
    </row>
    <row r="152" spans="1:14" s="15" customFormat="1">
      <c r="A152" s="66"/>
      <c r="B152" s="66"/>
      <c r="C152" s="47" t="s">
        <v>762</v>
      </c>
      <c r="D152" t="s">
        <v>569</v>
      </c>
      <c r="E152"/>
      <c r="F152"/>
      <c r="G152" s="61"/>
      <c r="H152" s="3" t="s">
        <v>682</v>
      </c>
      <c r="I152" t="s">
        <v>599</v>
      </c>
      <c r="K152" s="15" t="s">
        <v>547</v>
      </c>
      <c r="M152"/>
      <c r="N152" s="56"/>
    </row>
    <row r="153" spans="1:14" s="15" customFormat="1">
      <c r="A153" s="66"/>
      <c r="B153" s="66"/>
      <c r="C153" s="47" t="s">
        <v>763</v>
      </c>
      <c r="D153" t="s">
        <v>569</v>
      </c>
      <c r="E153"/>
      <c r="F153"/>
      <c r="G153" s="61"/>
      <c r="H153" s="3" t="s">
        <v>757</v>
      </c>
      <c r="I153" t="s">
        <v>599</v>
      </c>
      <c r="K153" s="15" t="s">
        <v>547</v>
      </c>
      <c r="M153"/>
      <c r="N153" s="56"/>
    </row>
    <row r="154" spans="1:14" s="15" customFormat="1">
      <c r="A154" s="66"/>
      <c r="B154" s="66"/>
      <c r="C154" s="47" t="s">
        <v>764</v>
      </c>
      <c r="D154" t="s">
        <v>569</v>
      </c>
      <c r="E154"/>
      <c r="F154"/>
      <c r="G154" s="61"/>
      <c r="H154" s="3" t="s">
        <v>759</v>
      </c>
      <c r="I154" t="s">
        <v>599</v>
      </c>
      <c r="K154" s="15" t="s">
        <v>547</v>
      </c>
      <c r="M154"/>
      <c r="N154" s="56"/>
    </row>
    <row r="155" spans="1:14" s="15" customFormat="1">
      <c r="A155" s="66"/>
      <c r="B155" s="66"/>
      <c r="C155" s="47" t="s">
        <v>765</v>
      </c>
      <c r="D155" t="s">
        <v>569</v>
      </c>
      <c r="E155"/>
      <c r="F155"/>
      <c r="G155" s="61"/>
      <c r="H155" s="3" t="s">
        <v>752</v>
      </c>
      <c r="I155" t="s">
        <v>745</v>
      </c>
      <c r="K155" s="15" t="s">
        <v>547</v>
      </c>
      <c r="M155"/>
      <c r="N155" s="56"/>
    </row>
    <row r="156" spans="1:14" s="15" customFormat="1">
      <c r="A156" s="66"/>
      <c r="B156" s="66"/>
      <c r="C156" s="47" t="s">
        <v>766</v>
      </c>
      <c r="D156" t="s">
        <v>569</v>
      </c>
      <c r="E156"/>
      <c r="F156"/>
      <c r="G156" s="61"/>
      <c r="H156" s="3" t="s">
        <v>754</v>
      </c>
      <c r="I156" t="s">
        <v>745</v>
      </c>
      <c r="K156" s="15" t="s">
        <v>547</v>
      </c>
      <c r="M156"/>
      <c r="N156" s="56"/>
    </row>
    <row r="157" spans="1:14" s="15" customFormat="1">
      <c r="A157" s="66"/>
      <c r="B157" s="66"/>
      <c r="C157" s="47" t="s">
        <v>767</v>
      </c>
      <c r="D157" t="s">
        <v>569</v>
      </c>
      <c r="E157"/>
      <c r="F157"/>
      <c r="G157" s="61"/>
      <c r="H157" s="3" t="s">
        <v>682</v>
      </c>
      <c r="I157" t="s">
        <v>745</v>
      </c>
      <c r="K157" s="15" t="s">
        <v>547</v>
      </c>
      <c r="M157"/>
      <c r="N157" s="56"/>
    </row>
    <row r="158" spans="1:14" s="15" customFormat="1">
      <c r="A158" s="66"/>
      <c r="B158" s="66"/>
      <c r="C158" s="47" t="s">
        <v>768</v>
      </c>
      <c r="D158" t="s">
        <v>569</v>
      </c>
      <c r="E158"/>
      <c r="F158"/>
      <c r="G158" s="61"/>
      <c r="H158" s="3" t="s">
        <v>757</v>
      </c>
      <c r="I158" t="s">
        <v>745</v>
      </c>
      <c r="K158" s="15" t="s">
        <v>547</v>
      </c>
      <c r="M158"/>
      <c r="N158" s="56"/>
    </row>
    <row r="159" spans="1:14" s="15" customFormat="1">
      <c r="A159" s="66"/>
      <c r="B159" s="66"/>
      <c r="C159" s="47" t="s">
        <v>769</v>
      </c>
      <c r="D159" t="s">
        <v>569</v>
      </c>
      <c r="E159"/>
      <c r="F159"/>
      <c r="G159" s="61"/>
      <c r="H159" s="3" t="s">
        <v>759</v>
      </c>
      <c r="I159" t="s">
        <v>745</v>
      </c>
      <c r="K159" s="15" t="s">
        <v>547</v>
      </c>
      <c r="M159"/>
      <c r="N159" s="56"/>
    </row>
    <row r="160" spans="1:14" s="15" customFormat="1">
      <c r="A160" s="66"/>
      <c r="B160" s="66"/>
      <c r="C160" s="47" t="s">
        <v>770</v>
      </c>
      <c r="D160" t="s">
        <v>569</v>
      </c>
      <c r="E160"/>
      <c r="F160"/>
      <c r="G160" s="61"/>
      <c r="H160" s="3" t="s">
        <v>752</v>
      </c>
      <c r="I160" t="s">
        <v>550</v>
      </c>
      <c r="K160" s="15" t="s">
        <v>547</v>
      </c>
      <c r="M160"/>
      <c r="N160" s="56"/>
    </row>
    <row r="161" spans="1:14" s="15" customFormat="1">
      <c r="A161" s="66"/>
      <c r="B161" s="66"/>
      <c r="C161" s="47" t="s">
        <v>771</v>
      </c>
      <c r="D161" t="s">
        <v>569</v>
      </c>
      <c r="E161"/>
      <c r="F161"/>
      <c r="G161" s="61"/>
      <c r="H161" s="3" t="s">
        <v>754</v>
      </c>
      <c r="I161" t="s">
        <v>550</v>
      </c>
      <c r="K161" s="15" t="s">
        <v>547</v>
      </c>
      <c r="M161"/>
      <c r="N161" s="56"/>
    </row>
    <row r="162" spans="1:14" s="15" customFormat="1">
      <c r="A162" s="66"/>
      <c r="B162" s="66"/>
      <c r="C162" s="47" t="s">
        <v>772</v>
      </c>
      <c r="D162" t="s">
        <v>569</v>
      </c>
      <c r="E162"/>
      <c r="F162"/>
      <c r="G162" s="61"/>
      <c r="H162" s="3" t="s">
        <v>682</v>
      </c>
      <c r="I162" t="s">
        <v>550</v>
      </c>
      <c r="K162" s="15" t="s">
        <v>547</v>
      </c>
      <c r="M162"/>
      <c r="N162" s="56"/>
    </row>
    <row r="163" spans="1:14" s="15" customFormat="1">
      <c r="A163" s="66"/>
      <c r="B163" s="66"/>
      <c r="C163" s="47" t="s">
        <v>773</v>
      </c>
      <c r="D163" t="s">
        <v>569</v>
      </c>
      <c r="E163"/>
      <c r="F163"/>
      <c r="G163" s="61"/>
      <c r="H163" s="3" t="s">
        <v>757</v>
      </c>
      <c r="I163" t="s">
        <v>550</v>
      </c>
      <c r="K163" s="15" t="s">
        <v>547</v>
      </c>
      <c r="M163"/>
      <c r="N163" s="56"/>
    </row>
    <row r="164" spans="1:14" s="15" customFormat="1">
      <c r="A164" s="66"/>
      <c r="B164" s="66"/>
      <c r="C164" s="47" t="s">
        <v>774</v>
      </c>
      <c r="D164" t="s">
        <v>569</v>
      </c>
      <c r="E164"/>
      <c r="F164"/>
      <c r="G164" s="61"/>
      <c r="H164" s="3" t="s">
        <v>759</v>
      </c>
      <c r="I164" t="s">
        <v>550</v>
      </c>
      <c r="K164" s="15" t="s">
        <v>547</v>
      </c>
      <c r="M164"/>
      <c r="N164" s="56"/>
    </row>
    <row r="165" spans="1:14" s="15" customFormat="1">
      <c r="A165" s="66"/>
      <c r="B165" s="66"/>
      <c r="C165" s="47" t="s">
        <v>775</v>
      </c>
      <c r="D165" t="s">
        <v>569</v>
      </c>
      <c r="E165"/>
      <c r="F165"/>
      <c r="G165" s="61"/>
      <c r="H165" s="3" t="s">
        <v>752</v>
      </c>
      <c r="I165" t="s">
        <v>748</v>
      </c>
      <c r="K165" s="15" t="s">
        <v>547</v>
      </c>
      <c r="M165"/>
      <c r="N165" s="56"/>
    </row>
    <row r="166" spans="1:14" s="15" customFormat="1">
      <c r="A166" s="66"/>
      <c r="B166" s="66"/>
      <c r="C166" s="47" t="s">
        <v>776</v>
      </c>
      <c r="D166" t="s">
        <v>569</v>
      </c>
      <c r="E166"/>
      <c r="F166"/>
      <c r="G166" s="61"/>
      <c r="H166" s="3" t="s">
        <v>754</v>
      </c>
      <c r="I166" t="s">
        <v>748</v>
      </c>
      <c r="K166" s="15" t="s">
        <v>547</v>
      </c>
      <c r="M166"/>
      <c r="N166" s="56"/>
    </row>
    <row r="167" spans="1:14" s="15" customFormat="1">
      <c r="A167" s="66"/>
      <c r="B167" s="66"/>
      <c r="C167" s="47" t="s">
        <v>777</v>
      </c>
      <c r="D167" t="s">
        <v>569</v>
      </c>
      <c r="E167"/>
      <c r="F167"/>
      <c r="G167" s="61"/>
      <c r="H167" s="3" t="s">
        <v>682</v>
      </c>
      <c r="I167" t="s">
        <v>748</v>
      </c>
      <c r="K167" s="15" t="s">
        <v>547</v>
      </c>
      <c r="M167"/>
      <c r="N167" s="56"/>
    </row>
    <row r="168" spans="1:14" s="15" customFormat="1">
      <c r="A168" s="66"/>
      <c r="B168" s="66"/>
      <c r="C168" s="47" t="s">
        <v>778</v>
      </c>
      <c r="D168" t="s">
        <v>569</v>
      </c>
      <c r="E168"/>
      <c r="F168"/>
      <c r="G168" s="61"/>
      <c r="H168" s="3" t="s">
        <v>757</v>
      </c>
      <c r="I168" t="s">
        <v>748</v>
      </c>
      <c r="K168" s="15" t="s">
        <v>547</v>
      </c>
      <c r="M168"/>
      <c r="N168" s="56"/>
    </row>
    <row r="169" spans="1:14" s="15" customFormat="1">
      <c r="A169" s="66"/>
      <c r="B169" s="66"/>
      <c r="C169" s="47" t="s">
        <v>779</v>
      </c>
      <c r="D169" t="s">
        <v>569</v>
      </c>
      <c r="E169"/>
      <c r="F169"/>
      <c r="G169" s="61"/>
      <c r="H169" s="3" t="s">
        <v>759</v>
      </c>
      <c r="I169" t="s">
        <v>748</v>
      </c>
      <c r="K169" s="15" t="s">
        <v>547</v>
      </c>
      <c r="M169"/>
      <c r="N169" s="56"/>
    </row>
    <row r="170" spans="1:14" s="15" customFormat="1">
      <c r="A170" s="66"/>
      <c r="B170" s="66"/>
      <c r="C170" s="47" t="s">
        <v>780</v>
      </c>
      <c r="D170" t="s">
        <v>569</v>
      </c>
      <c r="E170"/>
      <c r="F170"/>
      <c r="G170" s="61"/>
      <c r="H170" s="3" t="s">
        <v>752</v>
      </c>
      <c r="I170" t="s">
        <v>620</v>
      </c>
      <c r="K170" s="15" t="s">
        <v>547</v>
      </c>
      <c r="M170"/>
      <c r="N170" s="56"/>
    </row>
    <row r="171" spans="1:14" s="15" customFormat="1">
      <c r="A171" s="66"/>
      <c r="B171" s="66"/>
      <c r="C171" s="47" t="s">
        <v>781</v>
      </c>
      <c r="D171" t="s">
        <v>569</v>
      </c>
      <c r="E171"/>
      <c r="F171"/>
      <c r="G171" s="61"/>
      <c r="H171" s="3" t="s">
        <v>754</v>
      </c>
      <c r="I171" t="s">
        <v>620</v>
      </c>
      <c r="K171" s="15" t="s">
        <v>547</v>
      </c>
      <c r="M171"/>
      <c r="N171" s="56"/>
    </row>
    <row r="172" spans="1:14" s="15" customFormat="1">
      <c r="A172" s="66"/>
      <c r="B172" s="66"/>
      <c r="C172" s="47" t="s">
        <v>782</v>
      </c>
      <c r="D172" t="s">
        <v>569</v>
      </c>
      <c r="E172"/>
      <c r="F172"/>
      <c r="G172" s="61"/>
      <c r="H172" s="3" t="s">
        <v>682</v>
      </c>
      <c r="I172" t="s">
        <v>620</v>
      </c>
      <c r="K172" s="15" t="s">
        <v>547</v>
      </c>
      <c r="M172"/>
      <c r="N172" s="56"/>
    </row>
    <row r="173" spans="1:14" s="15" customFormat="1">
      <c r="A173" s="66"/>
      <c r="B173" s="66"/>
      <c r="C173" s="47" t="s">
        <v>783</v>
      </c>
      <c r="D173" t="s">
        <v>569</v>
      </c>
      <c r="E173"/>
      <c r="F173"/>
      <c r="G173" s="61"/>
      <c r="H173" s="3" t="s">
        <v>757</v>
      </c>
      <c r="I173" t="s">
        <v>620</v>
      </c>
      <c r="K173" s="15" t="s">
        <v>547</v>
      </c>
      <c r="M173"/>
      <c r="N173" s="56"/>
    </row>
    <row r="174" spans="1:14" s="15" customFormat="1">
      <c r="A174" s="66"/>
      <c r="B174" s="66"/>
      <c r="C174" s="47" t="s">
        <v>784</v>
      </c>
      <c r="D174" t="s">
        <v>569</v>
      </c>
      <c r="E174"/>
      <c r="F174"/>
      <c r="G174" s="61"/>
      <c r="H174" s="3" t="s">
        <v>759</v>
      </c>
      <c r="I174" t="s">
        <v>620</v>
      </c>
      <c r="K174" s="15" t="s">
        <v>547</v>
      </c>
      <c r="M174"/>
      <c r="N174" s="56"/>
    </row>
    <row r="175" spans="1:14" s="15" customFormat="1">
      <c r="A175" s="66"/>
      <c r="B175" s="66"/>
      <c r="C175" s="47" t="s">
        <v>785</v>
      </c>
      <c r="D175" t="s">
        <v>569</v>
      </c>
      <c r="E175"/>
      <c r="F175"/>
      <c r="G175" s="61"/>
      <c r="H175" s="3" t="s">
        <v>752</v>
      </c>
      <c r="I175" t="s">
        <v>576</v>
      </c>
      <c r="K175" s="15" t="s">
        <v>547</v>
      </c>
      <c r="M175"/>
      <c r="N175" s="56"/>
    </row>
    <row r="176" spans="1:14" s="15" customFormat="1">
      <c r="A176" s="66"/>
      <c r="B176" s="66"/>
      <c r="C176" s="47" t="s">
        <v>786</v>
      </c>
      <c r="D176" t="s">
        <v>569</v>
      </c>
      <c r="E176"/>
      <c r="F176"/>
      <c r="G176" s="61"/>
      <c r="H176" s="3" t="s">
        <v>754</v>
      </c>
      <c r="I176" t="s">
        <v>576</v>
      </c>
      <c r="K176" s="15" t="s">
        <v>547</v>
      </c>
      <c r="M176"/>
      <c r="N176" s="56"/>
    </row>
    <row r="177" spans="1:14" s="15" customFormat="1">
      <c r="A177" s="66"/>
      <c r="B177" s="66"/>
      <c r="C177" s="47" t="s">
        <v>787</v>
      </c>
      <c r="D177" t="s">
        <v>569</v>
      </c>
      <c r="E177"/>
      <c r="F177"/>
      <c r="G177" s="61"/>
      <c r="H177" s="3" t="s">
        <v>682</v>
      </c>
      <c r="I177" t="s">
        <v>576</v>
      </c>
      <c r="K177" s="15" t="s">
        <v>547</v>
      </c>
      <c r="M177"/>
      <c r="N177" s="56"/>
    </row>
    <row r="178" spans="1:14" s="15" customFormat="1">
      <c r="A178" s="66"/>
      <c r="B178" s="66"/>
      <c r="C178" s="47" t="s">
        <v>788</v>
      </c>
      <c r="D178" t="s">
        <v>569</v>
      </c>
      <c r="E178"/>
      <c r="F178"/>
      <c r="G178" s="61"/>
      <c r="H178" s="3" t="s">
        <v>757</v>
      </c>
      <c r="I178" t="s">
        <v>576</v>
      </c>
      <c r="K178" s="15" t="s">
        <v>547</v>
      </c>
      <c r="M178"/>
      <c r="N178" s="56"/>
    </row>
    <row r="179" spans="1:14" s="15" customFormat="1">
      <c r="A179" s="66"/>
      <c r="B179" s="66"/>
      <c r="C179" s="47" t="s">
        <v>789</v>
      </c>
      <c r="D179" t="s">
        <v>569</v>
      </c>
      <c r="E179"/>
      <c r="F179"/>
      <c r="G179" s="61"/>
      <c r="H179" s="3" t="s">
        <v>759</v>
      </c>
      <c r="I179" t="s">
        <v>576</v>
      </c>
      <c r="K179" s="15" t="s">
        <v>547</v>
      </c>
      <c r="M179"/>
      <c r="N179" s="56"/>
    </row>
    <row r="180" spans="1:14" s="15" customFormat="1">
      <c r="A180" s="66"/>
      <c r="B180" s="66"/>
      <c r="C180" s="47" t="s">
        <v>790</v>
      </c>
      <c r="D180" t="s">
        <v>632</v>
      </c>
      <c r="E180"/>
      <c r="F180"/>
      <c r="G180" s="61"/>
      <c r="H180" s="3"/>
      <c r="I180"/>
      <c r="M180"/>
      <c r="N180" s="56"/>
    </row>
    <row r="181" spans="1:14" s="15" customFormat="1">
      <c r="A181" s="66"/>
      <c r="B181" s="66"/>
      <c r="C181" s="47" t="s">
        <v>791</v>
      </c>
      <c r="D181" t="s">
        <v>632</v>
      </c>
      <c r="E181"/>
      <c r="F181"/>
      <c r="G181" s="61"/>
      <c r="H181" s="3"/>
      <c r="I181"/>
      <c r="M181"/>
      <c r="N181" s="56"/>
    </row>
    <row r="182" spans="1:14" s="15" customFormat="1">
      <c r="A182" s="66"/>
      <c r="B182" s="66"/>
      <c r="C182" s="47" t="s">
        <v>792</v>
      </c>
      <c r="D182" t="s">
        <v>632</v>
      </c>
      <c r="E182"/>
      <c r="F182"/>
      <c r="G182" s="61"/>
      <c r="H182" s="3"/>
      <c r="I182"/>
      <c r="M182"/>
      <c r="N182" s="56"/>
    </row>
    <row r="183" spans="1:14" s="15" customFormat="1">
      <c r="A183" s="66"/>
      <c r="B183" s="66"/>
      <c r="C183" s="47" t="s">
        <v>793</v>
      </c>
      <c r="D183" t="s">
        <v>632</v>
      </c>
      <c r="E183"/>
      <c r="F183"/>
      <c r="G183" s="61"/>
      <c r="H183" s="3"/>
      <c r="I183"/>
      <c r="M183"/>
      <c r="N183" s="56"/>
    </row>
    <row r="184" spans="1:14" s="15" customFormat="1">
      <c r="A184" s="66"/>
      <c r="B184" s="66"/>
      <c r="C184" s="47" t="s">
        <v>794</v>
      </c>
      <c r="D184" t="s">
        <v>632</v>
      </c>
      <c r="E184"/>
      <c r="F184"/>
      <c r="G184" s="61"/>
      <c r="H184" s="3"/>
      <c r="I184"/>
      <c r="M184"/>
      <c r="N184" s="56"/>
    </row>
    <row r="185" spans="1:14" s="15" customFormat="1">
      <c r="A185" s="66"/>
      <c r="B185" s="66"/>
      <c r="C185" s="47" t="s">
        <v>795</v>
      </c>
      <c r="D185" t="s">
        <v>632</v>
      </c>
      <c r="E185"/>
      <c r="F185"/>
      <c r="G185" s="61"/>
      <c r="H185" s="3"/>
      <c r="I185"/>
      <c r="M185"/>
      <c r="N185" s="56"/>
    </row>
    <row r="186" spans="1:14" s="15" customFormat="1">
      <c r="A186" s="66"/>
      <c r="B186" s="66"/>
      <c r="C186" s="47" t="s">
        <v>796</v>
      </c>
      <c r="D186" t="s">
        <v>632</v>
      </c>
      <c r="E186"/>
      <c r="F186"/>
      <c r="G186" s="61"/>
      <c r="H186" s="3"/>
      <c r="I186"/>
      <c r="M186"/>
      <c r="N186" s="56"/>
    </row>
    <row r="187" spans="1:14" s="15" customFormat="1">
      <c r="A187" s="66"/>
      <c r="B187" s="66"/>
      <c r="C187" s="47" t="s">
        <v>797</v>
      </c>
      <c r="D187" t="s">
        <v>632</v>
      </c>
      <c r="E187"/>
      <c r="F187"/>
      <c r="G187" s="61"/>
      <c r="H187" s="3"/>
      <c r="I187"/>
      <c r="M187"/>
      <c r="N187" s="56"/>
    </row>
    <row r="188" spans="1:14" s="15" customFormat="1">
      <c r="A188" s="66"/>
      <c r="B188" s="66"/>
      <c r="C188" s="47" t="s">
        <v>798</v>
      </c>
      <c r="D188" t="s">
        <v>632</v>
      </c>
      <c r="E188"/>
      <c r="F188"/>
      <c r="G188" s="61"/>
      <c r="H188" s="3"/>
      <c r="I188"/>
      <c r="M188"/>
      <c r="N188" s="56"/>
    </row>
    <row r="189" spans="1:14" s="15" customFormat="1">
      <c r="A189" s="66"/>
      <c r="B189" s="66"/>
      <c r="C189" s="47" t="s">
        <v>799</v>
      </c>
      <c r="D189" t="s">
        <v>632</v>
      </c>
      <c r="E189"/>
      <c r="F189"/>
      <c r="G189" s="61"/>
      <c r="H189" s="3"/>
      <c r="I189"/>
      <c r="M189"/>
      <c r="N189" s="56"/>
    </row>
    <row r="190" spans="1:14" s="15" customFormat="1">
      <c r="A190" s="66"/>
      <c r="B190" s="66"/>
      <c r="C190" s="47" t="s">
        <v>800</v>
      </c>
      <c r="D190" t="s">
        <v>632</v>
      </c>
      <c r="E190"/>
      <c r="F190"/>
      <c r="G190" s="61"/>
      <c r="H190" s="3"/>
      <c r="I190"/>
      <c r="M190"/>
      <c r="N190" s="56"/>
    </row>
    <row r="191" spans="1:14" s="15" customFormat="1">
      <c r="A191" s="66"/>
      <c r="B191" s="66"/>
      <c r="C191" s="47" t="s">
        <v>801</v>
      </c>
      <c r="D191" t="s">
        <v>632</v>
      </c>
      <c r="E191"/>
      <c r="F191"/>
      <c r="G191" s="61"/>
      <c r="H191" s="3"/>
      <c r="I191"/>
      <c r="M191"/>
      <c r="N191" s="56"/>
    </row>
    <row r="192" spans="1:14" s="15" customFormat="1">
      <c r="A192" s="66"/>
      <c r="B192" s="66"/>
      <c r="C192" s="47" t="s">
        <v>802</v>
      </c>
      <c r="D192" t="s">
        <v>632</v>
      </c>
      <c r="E192"/>
      <c r="F192"/>
      <c r="G192" s="61"/>
      <c r="H192" s="3"/>
      <c r="I192"/>
      <c r="M192"/>
      <c r="N192" s="56"/>
    </row>
    <row r="193" spans="1:14" s="15" customFormat="1">
      <c r="A193" s="66"/>
      <c r="B193" s="66"/>
      <c r="C193" s="47" t="s">
        <v>803</v>
      </c>
      <c r="D193" t="s">
        <v>632</v>
      </c>
      <c r="E193"/>
      <c r="F193"/>
      <c r="G193" s="61"/>
      <c r="H193" s="3"/>
      <c r="I193"/>
      <c r="M193"/>
      <c r="N193" s="56"/>
    </row>
    <row r="194" spans="1:14" s="15" customFormat="1">
      <c r="A194" s="66"/>
      <c r="B194" s="66"/>
      <c r="C194" s="47" t="s">
        <v>804</v>
      </c>
      <c r="D194" t="s">
        <v>632</v>
      </c>
      <c r="E194"/>
      <c r="F194"/>
      <c r="G194" s="61"/>
      <c r="H194" s="3"/>
      <c r="I194"/>
      <c r="M194"/>
      <c r="N194" s="56"/>
    </row>
    <row r="195" spans="1:14" s="15" customFormat="1">
      <c r="A195" s="66"/>
      <c r="B195" s="66"/>
      <c r="C195" s="47" t="s">
        <v>805</v>
      </c>
      <c r="D195" t="s">
        <v>632</v>
      </c>
      <c r="E195"/>
      <c r="F195"/>
      <c r="G195" s="61"/>
      <c r="H195" s="3"/>
      <c r="I195"/>
      <c r="M195"/>
      <c r="N195" s="56"/>
    </row>
    <row r="196" spans="1:14" s="15" customFormat="1">
      <c r="A196" s="66"/>
      <c r="B196" s="66"/>
      <c r="C196" s="47" t="s">
        <v>806</v>
      </c>
      <c r="D196" t="s">
        <v>632</v>
      </c>
      <c r="E196"/>
      <c r="F196"/>
      <c r="G196" s="61"/>
      <c r="H196" s="3"/>
      <c r="I196"/>
      <c r="M196"/>
      <c r="N196" s="56"/>
    </row>
    <row r="197" spans="1:14" s="15" customFormat="1">
      <c r="A197" s="66"/>
      <c r="B197" s="66"/>
      <c r="C197" s="47" t="s">
        <v>807</v>
      </c>
      <c r="D197" t="s">
        <v>632</v>
      </c>
      <c r="E197"/>
      <c r="F197"/>
      <c r="G197" s="61"/>
      <c r="H197" s="3"/>
      <c r="I197"/>
      <c r="M197"/>
      <c r="N197" s="56"/>
    </row>
    <row r="198" spans="1:14" s="15" customFormat="1">
      <c r="A198" s="66"/>
      <c r="B198" s="66"/>
      <c r="C198" s="47" t="s">
        <v>808</v>
      </c>
      <c r="D198" t="s">
        <v>632</v>
      </c>
      <c r="E198"/>
      <c r="F198"/>
      <c r="G198" s="61"/>
      <c r="H198" s="3"/>
      <c r="I198"/>
      <c r="M198"/>
      <c r="N198" s="56"/>
    </row>
    <row r="199" spans="1:14" s="15" customFormat="1">
      <c r="A199" s="66"/>
      <c r="B199" s="66"/>
      <c r="C199" s="47" t="s">
        <v>809</v>
      </c>
      <c r="D199" t="s">
        <v>632</v>
      </c>
      <c r="E199"/>
      <c r="F199"/>
      <c r="G199" s="61"/>
      <c r="H199" s="3"/>
      <c r="I199"/>
      <c r="M199"/>
      <c r="N199" s="56"/>
    </row>
    <row r="200" spans="1:14" s="15" customFormat="1">
      <c r="A200" s="66"/>
      <c r="B200" s="66"/>
      <c r="C200" s="47" t="s">
        <v>810</v>
      </c>
      <c r="D200" t="s">
        <v>632</v>
      </c>
      <c r="E200"/>
      <c r="F200"/>
      <c r="G200" s="61"/>
      <c r="H200" s="3"/>
      <c r="I200"/>
      <c r="M200"/>
      <c r="N200" s="56"/>
    </row>
    <row r="201" spans="1:14" s="15" customFormat="1">
      <c r="A201" s="66"/>
      <c r="B201" s="66"/>
      <c r="C201" s="47" t="s">
        <v>811</v>
      </c>
      <c r="D201" t="s">
        <v>632</v>
      </c>
      <c r="E201"/>
      <c r="F201"/>
      <c r="G201" s="61"/>
      <c r="H201" s="3"/>
      <c r="I201"/>
      <c r="M201"/>
      <c r="N201" s="56"/>
    </row>
    <row r="202" spans="1:14" s="15" customFormat="1">
      <c r="A202" s="66"/>
      <c r="B202" s="66"/>
      <c r="C202" s="47" t="s">
        <v>812</v>
      </c>
      <c r="D202" t="s">
        <v>632</v>
      </c>
      <c r="E202"/>
      <c r="F202"/>
      <c r="G202" s="61"/>
      <c r="H202" s="3"/>
      <c r="I202"/>
      <c r="M202"/>
      <c r="N202" s="56"/>
    </row>
    <row r="203" spans="1:14" s="15" customFormat="1">
      <c r="A203" s="66"/>
      <c r="B203" s="66"/>
      <c r="C203" s="47" t="s">
        <v>813</v>
      </c>
      <c r="D203" t="s">
        <v>632</v>
      </c>
      <c r="E203"/>
      <c r="F203"/>
      <c r="G203" s="61"/>
      <c r="H203" s="3"/>
      <c r="I203"/>
      <c r="M203"/>
      <c r="N203" s="56"/>
    </row>
    <row r="204" spans="1:14" s="15" customFormat="1">
      <c r="A204" s="66"/>
      <c r="B204" s="66"/>
      <c r="C204" s="47" t="s">
        <v>814</v>
      </c>
      <c r="D204" t="s">
        <v>632</v>
      </c>
      <c r="E204"/>
      <c r="F204"/>
      <c r="G204" s="61"/>
      <c r="H204" s="3"/>
      <c r="I204"/>
      <c r="M204"/>
      <c r="N204" s="56"/>
    </row>
    <row r="205" spans="1:14" s="15" customFormat="1">
      <c r="A205" s="66"/>
      <c r="B205" s="66"/>
      <c r="C205" s="47" t="s">
        <v>815</v>
      </c>
      <c r="D205" t="s">
        <v>632</v>
      </c>
      <c r="E205"/>
      <c r="F205"/>
      <c r="G205" s="61"/>
      <c r="H205" s="3"/>
      <c r="I205"/>
      <c r="M205"/>
      <c r="N205" s="56"/>
    </row>
    <row r="206" spans="1:14" s="15" customFormat="1">
      <c r="A206" s="66"/>
      <c r="B206" s="66"/>
      <c r="C206" s="47" t="s">
        <v>816</v>
      </c>
      <c r="D206" t="s">
        <v>632</v>
      </c>
      <c r="E206"/>
      <c r="F206"/>
      <c r="G206" s="61"/>
      <c r="H206" s="3"/>
      <c r="I206"/>
      <c r="M206"/>
      <c r="N206" s="56"/>
    </row>
    <row r="207" spans="1:14" s="15" customFormat="1">
      <c r="A207" s="66"/>
      <c r="B207" s="66"/>
      <c r="C207" s="47" t="s">
        <v>817</v>
      </c>
      <c r="D207" t="s">
        <v>632</v>
      </c>
      <c r="E207"/>
      <c r="F207"/>
      <c r="G207" s="61"/>
      <c r="H207" s="3"/>
      <c r="I207"/>
      <c r="M207"/>
      <c r="N207" s="56"/>
    </row>
    <row r="208" spans="1:14" s="15" customFormat="1">
      <c r="A208" s="66"/>
      <c r="B208" s="66"/>
      <c r="C208" s="47" t="s">
        <v>818</v>
      </c>
      <c r="D208" t="s">
        <v>632</v>
      </c>
      <c r="E208"/>
      <c r="F208"/>
      <c r="G208" s="61"/>
      <c r="H208" s="3"/>
      <c r="I208"/>
      <c r="M208"/>
      <c r="N208" s="56"/>
    </row>
    <row r="209" spans="1:14" s="15" customFormat="1">
      <c r="A209" s="66"/>
      <c r="B209" s="66"/>
      <c r="C209" s="47" t="s">
        <v>819</v>
      </c>
      <c r="D209" t="s">
        <v>632</v>
      </c>
      <c r="E209"/>
      <c r="F209"/>
      <c r="G209" s="61"/>
      <c r="H209" s="3"/>
      <c r="I209"/>
      <c r="M209"/>
      <c r="N209" s="56"/>
    </row>
    <row r="210" spans="1:14" s="15" customFormat="1">
      <c r="A210" s="66"/>
      <c r="B210" s="66"/>
      <c r="C210" s="47" t="s">
        <v>820</v>
      </c>
      <c r="D210" t="s">
        <v>632</v>
      </c>
      <c r="E210"/>
      <c r="F210"/>
      <c r="G210" s="61"/>
      <c r="H210" s="3"/>
      <c r="I210"/>
      <c r="M210"/>
      <c r="N210" s="56"/>
    </row>
    <row r="211" spans="1:14">
      <c r="A211" s="66"/>
      <c r="B211" s="66"/>
      <c r="C211" s="47" t="s">
        <v>821</v>
      </c>
      <c r="D211" t="s">
        <v>632</v>
      </c>
      <c r="F211"/>
      <c r="H211" s="3"/>
      <c r="I211"/>
      <c r="N211" s="56"/>
    </row>
    <row r="212" spans="1:14">
      <c r="A212" s="66"/>
      <c r="B212" s="66"/>
      <c r="C212" s="47" t="s">
        <v>822</v>
      </c>
      <c r="D212" t="s">
        <v>632</v>
      </c>
      <c r="F212"/>
      <c r="H212" s="3"/>
      <c r="I212"/>
      <c r="N212" s="56"/>
    </row>
    <row r="213" spans="1:14">
      <c r="A213" s="66"/>
      <c r="B213" s="66"/>
      <c r="C213" s="47" t="s">
        <v>823</v>
      </c>
      <c r="D213" t="s">
        <v>632</v>
      </c>
      <c r="F213"/>
      <c r="H213" s="3"/>
      <c r="I213"/>
      <c r="N213" s="56"/>
    </row>
    <row r="214" spans="1:14">
      <c r="A214" s="66"/>
      <c r="B214" s="66"/>
      <c r="C214" s="47" t="s">
        <v>824</v>
      </c>
      <c r="D214" t="s">
        <v>632</v>
      </c>
      <c r="F214"/>
      <c r="H214" s="3"/>
      <c r="I214"/>
      <c r="N214" s="56"/>
    </row>
    <row r="215" spans="1:14">
      <c r="A215" s="66"/>
      <c r="B215" s="66"/>
      <c r="C215" s="47" t="s">
        <v>825</v>
      </c>
      <c r="D215" t="s">
        <v>632</v>
      </c>
      <c r="F215"/>
      <c r="H215" s="3"/>
      <c r="I215"/>
      <c r="N215" s="56"/>
    </row>
    <row r="216" spans="1:14">
      <c r="A216" s="66"/>
      <c r="B216" s="66"/>
      <c r="C216" s="47" t="s">
        <v>826</v>
      </c>
      <c r="D216" t="s">
        <v>632</v>
      </c>
      <c r="F216"/>
      <c r="H216" s="3"/>
      <c r="I216"/>
      <c r="N216" s="56"/>
    </row>
    <row r="217" spans="1:14">
      <c r="A217" s="66"/>
      <c r="B217" s="66"/>
      <c r="C217" s="47" t="s">
        <v>827</v>
      </c>
      <c r="D217" t="s">
        <v>632</v>
      </c>
      <c r="F217"/>
      <c r="H217" s="3"/>
      <c r="I217"/>
      <c r="N217" s="56"/>
    </row>
    <row r="218" spans="1:14">
      <c r="A218" s="66"/>
      <c r="B218" s="66"/>
      <c r="C218" s="47" t="s">
        <v>828</v>
      </c>
      <c r="D218" t="s">
        <v>632</v>
      </c>
      <c r="F218"/>
      <c r="H218" s="3"/>
      <c r="I218"/>
      <c r="N218" s="56"/>
    </row>
    <row r="219" spans="1:14">
      <c r="A219" s="66"/>
      <c r="B219" s="66"/>
      <c r="C219" s="47" t="s">
        <v>829</v>
      </c>
      <c r="D219" t="s">
        <v>632</v>
      </c>
      <c r="F219"/>
      <c r="H219" s="3"/>
      <c r="I219"/>
      <c r="N219" s="56"/>
    </row>
    <row r="220" spans="1:14">
      <c r="A220" s="66"/>
      <c r="B220" s="66"/>
      <c r="C220" s="47" t="s">
        <v>830</v>
      </c>
      <c r="D220" t="s">
        <v>632</v>
      </c>
      <c r="F220"/>
      <c r="H220" s="3"/>
      <c r="I220"/>
      <c r="N220" s="56"/>
    </row>
    <row r="221" spans="1:14">
      <c r="A221" s="66"/>
      <c r="B221" s="66"/>
      <c r="C221" s="47" t="s">
        <v>831</v>
      </c>
      <c r="D221" t="s">
        <v>632</v>
      </c>
      <c r="F221"/>
      <c r="H221" s="3"/>
      <c r="I221"/>
      <c r="N221" s="56"/>
    </row>
    <row r="222" spans="1:14">
      <c r="A222" s="66"/>
      <c r="B222" s="66"/>
      <c r="C222" s="47" t="s">
        <v>832</v>
      </c>
      <c r="D222" t="s">
        <v>632</v>
      </c>
      <c r="F222"/>
      <c r="H222" s="3"/>
      <c r="I222"/>
      <c r="N222" s="56"/>
    </row>
    <row r="223" spans="1:14">
      <c r="A223" s="66"/>
      <c r="B223" s="66"/>
      <c r="C223" s="47" t="s">
        <v>833</v>
      </c>
      <c r="D223" t="s">
        <v>632</v>
      </c>
      <c r="F223"/>
      <c r="H223" s="3"/>
      <c r="I223"/>
      <c r="N223" s="56"/>
    </row>
    <row r="224" spans="1:14">
      <c r="A224" s="66"/>
      <c r="B224" s="66"/>
      <c r="C224" s="47" t="s">
        <v>834</v>
      </c>
      <c r="D224" t="s">
        <v>632</v>
      </c>
      <c r="F224"/>
      <c r="H224" s="3"/>
      <c r="I224"/>
      <c r="N224" s="56"/>
    </row>
    <row r="225" spans="1:14">
      <c r="A225" s="66"/>
      <c r="B225" s="66"/>
      <c r="C225" s="47" t="s">
        <v>835</v>
      </c>
      <c r="D225" t="s">
        <v>543</v>
      </c>
      <c r="F225">
        <v>1</v>
      </c>
      <c r="G225" s="61">
        <v>79.1875</v>
      </c>
      <c r="H225" s="3" t="s">
        <v>609</v>
      </c>
      <c r="I225" t="s">
        <v>545</v>
      </c>
      <c r="J225" s="15" t="s">
        <v>546</v>
      </c>
      <c r="K225" s="15" t="s">
        <v>547</v>
      </c>
      <c r="L225" s="15" t="s">
        <v>546</v>
      </c>
      <c r="N225" s="56"/>
    </row>
    <row r="226" spans="1:14">
      <c r="A226" s="66"/>
      <c r="B226" s="66"/>
      <c r="C226" s="47" t="s">
        <v>836</v>
      </c>
      <c r="D226" t="s">
        <v>569</v>
      </c>
      <c r="F226"/>
      <c r="H226" s="3" t="s">
        <v>609</v>
      </c>
      <c r="I226" t="s">
        <v>545</v>
      </c>
      <c r="K226" s="15" t="s">
        <v>547</v>
      </c>
      <c r="N226" s="56"/>
    </row>
    <row r="227" spans="1:14">
      <c r="A227" s="66"/>
      <c r="B227" s="66"/>
      <c r="C227" s="47" t="s">
        <v>837</v>
      </c>
      <c r="D227" t="s">
        <v>543</v>
      </c>
      <c r="F227">
        <v>1</v>
      </c>
      <c r="G227" s="61">
        <v>78.494699999999995</v>
      </c>
      <c r="H227" s="3">
        <v>0.85</v>
      </c>
      <c r="I227" t="s">
        <v>609</v>
      </c>
      <c r="J227" s="15" t="s">
        <v>546</v>
      </c>
      <c r="K227" s="15" t="s">
        <v>547</v>
      </c>
      <c r="L227" s="15" t="s">
        <v>546</v>
      </c>
      <c r="N227" s="56"/>
    </row>
    <row r="228" spans="1:14">
      <c r="A228" s="66"/>
      <c r="B228" s="66"/>
      <c r="C228" s="47" t="s">
        <v>838</v>
      </c>
      <c r="D228" t="s">
        <v>569</v>
      </c>
      <c r="F228"/>
      <c r="H228" s="3">
        <v>0.85</v>
      </c>
      <c r="I228" t="s">
        <v>609</v>
      </c>
      <c r="K228" s="15" t="s">
        <v>547</v>
      </c>
      <c r="N228" s="56"/>
    </row>
    <row r="229" spans="1:14">
      <c r="A229" s="66"/>
      <c r="B229" s="66"/>
      <c r="C229" s="47" t="s">
        <v>839</v>
      </c>
      <c r="D229" t="s">
        <v>561</v>
      </c>
      <c r="F229">
        <v>1</v>
      </c>
      <c r="G229" s="61">
        <v>159.625</v>
      </c>
      <c r="H229" s="3">
        <v>0</v>
      </c>
      <c r="I229" t="s">
        <v>609</v>
      </c>
      <c r="K229" s="15" t="s">
        <v>547</v>
      </c>
      <c r="N229" s="56"/>
    </row>
    <row r="230" spans="1:14">
      <c r="A230" s="64"/>
      <c r="B230" s="64"/>
      <c r="C230" s="48" t="s">
        <v>840</v>
      </c>
      <c r="D230" s="54"/>
      <c r="E230" s="54"/>
      <c r="F230" s="84"/>
      <c r="G230" s="85"/>
      <c r="H230" s="91"/>
      <c r="I230" s="54"/>
      <c r="J230" s="86"/>
      <c r="K230" s="86"/>
      <c r="L230" s="86"/>
      <c r="M230" s="54"/>
      <c r="N230" s="57"/>
    </row>
    <row r="231" spans="1:14">
      <c r="A231" s="66"/>
      <c r="B231" s="66"/>
      <c r="C231" s="47"/>
      <c r="D231"/>
      <c r="F231" s="1"/>
      <c r="H231" s="3"/>
      <c r="I231"/>
      <c r="N231" s="56"/>
    </row>
    <row r="232" spans="1:14">
      <c r="A232" s="63" t="s">
        <v>369</v>
      </c>
      <c r="B232" s="63" t="s">
        <v>369</v>
      </c>
      <c r="C232" s="13" t="s">
        <v>841</v>
      </c>
      <c r="D232" s="53" t="s">
        <v>639</v>
      </c>
      <c r="E232" s="53"/>
      <c r="F232" s="53"/>
      <c r="G232" s="82"/>
      <c r="H232" s="88" t="s">
        <v>842</v>
      </c>
      <c r="I232" s="53" t="s">
        <v>552</v>
      </c>
      <c r="J232" s="83"/>
      <c r="K232" s="83" t="s">
        <v>547</v>
      </c>
      <c r="L232" s="83"/>
      <c r="M232" s="53"/>
      <c r="N232" s="55"/>
    </row>
    <row r="233" spans="1:14">
      <c r="A233" s="66"/>
      <c r="B233" s="66"/>
      <c r="C233" s="47" t="s">
        <v>843</v>
      </c>
      <c r="D233" t="s">
        <v>543</v>
      </c>
      <c r="F233">
        <v>1</v>
      </c>
      <c r="G233" s="61">
        <v>73.101399999999998</v>
      </c>
      <c r="H233" s="3" t="s">
        <v>844</v>
      </c>
      <c r="I233" t="s">
        <v>545</v>
      </c>
      <c r="J233" s="15" t="s">
        <v>546</v>
      </c>
      <c r="K233" s="15" t="s">
        <v>547</v>
      </c>
      <c r="L233" s="15" t="s">
        <v>546</v>
      </c>
      <c r="N233" s="56"/>
    </row>
    <row r="234" spans="1:14">
      <c r="A234" s="66"/>
      <c r="B234" s="66"/>
      <c r="C234" s="47" t="s">
        <v>845</v>
      </c>
      <c r="D234" t="s">
        <v>569</v>
      </c>
      <c r="F234"/>
      <c r="H234" s="3" t="s">
        <v>844</v>
      </c>
      <c r="I234" t="s">
        <v>545</v>
      </c>
      <c r="K234" s="15" t="s">
        <v>547</v>
      </c>
      <c r="N234" s="56"/>
    </row>
    <row r="235" spans="1:14">
      <c r="A235" s="66"/>
      <c r="B235" s="66"/>
      <c r="C235" s="47" t="s">
        <v>846</v>
      </c>
      <c r="D235" t="s">
        <v>543</v>
      </c>
      <c r="F235">
        <v>1</v>
      </c>
      <c r="G235" s="61">
        <v>71.224900000000005</v>
      </c>
      <c r="H235" s="3" t="s">
        <v>847</v>
      </c>
      <c r="I235" t="s">
        <v>552</v>
      </c>
      <c r="J235" s="15" t="s">
        <v>546</v>
      </c>
      <c r="K235" s="15" t="s">
        <v>547</v>
      </c>
      <c r="L235" s="15" t="s">
        <v>546</v>
      </c>
      <c r="N235" s="56"/>
    </row>
    <row r="236" spans="1:14">
      <c r="A236" s="66"/>
      <c r="B236" s="66"/>
      <c r="C236" s="47" t="s">
        <v>848</v>
      </c>
      <c r="D236" t="s">
        <v>569</v>
      </c>
      <c r="F236"/>
      <c r="H236" s="3" t="s">
        <v>847</v>
      </c>
      <c r="I236" t="s">
        <v>552</v>
      </c>
      <c r="K236" s="15" t="s">
        <v>547</v>
      </c>
      <c r="N236" s="56"/>
    </row>
    <row r="237" spans="1:14">
      <c r="A237" s="66"/>
      <c r="B237" s="66"/>
      <c r="C237" s="47" t="s">
        <v>849</v>
      </c>
      <c r="D237" t="s">
        <v>543</v>
      </c>
      <c r="F237">
        <v>1</v>
      </c>
      <c r="G237" s="61">
        <v>72.438599999999994</v>
      </c>
      <c r="H237" s="3" t="s">
        <v>850</v>
      </c>
      <c r="I237" t="s">
        <v>620</v>
      </c>
      <c r="J237" s="15" t="s">
        <v>546</v>
      </c>
      <c r="K237" s="15" t="s">
        <v>547</v>
      </c>
      <c r="L237" s="15" t="s">
        <v>546</v>
      </c>
      <c r="N237" s="56"/>
    </row>
    <row r="238" spans="1:14">
      <c r="A238" s="66"/>
      <c r="B238" s="66"/>
      <c r="C238" s="47" t="s">
        <v>851</v>
      </c>
      <c r="D238" t="s">
        <v>569</v>
      </c>
      <c r="F238"/>
      <c r="H238" s="3" t="s">
        <v>850</v>
      </c>
      <c r="I238" t="s">
        <v>620</v>
      </c>
      <c r="K238" s="15" t="s">
        <v>547</v>
      </c>
      <c r="N238" s="56"/>
    </row>
    <row r="239" spans="1:14">
      <c r="A239" s="66"/>
      <c r="B239" s="66"/>
      <c r="C239" s="47" t="s">
        <v>852</v>
      </c>
      <c r="D239" t="s">
        <v>632</v>
      </c>
      <c r="F239"/>
      <c r="H239" s="3"/>
      <c r="I239"/>
      <c r="N239" s="56"/>
    </row>
    <row r="240" spans="1:14">
      <c r="A240" s="66"/>
      <c r="B240" s="66"/>
      <c r="C240" s="47" t="s">
        <v>853</v>
      </c>
      <c r="D240" t="s">
        <v>543</v>
      </c>
      <c r="F240">
        <v>1</v>
      </c>
      <c r="G240" s="61">
        <v>71.872900000000001</v>
      </c>
      <c r="H240" s="3" t="s">
        <v>850</v>
      </c>
      <c r="I240" t="s">
        <v>552</v>
      </c>
      <c r="J240" s="15" t="s">
        <v>546</v>
      </c>
      <c r="K240" s="15" t="s">
        <v>547</v>
      </c>
      <c r="L240" s="15" t="s">
        <v>546</v>
      </c>
      <c r="N240" s="56"/>
    </row>
    <row r="241" spans="1:14">
      <c r="A241" s="66"/>
      <c r="B241" s="66"/>
      <c r="C241" s="47" t="s">
        <v>854</v>
      </c>
      <c r="D241" t="s">
        <v>569</v>
      </c>
      <c r="F241"/>
      <c r="H241" s="3" t="s">
        <v>850</v>
      </c>
      <c r="I241" t="s">
        <v>552</v>
      </c>
      <c r="K241" s="15" t="s">
        <v>547</v>
      </c>
      <c r="N241" s="56"/>
    </row>
    <row r="242" spans="1:14">
      <c r="A242" s="66"/>
      <c r="B242" s="66"/>
      <c r="C242" s="47" t="s">
        <v>855</v>
      </c>
      <c r="D242" t="s">
        <v>632</v>
      </c>
      <c r="F242"/>
      <c r="H242" s="3"/>
      <c r="I242"/>
      <c r="N242" s="56"/>
    </row>
    <row r="243" spans="1:14" s="119" customFormat="1">
      <c r="A243" s="118"/>
      <c r="B243" s="7"/>
      <c r="G243" s="120"/>
      <c r="H243" s="121"/>
      <c r="J243" s="122"/>
      <c r="K243" s="122"/>
      <c r="L243" s="122"/>
      <c r="N243" s="129"/>
    </row>
    <row r="244" spans="1:14">
      <c r="A244" s="63" t="s">
        <v>360</v>
      </c>
      <c r="B244" s="66" t="s">
        <v>367</v>
      </c>
      <c r="C244" t="s">
        <v>856</v>
      </c>
      <c r="D244" t="s">
        <v>561</v>
      </c>
      <c r="F244">
        <v>1</v>
      </c>
      <c r="G244" s="61">
        <v>199.934</v>
      </c>
      <c r="H244" s="3">
        <v>0</v>
      </c>
      <c r="I244" t="s">
        <v>554</v>
      </c>
      <c r="K244" s="15" t="s">
        <v>547</v>
      </c>
      <c r="N244" s="56"/>
    </row>
    <row r="245" spans="1:14">
      <c r="A245" s="66"/>
      <c r="B245" s="66"/>
      <c r="C245" t="s">
        <v>857</v>
      </c>
      <c r="D245"/>
      <c r="F245"/>
      <c r="H245" s="3"/>
      <c r="I245"/>
      <c r="N245" s="56"/>
    </row>
    <row r="246" spans="1:14">
      <c r="A246" s="66"/>
      <c r="B246" s="66"/>
      <c r="C246" t="s">
        <v>858</v>
      </c>
      <c r="D246"/>
      <c r="F246"/>
      <c r="H246" s="3"/>
      <c r="I246"/>
      <c r="N246" s="56"/>
    </row>
    <row r="247" spans="1:14">
      <c r="A247" s="66"/>
      <c r="B247" s="66"/>
      <c r="C247" t="s">
        <v>859</v>
      </c>
      <c r="D247" t="s">
        <v>561</v>
      </c>
      <c r="F247" s="1">
        <v>1</v>
      </c>
      <c r="G247" s="61">
        <v>92.910899999999998</v>
      </c>
      <c r="H247" s="3">
        <v>-0.1</v>
      </c>
      <c r="I247" t="s">
        <v>554</v>
      </c>
      <c r="K247" s="15" t="s">
        <v>547</v>
      </c>
      <c r="N247" s="56"/>
    </row>
    <row r="248" spans="1:14">
      <c r="A248" s="66"/>
      <c r="B248" s="66"/>
      <c r="C248" t="s">
        <v>860</v>
      </c>
      <c r="D248" t="s">
        <v>561</v>
      </c>
      <c r="F248" s="1">
        <v>1</v>
      </c>
      <c r="G248" s="61">
        <v>60.077300000000001</v>
      </c>
      <c r="H248" s="3" t="s">
        <v>554</v>
      </c>
      <c r="I248" t="s">
        <v>547</v>
      </c>
      <c r="K248" s="15" t="s">
        <v>547</v>
      </c>
      <c r="N248" s="56"/>
    </row>
    <row r="249" spans="1:14">
      <c r="A249" s="66"/>
      <c r="B249" s="66"/>
      <c r="C249" t="s">
        <v>861</v>
      </c>
      <c r="D249" t="s">
        <v>543</v>
      </c>
      <c r="F249" s="1">
        <v>4</v>
      </c>
      <c r="G249" s="61">
        <v>174.477</v>
      </c>
      <c r="H249" s="3" t="s">
        <v>862</v>
      </c>
      <c r="I249" t="s">
        <v>545</v>
      </c>
      <c r="J249" s="15" t="s">
        <v>546</v>
      </c>
      <c r="K249" s="15" t="s">
        <v>547</v>
      </c>
      <c r="L249" s="15" t="s">
        <v>546</v>
      </c>
      <c r="N249" s="56"/>
    </row>
    <row r="250" spans="1:14">
      <c r="A250" s="66"/>
      <c r="B250" s="66"/>
      <c r="C250" t="s">
        <v>579</v>
      </c>
      <c r="D250" t="s">
        <v>569</v>
      </c>
      <c r="F250"/>
      <c r="H250" s="3" t="s">
        <v>554</v>
      </c>
      <c r="I250" t="s">
        <v>545</v>
      </c>
      <c r="K250" s="15" t="s">
        <v>547</v>
      </c>
      <c r="N250" s="56"/>
    </row>
    <row r="251" spans="1:14">
      <c r="A251" s="66"/>
      <c r="B251" s="66"/>
      <c r="C251" t="s">
        <v>863</v>
      </c>
      <c r="D251" t="s">
        <v>569</v>
      </c>
      <c r="F251"/>
      <c r="H251" s="3" t="s">
        <v>864</v>
      </c>
      <c r="I251" t="s">
        <v>545</v>
      </c>
      <c r="K251" s="15" t="s">
        <v>547</v>
      </c>
      <c r="N251" s="56"/>
    </row>
    <row r="252" spans="1:14">
      <c r="A252" s="66"/>
      <c r="B252" s="66"/>
      <c r="C252" t="s">
        <v>865</v>
      </c>
      <c r="D252" t="s">
        <v>543</v>
      </c>
      <c r="F252" s="1">
        <v>2</v>
      </c>
      <c r="G252" s="61">
        <v>167.572</v>
      </c>
      <c r="H252" s="3" t="s">
        <v>866</v>
      </c>
      <c r="I252" t="s">
        <v>554</v>
      </c>
      <c r="J252" s="15" t="s">
        <v>546</v>
      </c>
      <c r="K252" s="15" t="s">
        <v>547</v>
      </c>
      <c r="L252" s="15" t="s">
        <v>546</v>
      </c>
      <c r="N252" s="56"/>
    </row>
    <row r="253" spans="1:14">
      <c r="A253" s="66"/>
      <c r="B253" s="66"/>
      <c r="C253" t="s">
        <v>867</v>
      </c>
      <c r="D253" t="s">
        <v>569</v>
      </c>
      <c r="F253"/>
      <c r="H253" s="3">
        <v>1.1000000000000001</v>
      </c>
      <c r="I253" t="s">
        <v>554</v>
      </c>
      <c r="K253" s="15" t="s">
        <v>547</v>
      </c>
      <c r="N253" s="56"/>
    </row>
    <row r="254" spans="1:14">
      <c r="A254" s="66"/>
      <c r="B254" s="66"/>
      <c r="C254" t="s">
        <v>868</v>
      </c>
      <c r="D254" t="s">
        <v>569</v>
      </c>
      <c r="F254"/>
      <c r="H254" s="3">
        <v>1</v>
      </c>
      <c r="I254" t="s">
        <v>554</v>
      </c>
      <c r="K254" s="15" t="s">
        <v>547</v>
      </c>
      <c r="N254" s="56"/>
    </row>
    <row r="255" spans="1:14">
      <c r="A255" s="66"/>
      <c r="B255" s="66"/>
      <c r="C255" t="s">
        <v>869</v>
      </c>
      <c r="D255" t="s">
        <v>543</v>
      </c>
      <c r="F255" s="1">
        <v>2</v>
      </c>
      <c r="G255" s="61">
        <v>169.511</v>
      </c>
      <c r="H255" s="3" t="s">
        <v>870</v>
      </c>
      <c r="I255" t="s">
        <v>554</v>
      </c>
      <c r="J255" s="15" t="s">
        <v>546</v>
      </c>
      <c r="K255" s="15" t="s">
        <v>547</v>
      </c>
      <c r="L255" s="15" t="s">
        <v>546</v>
      </c>
      <c r="N255" s="56"/>
    </row>
    <row r="256" spans="1:14">
      <c r="A256" s="66"/>
      <c r="B256" s="66"/>
      <c r="C256" t="s">
        <v>871</v>
      </c>
      <c r="D256" t="s">
        <v>569</v>
      </c>
      <c r="F256"/>
      <c r="H256" s="3">
        <v>0.65</v>
      </c>
      <c r="I256" t="s">
        <v>554</v>
      </c>
      <c r="K256" s="15" t="s">
        <v>547</v>
      </c>
      <c r="N256" s="56"/>
    </row>
    <row r="257" spans="1:14">
      <c r="A257" s="66"/>
      <c r="B257" s="66"/>
      <c r="C257" t="s">
        <v>872</v>
      </c>
      <c r="D257" t="s">
        <v>569</v>
      </c>
      <c r="F257"/>
      <c r="H257" s="3">
        <v>0.55000000000000004</v>
      </c>
      <c r="I257" t="s">
        <v>554</v>
      </c>
      <c r="K257" s="15" t="s">
        <v>547</v>
      </c>
      <c r="N257" s="56"/>
    </row>
    <row r="258" spans="1:14">
      <c r="A258" s="66"/>
      <c r="B258" s="66"/>
      <c r="C258" t="s">
        <v>873</v>
      </c>
      <c r="D258" t="s">
        <v>543</v>
      </c>
      <c r="F258" s="1">
        <v>2</v>
      </c>
      <c r="G258" s="61">
        <v>167.82900000000001</v>
      </c>
      <c r="H258" s="3" t="s">
        <v>866</v>
      </c>
      <c r="I258" t="s">
        <v>552</v>
      </c>
      <c r="J258" s="15" t="s">
        <v>546</v>
      </c>
      <c r="K258" s="15" t="s">
        <v>547</v>
      </c>
      <c r="L258" s="15" t="s">
        <v>546</v>
      </c>
      <c r="N258" s="56"/>
    </row>
    <row r="259" spans="1:14">
      <c r="A259" s="66"/>
      <c r="B259" s="66"/>
      <c r="C259" t="s">
        <v>874</v>
      </c>
      <c r="D259" t="s">
        <v>569</v>
      </c>
      <c r="F259"/>
      <c r="H259" s="3">
        <v>1.1000000000000001</v>
      </c>
      <c r="I259" t="s">
        <v>552</v>
      </c>
      <c r="K259" s="15" t="s">
        <v>547</v>
      </c>
      <c r="N259" s="56"/>
    </row>
    <row r="260" spans="1:14">
      <c r="A260" s="66"/>
      <c r="B260" s="66"/>
      <c r="C260" t="s">
        <v>875</v>
      </c>
      <c r="D260" t="s">
        <v>569</v>
      </c>
      <c r="F260"/>
      <c r="H260" s="3">
        <v>1</v>
      </c>
      <c r="I260" t="s">
        <v>552</v>
      </c>
      <c r="K260" s="15" t="s">
        <v>547</v>
      </c>
      <c r="N260" s="56"/>
    </row>
    <row r="261" spans="1:14">
      <c r="A261" s="66"/>
      <c r="B261" s="66"/>
      <c r="C261" t="s">
        <v>876</v>
      </c>
      <c r="D261" t="s">
        <v>632</v>
      </c>
      <c r="F261"/>
      <c r="H261" s="3"/>
      <c r="I261"/>
      <c r="N261" s="56"/>
    </row>
    <row r="262" spans="1:14">
      <c r="A262" s="66"/>
      <c r="B262" s="66"/>
      <c r="C262" t="s">
        <v>877</v>
      </c>
      <c r="D262" t="s">
        <v>632</v>
      </c>
      <c r="F262"/>
      <c r="H262" s="3"/>
      <c r="I262"/>
      <c r="N262" s="56"/>
    </row>
    <row r="263" spans="1:14">
      <c r="A263" s="66"/>
      <c r="B263" s="66"/>
      <c r="C263" t="s">
        <v>878</v>
      </c>
      <c r="D263" t="s">
        <v>543</v>
      </c>
      <c r="F263">
        <f>1.05/0.01+1</f>
        <v>106</v>
      </c>
      <c r="G263" s="61">
        <v>4134.37</v>
      </c>
      <c r="H263" s="3" t="s">
        <v>842</v>
      </c>
      <c r="I263" t="s">
        <v>554</v>
      </c>
      <c r="J263" s="15" t="s">
        <v>546</v>
      </c>
      <c r="K263" s="15" t="s">
        <v>547</v>
      </c>
      <c r="L263" s="15" t="s">
        <v>546</v>
      </c>
      <c r="N263" s="56"/>
    </row>
    <row r="264" spans="1:14">
      <c r="A264" s="66"/>
      <c r="B264" s="66"/>
      <c r="C264" t="s">
        <v>879</v>
      </c>
      <c r="D264" t="s">
        <v>639</v>
      </c>
      <c r="F264"/>
      <c r="H264" s="3"/>
      <c r="I264"/>
      <c r="N264" s="56"/>
    </row>
    <row r="265" spans="1:14">
      <c r="A265" s="66"/>
      <c r="B265" s="66"/>
      <c r="C265" t="s">
        <v>880</v>
      </c>
      <c r="D265" t="s">
        <v>639</v>
      </c>
      <c r="F265"/>
      <c r="H265" s="3" t="s">
        <v>842</v>
      </c>
      <c r="I265" t="s">
        <v>554</v>
      </c>
      <c r="K265" s="15" t="s">
        <v>547</v>
      </c>
      <c r="N265" s="56"/>
    </row>
    <row r="266" spans="1:14">
      <c r="A266" s="66"/>
      <c r="B266" s="66"/>
      <c r="C266" t="s">
        <v>881</v>
      </c>
      <c r="D266" t="s">
        <v>639</v>
      </c>
      <c r="F266"/>
      <c r="H266" s="3" t="s">
        <v>842</v>
      </c>
      <c r="I266" t="s">
        <v>554</v>
      </c>
      <c r="K266" s="15" t="s">
        <v>547</v>
      </c>
      <c r="N266" s="56"/>
    </row>
    <row r="267" spans="1:14">
      <c r="A267" s="66"/>
      <c r="B267" s="66"/>
      <c r="C267" t="s">
        <v>882</v>
      </c>
      <c r="D267" t="s">
        <v>632</v>
      </c>
      <c r="F267"/>
      <c r="H267" s="3"/>
      <c r="I267"/>
      <c r="N267" s="56"/>
    </row>
    <row r="268" spans="1:14">
      <c r="A268" s="66"/>
      <c r="B268" s="66"/>
      <c r="C268" t="s">
        <v>883</v>
      </c>
      <c r="D268" t="s">
        <v>632</v>
      </c>
      <c r="F268"/>
      <c r="H268" s="3"/>
      <c r="I268"/>
      <c r="N268" s="56"/>
    </row>
    <row r="269" spans="1:14">
      <c r="A269" s="66"/>
      <c r="B269" s="66"/>
      <c r="C269" t="s">
        <v>884</v>
      </c>
      <c r="D269" t="s">
        <v>632</v>
      </c>
      <c r="F269"/>
      <c r="H269" s="3"/>
      <c r="I269"/>
      <c r="N269" s="56"/>
    </row>
    <row r="270" spans="1:14">
      <c r="A270" s="66"/>
      <c r="B270" s="66"/>
      <c r="C270" t="s">
        <v>885</v>
      </c>
      <c r="D270" t="s">
        <v>543</v>
      </c>
      <c r="F270" s="1">
        <v>2</v>
      </c>
      <c r="G270" s="61">
        <v>103.395</v>
      </c>
      <c r="H270" s="3" t="s">
        <v>886</v>
      </c>
      <c r="I270" t="s">
        <v>554</v>
      </c>
      <c r="J270" s="15" t="s">
        <v>546</v>
      </c>
      <c r="K270" s="15" t="s">
        <v>547</v>
      </c>
      <c r="L270" s="15" t="s">
        <v>546</v>
      </c>
      <c r="N270" s="56"/>
    </row>
    <row r="271" spans="1:14">
      <c r="A271" s="66"/>
      <c r="B271" s="66"/>
      <c r="C271" t="s">
        <v>887</v>
      </c>
      <c r="D271" t="s">
        <v>543</v>
      </c>
      <c r="F271" s="1">
        <v>2</v>
      </c>
      <c r="G271" s="61">
        <v>105.57</v>
      </c>
      <c r="H271" s="3" t="s">
        <v>888</v>
      </c>
      <c r="I271" t="s">
        <v>554</v>
      </c>
      <c r="J271" s="15" t="s">
        <v>546</v>
      </c>
      <c r="K271" s="15" t="s">
        <v>547</v>
      </c>
      <c r="L271" s="15" t="s">
        <v>546</v>
      </c>
      <c r="N271" s="56"/>
    </row>
    <row r="272" spans="1:14">
      <c r="A272" s="66"/>
      <c r="B272" s="66"/>
      <c r="C272" t="s">
        <v>889</v>
      </c>
      <c r="D272" t="s">
        <v>569</v>
      </c>
      <c r="F272"/>
      <c r="H272" s="3" t="s">
        <v>890</v>
      </c>
      <c r="I272" t="s">
        <v>554</v>
      </c>
      <c r="K272" s="15" t="s">
        <v>547</v>
      </c>
      <c r="N272" s="56"/>
    </row>
    <row r="273" spans="1:14">
      <c r="A273" s="66"/>
      <c r="B273" s="66"/>
      <c r="C273" t="s">
        <v>891</v>
      </c>
      <c r="D273" t="s">
        <v>569</v>
      </c>
      <c r="F273"/>
      <c r="H273" s="3" t="s">
        <v>892</v>
      </c>
      <c r="I273" t="s">
        <v>554</v>
      </c>
      <c r="K273" s="15" t="s">
        <v>547</v>
      </c>
      <c r="N273" s="56"/>
    </row>
    <row r="274" spans="1:14">
      <c r="A274" s="66"/>
      <c r="B274" s="66"/>
      <c r="C274" t="s">
        <v>893</v>
      </c>
      <c r="D274" t="s">
        <v>569</v>
      </c>
      <c r="F274"/>
      <c r="H274" s="3" t="s">
        <v>894</v>
      </c>
      <c r="I274" t="s">
        <v>554</v>
      </c>
      <c r="K274" s="15" t="s">
        <v>547</v>
      </c>
      <c r="N274" s="56"/>
    </row>
    <row r="275" spans="1:14">
      <c r="A275" s="66"/>
      <c r="B275" s="66"/>
      <c r="C275" t="s">
        <v>895</v>
      </c>
      <c r="D275" t="s">
        <v>569</v>
      </c>
      <c r="F275"/>
      <c r="H275" s="3" t="s">
        <v>896</v>
      </c>
      <c r="I275" t="s">
        <v>554</v>
      </c>
      <c r="K275" s="15" t="s">
        <v>547</v>
      </c>
      <c r="N275" s="56"/>
    </row>
    <row r="276" spans="1:14">
      <c r="A276" s="66"/>
      <c r="B276" s="66"/>
      <c r="C276" t="s">
        <v>897</v>
      </c>
      <c r="D276" t="s">
        <v>585</v>
      </c>
      <c r="F276"/>
      <c r="H276" s="3" t="s">
        <v>842</v>
      </c>
      <c r="I276" t="s">
        <v>554</v>
      </c>
      <c r="K276" s="15" t="s">
        <v>547</v>
      </c>
      <c r="N276" s="56"/>
    </row>
    <row r="277" spans="1:14">
      <c r="A277" s="66"/>
      <c r="B277" s="66"/>
      <c r="C277" t="s">
        <v>898</v>
      </c>
      <c r="D277"/>
      <c r="F277"/>
      <c r="H277" s="3"/>
      <c r="I277"/>
      <c r="N277" s="56"/>
    </row>
    <row r="278" spans="1:14">
      <c r="A278" s="64"/>
      <c r="B278" s="64"/>
      <c r="C278" s="54" t="s">
        <v>899</v>
      </c>
      <c r="D278" s="54" t="s">
        <v>569</v>
      </c>
      <c r="E278" s="54"/>
      <c r="F278" s="54"/>
      <c r="G278" s="85"/>
      <c r="H278" s="91"/>
      <c r="I278" s="54"/>
      <c r="J278" s="86"/>
      <c r="K278" s="86"/>
      <c r="L278" s="86"/>
      <c r="M278" s="54"/>
      <c r="N278" s="57"/>
    </row>
    <row r="280" spans="1:14">
      <c r="A280" s="63" t="s">
        <v>370</v>
      </c>
      <c r="B280" s="63" t="s">
        <v>370</v>
      </c>
      <c r="C280" s="13" t="s">
        <v>900</v>
      </c>
      <c r="D280" s="53" t="s">
        <v>543</v>
      </c>
      <c r="E280" s="53"/>
      <c r="F280" s="53">
        <v>1</v>
      </c>
      <c r="G280" s="82">
        <v>73.277100000000004</v>
      </c>
      <c r="H280" s="88" t="s">
        <v>901</v>
      </c>
      <c r="I280" s="53" t="s">
        <v>545</v>
      </c>
      <c r="J280" s="83" t="s">
        <v>546</v>
      </c>
      <c r="K280" s="83" t="s">
        <v>547</v>
      </c>
      <c r="L280" s="83" t="s">
        <v>546</v>
      </c>
      <c r="M280" s="53"/>
      <c r="N280" s="55"/>
    </row>
    <row r="281" spans="1:14">
      <c r="A281" s="66"/>
      <c r="B281" s="66"/>
      <c r="C281" s="47" t="s">
        <v>902</v>
      </c>
      <c r="D281" t="s">
        <v>569</v>
      </c>
      <c r="F281"/>
      <c r="H281" s="3" t="s">
        <v>901</v>
      </c>
      <c r="I281" t="s">
        <v>545</v>
      </c>
      <c r="K281" s="15" t="s">
        <v>547</v>
      </c>
      <c r="N281" s="56"/>
    </row>
    <row r="282" spans="1:14">
      <c r="A282" s="66"/>
      <c r="B282" s="66"/>
      <c r="C282" s="47" t="s">
        <v>903</v>
      </c>
      <c r="D282" t="s">
        <v>543</v>
      </c>
      <c r="F282">
        <v>1</v>
      </c>
      <c r="G282" s="61">
        <v>71.831599999999995</v>
      </c>
      <c r="H282" s="3" t="s">
        <v>850</v>
      </c>
      <c r="I282" t="s">
        <v>554</v>
      </c>
      <c r="J282" s="15" t="s">
        <v>546</v>
      </c>
      <c r="K282" s="15" t="s">
        <v>547</v>
      </c>
      <c r="L282" s="15" t="s">
        <v>546</v>
      </c>
      <c r="N282" s="56"/>
    </row>
    <row r="283" spans="1:14">
      <c r="A283" s="66"/>
      <c r="B283" s="66"/>
      <c r="C283" s="47" t="s">
        <v>904</v>
      </c>
      <c r="D283" t="s">
        <v>569</v>
      </c>
      <c r="F283"/>
      <c r="H283" s="3" t="s">
        <v>850</v>
      </c>
      <c r="I283" t="s">
        <v>554</v>
      </c>
      <c r="K283" s="15" t="s">
        <v>547</v>
      </c>
      <c r="N283" s="56"/>
    </row>
    <row r="284" spans="1:14">
      <c r="A284" s="66"/>
      <c r="B284" s="66"/>
      <c r="C284" s="47" t="s">
        <v>905</v>
      </c>
      <c r="D284" t="s">
        <v>543</v>
      </c>
      <c r="F284">
        <v>1</v>
      </c>
      <c r="G284" s="61">
        <v>71.896799999999999</v>
      </c>
      <c r="H284" s="3" t="s">
        <v>906</v>
      </c>
      <c r="I284" t="s">
        <v>552</v>
      </c>
      <c r="J284" s="15" t="s">
        <v>546</v>
      </c>
      <c r="K284" s="15" t="s">
        <v>547</v>
      </c>
      <c r="L284" s="15" t="s">
        <v>546</v>
      </c>
      <c r="N284" s="56"/>
    </row>
    <row r="285" spans="1:14">
      <c r="A285" s="66"/>
      <c r="B285" s="66"/>
      <c r="C285" s="47" t="s">
        <v>907</v>
      </c>
      <c r="D285" t="s">
        <v>569</v>
      </c>
      <c r="F285"/>
      <c r="H285" s="3" t="s">
        <v>906</v>
      </c>
      <c r="I285" t="s">
        <v>552</v>
      </c>
      <c r="K285" s="15" t="s">
        <v>547</v>
      </c>
      <c r="N285" s="56"/>
    </row>
    <row r="286" spans="1:14">
      <c r="A286" s="66"/>
      <c r="B286" s="66"/>
      <c r="C286" s="47" t="s">
        <v>908</v>
      </c>
      <c r="D286" t="s">
        <v>632</v>
      </c>
      <c r="F286"/>
      <c r="H286" s="3"/>
      <c r="I286"/>
      <c r="N286" s="56"/>
    </row>
    <row r="287" spans="1:14">
      <c r="A287" s="66"/>
      <c r="B287" s="66"/>
      <c r="C287" s="47" t="s">
        <v>909</v>
      </c>
      <c r="D287" t="s">
        <v>543</v>
      </c>
      <c r="F287">
        <v>1</v>
      </c>
      <c r="G287" s="61">
        <v>71.729200000000006</v>
      </c>
      <c r="H287" s="3" t="s">
        <v>906</v>
      </c>
      <c r="I287" t="s">
        <v>554</v>
      </c>
      <c r="J287" s="15" t="s">
        <v>546</v>
      </c>
      <c r="K287" s="15" t="s">
        <v>547</v>
      </c>
      <c r="L287" s="15" t="s">
        <v>546</v>
      </c>
      <c r="N287" s="56"/>
    </row>
    <row r="288" spans="1:14">
      <c r="A288" s="64"/>
      <c r="B288" s="64"/>
      <c r="C288" s="48" t="s">
        <v>910</v>
      </c>
      <c r="D288" s="54" t="s">
        <v>569</v>
      </c>
      <c r="E288" s="54"/>
      <c r="F288" s="54"/>
      <c r="G288" s="85"/>
      <c r="H288" s="91" t="s">
        <v>906</v>
      </c>
      <c r="I288" s="54" t="s">
        <v>554</v>
      </c>
      <c r="J288" s="86"/>
      <c r="K288" s="86" t="s">
        <v>547</v>
      </c>
      <c r="L288" s="86"/>
      <c r="M288" s="54"/>
      <c r="N288" s="57"/>
    </row>
    <row r="290" spans="1:14">
      <c r="A290" s="87" t="s">
        <v>911</v>
      </c>
      <c r="B290" s="63" t="s">
        <v>911</v>
      </c>
      <c r="C290" s="53" t="s">
        <v>856</v>
      </c>
      <c r="D290" s="53" t="s">
        <v>561</v>
      </c>
      <c r="E290" s="53"/>
      <c r="F290" s="53">
        <v>1</v>
      </c>
      <c r="G290" s="82">
        <v>199.934</v>
      </c>
      <c r="H290" s="88">
        <v>0</v>
      </c>
      <c r="I290" s="53" t="s">
        <v>554</v>
      </c>
      <c r="J290" s="83"/>
      <c r="K290" s="83" t="s">
        <v>547</v>
      </c>
      <c r="L290" s="83"/>
      <c r="M290" s="53"/>
      <c r="N290" s="55"/>
    </row>
    <row r="291" spans="1:14">
      <c r="A291" s="52"/>
      <c r="B291" s="66"/>
      <c r="C291" t="s">
        <v>857</v>
      </c>
      <c r="D291"/>
      <c r="F291"/>
      <c r="H291" s="3"/>
      <c r="I291"/>
      <c r="N291" s="56"/>
    </row>
    <row r="292" spans="1:14">
      <c r="A292" s="52"/>
      <c r="B292" s="66"/>
      <c r="C292" t="s">
        <v>858</v>
      </c>
      <c r="D292"/>
      <c r="F292"/>
      <c r="H292" s="3"/>
      <c r="I292"/>
      <c r="N292" s="56"/>
    </row>
    <row r="293" spans="1:14">
      <c r="A293" s="52"/>
      <c r="B293" s="66"/>
      <c r="C293" t="s">
        <v>859</v>
      </c>
      <c r="D293" t="s">
        <v>561</v>
      </c>
      <c r="F293" s="1">
        <v>1</v>
      </c>
      <c r="G293" s="61">
        <v>92.910899999999998</v>
      </c>
      <c r="H293" s="3">
        <v>-0.1</v>
      </c>
      <c r="I293" t="s">
        <v>554</v>
      </c>
      <c r="K293" s="15" t="s">
        <v>547</v>
      </c>
      <c r="N293" s="56"/>
    </row>
    <row r="294" spans="1:14">
      <c r="A294" s="52"/>
      <c r="B294" s="66"/>
      <c r="C294" t="s">
        <v>860</v>
      </c>
      <c r="D294" t="s">
        <v>561</v>
      </c>
      <c r="F294" s="1">
        <v>1</v>
      </c>
      <c r="G294" s="61">
        <v>60.077300000000001</v>
      </c>
      <c r="H294" s="3" t="s">
        <v>554</v>
      </c>
      <c r="I294" t="s">
        <v>547</v>
      </c>
      <c r="K294" s="15" t="s">
        <v>547</v>
      </c>
      <c r="N294" s="56"/>
    </row>
    <row r="295" spans="1:14">
      <c r="A295" s="52"/>
      <c r="B295" s="66"/>
      <c r="C295" t="s">
        <v>861</v>
      </c>
      <c r="D295" t="s">
        <v>543</v>
      </c>
      <c r="F295" s="1">
        <v>4</v>
      </c>
      <c r="G295" s="61">
        <v>174.477</v>
      </c>
      <c r="H295" s="3" t="s">
        <v>862</v>
      </c>
      <c r="I295" t="s">
        <v>545</v>
      </c>
      <c r="J295" s="15" t="s">
        <v>546</v>
      </c>
      <c r="K295" s="15" t="s">
        <v>547</v>
      </c>
      <c r="L295" s="15" t="s">
        <v>546</v>
      </c>
      <c r="N295" s="56"/>
    </row>
    <row r="296" spans="1:14">
      <c r="A296" s="52"/>
      <c r="B296" s="66"/>
      <c r="C296" t="s">
        <v>579</v>
      </c>
      <c r="D296" t="s">
        <v>569</v>
      </c>
      <c r="F296"/>
      <c r="H296" s="3" t="s">
        <v>554</v>
      </c>
      <c r="I296" t="s">
        <v>545</v>
      </c>
      <c r="K296" s="15" t="s">
        <v>547</v>
      </c>
      <c r="N296" s="56"/>
    </row>
    <row r="297" spans="1:14">
      <c r="A297" s="52"/>
      <c r="B297" s="66"/>
      <c r="C297" t="s">
        <v>863</v>
      </c>
      <c r="D297" t="s">
        <v>569</v>
      </c>
      <c r="F297"/>
      <c r="H297" s="3" t="s">
        <v>864</v>
      </c>
      <c r="I297" t="s">
        <v>545</v>
      </c>
      <c r="K297" s="15" t="s">
        <v>547</v>
      </c>
      <c r="N297" s="56"/>
    </row>
    <row r="298" spans="1:14">
      <c r="A298" s="52"/>
      <c r="B298" s="66"/>
      <c r="C298" t="s">
        <v>865</v>
      </c>
      <c r="D298" t="s">
        <v>543</v>
      </c>
      <c r="F298" s="1">
        <v>2</v>
      </c>
      <c r="G298" s="61">
        <v>167.572</v>
      </c>
      <c r="H298" s="3" t="s">
        <v>866</v>
      </c>
      <c r="I298" t="s">
        <v>554</v>
      </c>
      <c r="J298" s="15" t="s">
        <v>546</v>
      </c>
      <c r="K298" s="15" t="s">
        <v>547</v>
      </c>
      <c r="L298" s="15" t="s">
        <v>546</v>
      </c>
      <c r="N298" s="56"/>
    </row>
    <row r="299" spans="1:14">
      <c r="A299" s="52"/>
      <c r="B299" s="66"/>
      <c r="C299" t="s">
        <v>867</v>
      </c>
      <c r="D299" t="s">
        <v>569</v>
      </c>
      <c r="F299"/>
      <c r="H299" s="3">
        <v>1.1000000000000001</v>
      </c>
      <c r="I299" t="s">
        <v>554</v>
      </c>
      <c r="K299" s="15" t="s">
        <v>547</v>
      </c>
      <c r="N299" s="56"/>
    </row>
    <row r="300" spans="1:14">
      <c r="A300" s="52"/>
      <c r="B300" s="66"/>
      <c r="C300" t="s">
        <v>868</v>
      </c>
      <c r="D300" t="s">
        <v>569</v>
      </c>
      <c r="F300"/>
      <c r="H300" s="3">
        <v>1</v>
      </c>
      <c r="I300" t="s">
        <v>554</v>
      </c>
      <c r="K300" s="15" t="s">
        <v>547</v>
      </c>
      <c r="N300" s="56"/>
    </row>
    <row r="301" spans="1:14">
      <c r="A301" s="52"/>
      <c r="B301" s="66"/>
      <c r="C301" t="s">
        <v>869</v>
      </c>
      <c r="D301" t="s">
        <v>543</v>
      </c>
      <c r="F301" s="1">
        <v>2</v>
      </c>
      <c r="G301" s="61">
        <v>169.511</v>
      </c>
      <c r="H301" s="3" t="s">
        <v>870</v>
      </c>
      <c r="I301" t="s">
        <v>554</v>
      </c>
      <c r="J301" s="15" t="s">
        <v>546</v>
      </c>
      <c r="K301" s="15" t="s">
        <v>547</v>
      </c>
      <c r="L301" s="15" t="s">
        <v>546</v>
      </c>
      <c r="N301" s="56"/>
    </row>
    <row r="302" spans="1:14">
      <c r="A302" s="52"/>
      <c r="B302" s="66"/>
      <c r="C302" t="s">
        <v>871</v>
      </c>
      <c r="D302" t="s">
        <v>569</v>
      </c>
      <c r="F302"/>
      <c r="H302" s="3">
        <v>0.65</v>
      </c>
      <c r="I302" t="s">
        <v>554</v>
      </c>
      <c r="K302" s="15" t="s">
        <v>547</v>
      </c>
      <c r="N302" s="56"/>
    </row>
    <row r="303" spans="1:14">
      <c r="A303" s="52"/>
      <c r="B303" s="66"/>
      <c r="C303" t="s">
        <v>872</v>
      </c>
      <c r="D303" t="s">
        <v>569</v>
      </c>
      <c r="F303"/>
      <c r="H303" s="3">
        <v>0.55000000000000004</v>
      </c>
      <c r="I303" t="s">
        <v>554</v>
      </c>
      <c r="K303" s="15" t="s">
        <v>547</v>
      </c>
      <c r="N303" s="56"/>
    </row>
    <row r="304" spans="1:14">
      <c r="A304" s="52"/>
      <c r="B304" s="66"/>
      <c r="C304" t="s">
        <v>873</v>
      </c>
      <c r="D304" t="s">
        <v>543</v>
      </c>
      <c r="F304" s="1">
        <v>2</v>
      </c>
      <c r="G304" s="61">
        <v>167.82900000000001</v>
      </c>
      <c r="H304" s="3" t="s">
        <v>866</v>
      </c>
      <c r="I304" t="s">
        <v>552</v>
      </c>
      <c r="J304" s="15" t="s">
        <v>546</v>
      </c>
      <c r="K304" s="15" t="s">
        <v>547</v>
      </c>
      <c r="L304" s="15" t="s">
        <v>546</v>
      </c>
      <c r="N304" s="56"/>
    </row>
    <row r="305" spans="1:14">
      <c r="A305" s="52"/>
      <c r="B305" s="66"/>
      <c r="C305" t="s">
        <v>874</v>
      </c>
      <c r="D305" t="s">
        <v>569</v>
      </c>
      <c r="F305"/>
      <c r="H305" s="3">
        <v>1.1000000000000001</v>
      </c>
      <c r="I305" t="s">
        <v>552</v>
      </c>
      <c r="K305" s="15" t="s">
        <v>547</v>
      </c>
      <c r="N305" s="56"/>
    </row>
    <row r="306" spans="1:14">
      <c r="A306" s="52"/>
      <c r="B306" s="66"/>
      <c r="C306" t="s">
        <v>875</v>
      </c>
      <c r="D306" t="s">
        <v>569</v>
      </c>
      <c r="F306"/>
      <c r="H306" s="3">
        <v>1</v>
      </c>
      <c r="I306" t="s">
        <v>552</v>
      </c>
      <c r="K306" s="15" t="s">
        <v>547</v>
      </c>
      <c r="N306" s="56"/>
    </row>
    <row r="307" spans="1:14">
      <c r="A307" s="52"/>
      <c r="B307" s="66"/>
      <c r="C307" t="s">
        <v>876</v>
      </c>
      <c r="D307" t="s">
        <v>632</v>
      </c>
      <c r="F307"/>
      <c r="H307" s="3"/>
      <c r="I307"/>
      <c r="N307" s="56"/>
    </row>
    <row r="308" spans="1:14">
      <c r="A308" s="52"/>
      <c r="B308" s="66"/>
      <c r="C308" t="s">
        <v>877</v>
      </c>
      <c r="D308" t="s">
        <v>632</v>
      </c>
      <c r="F308"/>
      <c r="H308" s="3"/>
      <c r="I308"/>
      <c r="N308" s="56"/>
    </row>
    <row r="309" spans="1:14">
      <c r="A309" s="52"/>
      <c r="B309" s="66"/>
      <c r="C309" t="s">
        <v>912</v>
      </c>
      <c r="D309" t="s">
        <v>543</v>
      </c>
      <c r="F309">
        <f>0.3/0.05+1</f>
        <v>6.9999999999999991</v>
      </c>
      <c r="G309" s="61">
        <v>4134.37</v>
      </c>
      <c r="H309" s="3" t="s">
        <v>913</v>
      </c>
      <c r="I309" t="s">
        <v>554</v>
      </c>
      <c r="J309" s="15" t="s">
        <v>546</v>
      </c>
      <c r="K309" s="15" t="s">
        <v>547</v>
      </c>
      <c r="L309" s="15" t="s">
        <v>546</v>
      </c>
      <c r="N309" s="56"/>
    </row>
    <row r="310" spans="1:14">
      <c r="A310" s="52"/>
      <c r="B310" s="66"/>
      <c r="C310" t="s">
        <v>879</v>
      </c>
      <c r="D310" t="s">
        <v>639</v>
      </c>
      <c r="F310"/>
      <c r="H310" s="3" t="s">
        <v>913</v>
      </c>
      <c r="I310" t="s">
        <v>554</v>
      </c>
      <c r="K310" s="15" t="s">
        <v>547</v>
      </c>
      <c r="N310" s="56"/>
    </row>
    <row r="311" spans="1:14">
      <c r="A311" s="115"/>
      <c r="B311" s="64"/>
      <c r="C311" s="54" t="s">
        <v>882</v>
      </c>
      <c r="D311" s="54" t="s">
        <v>632</v>
      </c>
      <c r="E311" s="54"/>
      <c r="F311" s="54"/>
      <c r="G311" s="85"/>
      <c r="H311" s="91"/>
      <c r="I311" s="54"/>
      <c r="J311" s="86"/>
      <c r="K311" s="86"/>
      <c r="L311" s="86"/>
      <c r="M311" s="54"/>
      <c r="N311" s="57"/>
    </row>
  </sheetData>
  <autoFilter ref="A1:N292" xr:uid="{AE5A445C-7D30-4958-80ED-2DF7BAC7F85B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4061-679B-41DD-A47C-52869E68A664}">
  <dimension ref="A1:Q382"/>
  <sheetViews>
    <sheetView zoomScale="55" zoomScaleNormal="55" workbookViewId="0">
      <pane ySplit="1" topLeftCell="A308" activePane="bottomLeft" state="frozen"/>
      <selection pane="bottomLeft" activeCell="C42" sqref="C42:C315"/>
    </sheetView>
  </sheetViews>
  <sheetFormatPr defaultRowHeight="14.25"/>
  <cols>
    <col min="1" max="1" width="21" bestFit="1" customWidth="1"/>
    <col min="2" max="2" width="28.5703125" customWidth="1"/>
    <col min="3" max="3" width="29.5703125" style="3" bestFit="1" customWidth="1"/>
    <col min="4" max="4" width="17.5703125" style="3" bestFit="1" customWidth="1"/>
    <col min="5" max="5" width="5.42578125" customWidth="1"/>
    <col min="6" max="6" width="5.42578125" style="3" customWidth="1"/>
    <col min="7" max="7" width="5.42578125" style="61" customWidth="1"/>
    <col min="8" max="8" width="58.5703125" style="15" bestFit="1" customWidth="1"/>
    <col min="9" max="10" width="8.5703125" style="15" customWidth="1"/>
    <col min="11" max="12" width="15.140625" style="15" bestFit="1" customWidth="1"/>
    <col min="14" max="14" width="11.140625" style="3" bestFit="1" customWidth="1"/>
    <col min="15" max="15" width="13.5703125" bestFit="1" customWidth="1"/>
  </cols>
  <sheetData>
    <row r="1" spans="1:14">
      <c r="A1" s="32" t="s">
        <v>371</v>
      </c>
      <c r="B1" s="78" t="s">
        <v>149</v>
      </c>
      <c r="C1" s="78" t="s">
        <v>296</v>
      </c>
      <c r="D1" s="79" t="s">
        <v>538</v>
      </c>
      <c r="E1" s="127" t="s">
        <v>539</v>
      </c>
      <c r="F1" s="79" t="s">
        <v>540</v>
      </c>
      <c r="G1" s="128" t="s">
        <v>541</v>
      </c>
      <c r="H1" s="80" t="s">
        <v>83</v>
      </c>
      <c r="I1" s="80" t="s">
        <v>82</v>
      </c>
      <c r="J1" s="80" t="s">
        <v>84</v>
      </c>
      <c r="K1" s="80" t="s">
        <v>358</v>
      </c>
      <c r="L1" s="80" t="s">
        <v>359</v>
      </c>
      <c r="M1" s="53"/>
      <c r="N1" s="80" t="s">
        <v>57</v>
      </c>
    </row>
    <row r="2" spans="1:14" s="53" customFormat="1">
      <c r="A2" s="63" t="s">
        <v>361</v>
      </c>
      <c r="B2" s="63" t="s">
        <v>361</v>
      </c>
      <c r="C2" s="13" t="s">
        <v>542</v>
      </c>
      <c r="D2" s="81" t="s">
        <v>543</v>
      </c>
      <c r="F2" s="81">
        <f>(1/0.05)+1</f>
        <v>21</v>
      </c>
      <c r="G2" s="82">
        <v>1547.91</v>
      </c>
      <c r="H2" s="83" t="s">
        <v>544</v>
      </c>
      <c r="I2" s="83" t="s">
        <v>545</v>
      </c>
      <c r="J2" s="83" t="s">
        <v>546</v>
      </c>
      <c r="K2" s="83" t="s">
        <v>547</v>
      </c>
      <c r="L2" s="83" t="s">
        <v>546</v>
      </c>
      <c r="N2" s="55"/>
    </row>
    <row r="3" spans="1:14">
      <c r="A3" s="66"/>
      <c r="B3" s="66"/>
      <c r="C3" s="47" t="s">
        <v>548</v>
      </c>
      <c r="D3" s="1" t="s">
        <v>543</v>
      </c>
      <c r="F3" s="1">
        <f>1/0.1+1</f>
        <v>11</v>
      </c>
      <c r="G3" s="61">
        <v>921.77099999999996</v>
      </c>
      <c r="H3" s="15" t="s">
        <v>549</v>
      </c>
      <c r="I3" s="15" t="s">
        <v>550</v>
      </c>
      <c r="J3" s="15" t="s">
        <v>546</v>
      </c>
      <c r="K3" s="15" t="s">
        <v>547</v>
      </c>
      <c r="L3" s="15" t="s">
        <v>546</v>
      </c>
      <c r="N3" s="56"/>
    </row>
    <row r="4" spans="1:14">
      <c r="A4" s="66"/>
      <c r="B4" s="66"/>
      <c r="C4" s="47" t="s">
        <v>551</v>
      </c>
      <c r="D4" s="1" t="s">
        <v>543</v>
      </c>
      <c r="F4" s="1">
        <f>1/0.1+1</f>
        <v>11</v>
      </c>
      <c r="G4" s="61">
        <v>982.66600000000005</v>
      </c>
      <c r="H4" s="15" t="s">
        <v>549</v>
      </c>
      <c r="I4" s="15" t="s">
        <v>552</v>
      </c>
      <c r="J4" s="15" t="s">
        <v>546</v>
      </c>
      <c r="K4" s="15" t="s">
        <v>547</v>
      </c>
      <c r="L4" s="15" t="s">
        <v>546</v>
      </c>
      <c r="N4" s="56"/>
    </row>
    <row r="5" spans="1:14">
      <c r="A5" s="64"/>
      <c r="B5" s="64"/>
      <c r="C5" s="48" t="s">
        <v>553</v>
      </c>
      <c r="D5" s="84" t="s">
        <v>543</v>
      </c>
      <c r="E5" s="54"/>
      <c r="F5" s="84">
        <f>1/0.1+1</f>
        <v>11</v>
      </c>
      <c r="G5" s="85">
        <v>1086.02</v>
      </c>
      <c r="H5" s="86" t="s">
        <v>549</v>
      </c>
      <c r="I5" s="86" t="s">
        <v>554</v>
      </c>
      <c r="J5" s="86" t="s">
        <v>546</v>
      </c>
      <c r="K5" s="86" t="s">
        <v>547</v>
      </c>
      <c r="L5" s="86" t="s">
        <v>546</v>
      </c>
      <c r="M5" s="54"/>
      <c r="N5" s="57"/>
    </row>
    <row r="7" spans="1:14">
      <c r="A7" s="63" t="s">
        <v>360</v>
      </c>
      <c r="B7" s="63" t="s">
        <v>559</v>
      </c>
      <c r="C7" s="16" t="s">
        <v>560</v>
      </c>
      <c r="D7" s="53" t="s">
        <v>561</v>
      </c>
      <c r="E7" s="53"/>
      <c r="F7" s="53">
        <v>1</v>
      </c>
      <c r="G7" s="82">
        <v>41.522300000000001</v>
      </c>
      <c r="H7" s="83"/>
      <c r="I7" s="83" t="s">
        <v>552</v>
      </c>
      <c r="J7" s="83" t="s">
        <v>547</v>
      </c>
      <c r="K7" s="83"/>
      <c r="L7" s="83"/>
      <c r="M7" s="53"/>
      <c r="N7" s="55"/>
    </row>
    <row r="8" spans="1:14">
      <c r="A8" s="66"/>
      <c r="B8" s="66"/>
      <c r="C8" s="45" t="s">
        <v>562</v>
      </c>
      <c r="D8" t="s">
        <v>561</v>
      </c>
      <c r="F8">
        <v>1</v>
      </c>
      <c r="G8" s="61">
        <v>41.316299999999998</v>
      </c>
      <c r="K8" s="15" t="s">
        <v>552</v>
      </c>
      <c r="L8" s="15" t="s">
        <v>547</v>
      </c>
      <c r="N8" s="56"/>
    </row>
    <row r="9" spans="1:14">
      <c r="A9" s="66"/>
      <c r="B9" s="66"/>
      <c r="C9" s="45" t="s">
        <v>563</v>
      </c>
      <c r="D9" t="s">
        <v>561</v>
      </c>
      <c r="F9">
        <v>1</v>
      </c>
      <c r="G9" s="61">
        <v>54.264800000000001</v>
      </c>
      <c r="H9" s="15" t="s">
        <v>554</v>
      </c>
      <c r="K9" s="15" t="s">
        <v>547</v>
      </c>
      <c r="N9" s="56"/>
    </row>
    <row r="10" spans="1:14">
      <c r="A10" s="66"/>
      <c r="B10" s="66"/>
      <c r="C10" s="45" t="s">
        <v>564</v>
      </c>
      <c r="D10" t="s">
        <v>561</v>
      </c>
      <c r="F10">
        <v>1</v>
      </c>
      <c r="G10" s="61">
        <v>55.015099999999997</v>
      </c>
      <c r="H10" s="15" t="s">
        <v>554</v>
      </c>
      <c r="I10" s="15" t="s">
        <v>547</v>
      </c>
      <c r="N10" s="56"/>
    </row>
    <row r="11" spans="1:14">
      <c r="A11" s="66"/>
      <c r="B11" s="66"/>
      <c r="C11" s="45" t="s">
        <v>565</v>
      </c>
      <c r="D11" t="s">
        <v>561</v>
      </c>
      <c r="F11">
        <v>1</v>
      </c>
      <c r="G11" s="61">
        <v>57.929400000000001</v>
      </c>
      <c r="H11" s="15" t="s">
        <v>547</v>
      </c>
      <c r="I11" s="15" t="s">
        <v>554</v>
      </c>
      <c r="K11" s="15" t="s">
        <v>547</v>
      </c>
      <c r="N11" s="56"/>
    </row>
    <row r="12" spans="1:14">
      <c r="A12" s="64"/>
      <c r="B12" s="64"/>
      <c r="C12" s="46" t="s">
        <v>566</v>
      </c>
      <c r="D12" s="54" t="s">
        <v>561</v>
      </c>
      <c r="E12" s="54"/>
      <c r="F12" s="54">
        <v>1</v>
      </c>
      <c r="G12" s="85">
        <v>50.990299999999998</v>
      </c>
      <c r="H12" s="86"/>
      <c r="I12" s="86" t="s">
        <v>554</v>
      </c>
      <c r="J12" s="86"/>
      <c r="K12" s="86" t="s">
        <v>547</v>
      </c>
      <c r="L12" s="86"/>
      <c r="M12" s="54"/>
      <c r="N12" s="57"/>
    </row>
    <row r="14" spans="1:14">
      <c r="A14" s="63" t="s">
        <v>360</v>
      </c>
      <c r="B14" s="63" t="s">
        <v>363</v>
      </c>
      <c r="C14" s="13" t="s">
        <v>567</v>
      </c>
      <c r="D14" s="81" t="s">
        <v>543</v>
      </c>
      <c r="E14" s="53"/>
      <c r="F14" s="81">
        <v>1</v>
      </c>
      <c r="G14" s="82">
        <v>103.48699999999999</v>
      </c>
      <c r="H14" s="83" t="s">
        <v>554</v>
      </c>
      <c r="I14" s="83" t="s">
        <v>547</v>
      </c>
      <c r="J14" s="83" t="s">
        <v>546</v>
      </c>
      <c r="K14" s="83" t="s">
        <v>547</v>
      </c>
      <c r="L14" s="83" t="s">
        <v>546</v>
      </c>
      <c r="M14" s="53"/>
      <c r="N14" s="55" t="s">
        <v>547</v>
      </c>
    </row>
    <row r="15" spans="1:14">
      <c r="A15" s="66"/>
      <c r="B15" s="66"/>
      <c r="C15" s="47" t="s">
        <v>568</v>
      </c>
      <c r="D15" s="1" t="s">
        <v>569</v>
      </c>
      <c r="F15" s="1"/>
      <c r="H15" s="15" t="s">
        <v>554</v>
      </c>
      <c r="I15" s="15" t="s">
        <v>547</v>
      </c>
      <c r="K15" s="15" t="s">
        <v>547</v>
      </c>
      <c r="N15" s="56"/>
    </row>
    <row r="16" spans="1:14">
      <c r="A16" s="66"/>
      <c r="B16" s="66"/>
      <c r="C16" s="47" t="s">
        <v>570</v>
      </c>
      <c r="D16" s="1" t="s">
        <v>543</v>
      </c>
      <c r="F16" s="1">
        <v>1</v>
      </c>
      <c r="G16" s="61">
        <v>92.689899999999994</v>
      </c>
      <c r="H16" s="15" t="s">
        <v>554</v>
      </c>
      <c r="I16" s="15" t="s">
        <v>571</v>
      </c>
      <c r="J16" s="15" t="s">
        <v>546</v>
      </c>
      <c r="K16" s="15" t="s">
        <v>547</v>
      </c>
      <c r="L16" s="15" t="s">
        <v>546</v>
      </c>
      <c r="N16" s="56" t="s">
        <v>547</v>
      </c>
    </row>
    <row r="17" spans="1:14">
      <c r="A17" s="66"/>
      <c r="B17" s="66"/>
      <c r="C17" s="47" t="s">
        <v>572</v>
      </c>
      <c r="D17" s="1" t="s">
        <v>569</v>
      </c>
      <c r="F17" s="1"/>
      <c r="H17" s="15" t="s">
        <v>554</v>
      </c>
      <c r="I17" s="15" t="s">
        <v>571</v>
      </c>
      <c r="K17" s="15" t="s">
        <v>547</v>
      </c>
      <c r="N17" s="56"/>
    </row>
    <row r="18" spans="1:14">
      <c r="A18" s="66"/>
      <c r="B18" s="66"/>
      <c r="C18" s="47" t="s">
        <v>573</v>
      </c>
      <c r="D18" s="1" t="s">
        <v>543</v>
      </c>
      <c r="F18" s="1">
        <v>1</v>
      </c>
      <c r="G18" s="61">
        <v>98.132099999999994</v>
      </c>
      <c r="H18" s="15" t="s">
        <v>554</v>
      </c>
      <c r="I18" s="15" t="s">
        <v>550</v>
      </c>
      <c r="J18" s="15" t="s">
        <v>546</v>
      </c>
      <c r="K18" s="15" t="s">
        <v>547</v>
      </c>
      <c r="L18" s="15" t="s">
        <v>546</v>
      </c>
      <c r="N18" s="56" t="s">
        <v>547</v>
      </c>
    </row>
    <row r="19" spans="1:14">
      <c r="A19" s="66"/>
      <c r="B19" s="66"/>
      <c r="C19" s="47" t="s">
        <v>574</v>
      </c>
      <c r="D19" s="1" t="s">
        <v>569</v>
      </c>
      <c r="F19" s="1"/>
      <c r="H19" s="15" t="s">
        <v>554</v>
      </c>
      <c r="I19" s="15" t="s">
        <v>550</v>
      </c>
      <c r="K19" s="15" t="s">
        <v>547</v>
      </c>
      <c r="N19" s="56"/>
    </row>
    <row r="20" spans="1:14">
      <c r="A20" s="66"/>
      <c r="B20" s="66"/>
      <c r="C20" s="47" t="s">
        <v>575</v>
      </c>
      <c r="D20" s="1" t="s">
        <v>543</v>
      </c>
      <c r="F20" s="1">
        <v>1</v>
      </c>
      <c r="G20" s="61">
        <v>100.773</v>
      </c>
      <c r="H20" s="15" t="s">
        <v>554</v>
      </c>
      <c r="I20" s="15" t="s">
        <v>576</v>
      </c>
      <c r="J20" s="15" t="s">
        <v>546</v>
      </c>
      <c r="K20" s="15" t="s">
        <v>547</v>
      </c>
      <c r="L20" s="15" t="s">
        <v>546</v>
      </c>
      <c r="N20" s="56" t="s">
        <v>547</v>
      </c>
    </row>
    <row r="21" spans="1:14">
      <c r="A21" s="66"/>
      <c r="B21" s="66"/>
      <c r="C21" s="47" t="s">
        <v>577</v>
      </c>
      <c r="D21" s="1" t="s">
        <v>569</v>
      </c>
      <c r="F21" s="1"/>
      <c r="H21" s="15" t="s">
        <v>554</v>
      </c>
      <c r="I21" s="15" t="s">
        <v>576</v>
      </c>
      <c r="K21" s="15" t="s">
        <v>547</v>
      </c>
      <c r="N21" s="56"/>
    </row>
    <row r="22" spans="1:14" s="137" customFormat="1">
      <c r="A22" s="134"/>
      <c r="B22" s="134"/>
      <c r="C22" s="135" t="s">
        <v>578</v>
      </c>
      <c r="D22" s="136" t="s">
        <v>543</v>
      </c>
      <c r="F22" s="136">
        <v>1</v>
      </c>
      <c r="G22" s="138">
        <v>75.372</v>
      </c>
      <c r="H22" s="139" t="s">
        <v>554</v>
      </c>
      <c r="I22" s="139" t="s">
        <v>545</v>
      </c>
      <c r="J22" s="139" t="s">
        <v>546</v>
      </c>
      <c r="K22" s="139" t="s">
        <v>547</v>
      </c>
      <c r="L22" s="139" t="s">
        <v>546</v>
      </c>
      <c r="N22" s="140" t="s">
        <v>547</v>
      </c>
    </row>
    <row r="23" spans="1:14" s="137" customFormat="1">
      <c r="A23" s="134"/>
      <c r="B23" s="134"/>
      <c r="C23" s="135" t="s">
        <v>579</v>
      </c>
      <c r="D23" s="136" t="s">
        <v>569</v>
      </c>
      <c r="F23" s="136"/>
      <c r="G23" s="138"/>
      <c r="H23" s="139" t="s">
        <v>554</v>
      </c>
      <c r="I23" s="139" t="s">
        <v>545</v>
      </c>
      <c r="J23" s="139"/>
      <c r="K23" s="139" t="s">
        <v>547</v>
      </c>
      <c r="L23" s="139"/>
      <c r="N23" s="140"/>
    </row>
    <row r="24" spans="1:14">
      <c r="A24" s="66"/>
      <c r="B24" s="66"/>
      <c r="C24" s="47" t="s">
        <v>580</v>
      </c>
      <c r="D24" s="1" t="s">
        <v>543</v>
      </c>
      <c r="F24" s="1">
        <v>1</v>
      </c>
      <c r="G24" s="61">
        <v>85.988699999999994</v>
      </c>
      <c r="H24" s="15" t="s">
        <v>554</v>
      </c>
      <c r="I24" s="15" t="s">
        <v>547</v>
      </c>
      <c r="J24" s="15" t="s">
        <v>546</v>
      </c>
      <c r="K24" s="15" t="s">
        <v>547</v>
      </c>
      <c r="L24" s="15" t="s">
        <v>546</v>
      </c>
      <c r="N24" s="56" t="s">
        <v>547</v>
      </c>
    </row>
    <row r="25" spans="1:14">
      <c r="A25" s="64"/>
      <c r="B25" s="64"/>
      <c r="C25" s="48" t="s">
        <v>581</v>
      </c>
      <c r="D25" s="84" t="s">
        <v>569</v>
      </c>
      <c r="E25" s="54"/>
      <c r="F25" s="84"/>
      <c r="G25" s="85"/>
      <c r="H25" s="86" t="s">
        <v>554</v>
      </c>
      <c r="I25" s="86" t="s">
        <v>547</v>
      </c>
      <c r="J25" s="86"/>
      <c r="K25" s="86" t="s">
        <v>547</v>
      </c>
      <c r="L25" s="86"/>
      <c r="M25" s="54"/>
      <c r="N25" s="57"/>
    </row>
    <row r="27" spans="1:14" s="53" customFormat="1">
      <c r="A27" s="87" t="s">
        <v>360</v>
      </c>
      <c r="B27" s="87" t="s">
        <v>914</v>
      </c>
      <c r="C27" s="13" t="s">
        <v>915</v>
      </c>
      <c r="D27" s="81" t="s">
        <v>543</v>
      </c>
      <c r="F27" s="81">
        <f>1.5/0.05+1</f>
        <v>31</v>
      </c>
      <c r="G27" s="61">
        <f>31.5*F27+44</f>
        <v>1020.5</v>
      </c>
      <c r="H27" s="83" t="s">
        <v>916</v>
      </c>
      <c r="I27" s="83" t="s">
        <v>545</v>
      </c>
      <c r="J27" s="83" t="s">
        <v>546</v>
      </c>
      <c r="K27" s="83" t="s">
        <v>547</v>
      </c>
      <c r="L27" s="83" t="s">
        <v>546</v>
      </c>
      <c r="N27" s="55" t="s">
        <v>547</v>
      </c>
    </row>
    <row r="28" spans="1:14">
      <c r="A28" s="52"/>
      <c r="B28" s="66"/>
      <c r="C28" s="47" t="s">
        <v>557</v>
      </c>
      <c r="D28" s="1" t="s">
        <v>558</v>
      </c>
      <c r="F28" s="1"/>
      <c r="G28" s="61">
        <v>15</v>
      </c>
      <c r="N28" s="56"/>
    </row>
    <row r="29" spans="1:14">
      <c r="A29" s="66"/>
      <c r="B29" s="52"/>
      <c r="C29" s="90" t="s">
        <v>636</v>
      </c>
      <c r="D29" t="s">
        <v>543</v>
      </c>
      <c r="F29" s="1">
        <v>1</v>
      </c>
      <c r="G29" s="61">
        <v>68.386399999999995</v>
      </c>
      <c r="H29" s="3" t="s">
        <v>557</v>
      </c>
      <c r="I29" t="s">
        <v>545</v>
      </c>
      <c r="J29" s="15" t="s">
        <v>546</v>
      </c>
      <c r="K29" s="15" t="s">
        <v>547</v>
      </c>
      <c r="L29" s="15" t="s">
        <v>546</v>
      </c>
      <c r="N29" s="56" t="s">
        <v>547</v>
      </c>
    </row>
    <row r="30" spans="1:14">
      <c r="A30" s="66"/>
      <c r="B30" s="52"/>
      <c r="C30" s="90" t="s">
        <v>637</v>
      </c>
      <c r="D30" t="s">
        <v>569</v>
      </c>
      <c r="F30"/>
      <c r="H30" s="3" t="s">
        <v>557</v>
      </c>
      <c r="I30" t="s">
        <v>545</v>
      </c>
      <c r="N30" s="56"/>
    </row>
    <row r="31" spans="1:14">
      <c r="A31" s="66"/>
      <c r="B31" s="52"/>
      <c r="C31" s="90" t="s">
        <v>917</v>
      </c>
      <c r="D31" t="s">
        <v>639</v>
      </c>
      <c r="F31"/>
      <c r="H31" s="3" t="s">
        <v>918</v>
      </c>
      <c r="I31" t="s">
        <v>545</v>
      </c>
      <c r="N31" s="56"/>
    </row>
    <row r="32" spans="1:14">
      <c r="A32" s="66"/>
      <c r="B32" s="52"/>
      <c r="C32" s="90" t="s">
        <v>919</v>
      </c>
      <c r="D32" t="s">
        <v>543</v>
      </c>
      <c r="F32" s="61">
        <v>11</v>
      </c>
      <c r="G32" s="61">
        <f>31.5*F32+44</f>
        <v>390.5</v>
      </c>
      <c r="H32" s="3" t="s">
        <v>920</v>
      </c>
      <c r="I32" t="s">
        <v>545</v>
      </c>
      <c r="J32" s="15" t="s">
        <v>546</v>
      </c>
      <c r="K32" s="15" t="s">
        <v>547</v>
      </c>
      <c r="L32" s="15" t="s">
        <v>546</v>
      </c>
      <c r="N32" s="56" t="s">
        <v>547</v>
      </c>
    </row>
    <row r="33" spans="1:14">
      <c r="A33" s="66"/>
      <c r="B33" s="52"/>
      <c r="C33" s="90" t="s">
        <v>642</v>
      </c>
      <c r="D33" t="s">
        <v>639</v>
      </c>
      <c r="F33"/>
      <c r="H33" s="3" t="s">
        <v>920</v>
      </c>
      <c r="I33" t="s">
        <v>545</v>
      </c>
      <c r="K33" s="15" t="s">
        <v>547</v>
      </c>
      <c r="N33" s="56"/>
    </row>
    <row r="34" spans="1:14">
      <c r="A34" s="66"/>
      <c r="B34" s="52"/>
      <c r="C34" s="90" t="s">
        <v>921</v>
      </c>
      <c r="D34" t="s">
        <v>639</v>
      </c>
      <c r="F34"/>
      <c r="H34" s="3" t="s">
        <v>918</v>
      </c>
      <c r="I34" t="s">
        <v>545</v>
      </c>
      <c r="N34" s="56"/>
    </row>
    <row r="35" spans="1:14">
      <c r="A35" s="66"/>
      <c r="B35" s="52"/>
      <c r="C35" s="90" t="s">
        <v>922</v>
      </c>
      <c r="D35" t="s">
        <v>543</v>
      </c>
      <c r="F35" s="61">
        <v>11</v>
      </c>
      <c r="G35" s="61">
        <f>31.5*F35+44</f>
        <v>390.5</v>
      </c>
      <c r="H35" s="3" t="s">
        <v>920</v>
      </c>
      <c r="I35" t="s">
        <v>545</v>
      </c>
      <c r="J35" s="15" t="s">
        <v>546</v>
      </c>
      <c r="K35" s="15" t="s">
        <v>547</v>
      </c>
      <c r="L35" s="15" t="s">
        <v>546</v>
      </c>
      <c r="N35" s="56" t="s">
        <v>547</v>
      </c>
    </row>
    <row r="36" spans="1:14">
      <c r="A36" s="66"/>
      <c r="B36" s="52"/>
      <c r="C36" s="90" t="s">
        <v>641</v>
      </c>
      <c r="D36" t="s">
        <v>639</v>
      </c>
      <c r="F36"/>
      <c r="H36" s="3" t="s">
        <v>920</v>
      </c>
      <c r="I36" t="s">
        <v>545</v>
      </c>
      <c r="K36" s="15" t="s">
        <v>547</v>
      </c>
      <c r="N36" s="56"/>
    </row>
    <row r="37" spans="1:14">
      <c r="A37" s="66"/>
      <c r="B37" s="52"/>
      <c r="C37" s="90" t="s">
        <v>923</v>
      </c>
      <c r="D37" t="s">
        <v>569</v>
      </c>
      <c r="F37"/>
      <c r="H37" s="3" t="s">
        <v>924</v>
      </c>
      <c r="I37" t="s">
        <v>545</v>
      </c>
      <c r="K37" s="15" t="s">
        <v>547</v>
      </c>
      <c r="N37" s="56"/>
    </row>
    <row r="38" spans="1:14">
      <c r="A38" s="66"/>
      <c r="B38" s="52"/>
      <c r="C38" s="90" t="s">
        <v>925</v>
      </c>
      <c r="D38" t="s">
        <v>569</v>
      </c>
      <c r="F38"/>
      <c r="H38" s="3" t="s">
        <v>926</v>
      </c>
      <c r="I38" t="s">
        <v>545</v>
      </c>
      <c r="K38" s="15" t="s">
        <v>547</v>
      </c>
      <c r="N38" s="56"/>
    </row>
    <row r="39" spans="1:14">
      <c r="A39" s="66"/>
      <c r="B39" s="52"/>
      <c r="C39" s="90" t="s">
        <v>927</v>
      </c>
      <c r="D39" t="s">
        <v>569</v>
      </c>
      <c r="F39"/>
      <c r="H39" s="3" t="s">
        <v>928</v>
      </c>
      <c r="I39" t="s">
        <v>545</v>
      </c>
      <c r="K39" s="15" t="s">
        <v>547</v>
      </c>
      <c r="N39" s="56"/>
    </row>
    <row r="40" spans="1:14">
      <c r="A40" s="66"/>
      <c r="B40" s="52"/>
      <c r="C40" s="90" t="s">
        <v>929</v>
      </c>
      <c r="D40" t="s">
        <v>569</v>
      </c>
      <c r="F40"/>
      <c r="H40" s="3" t="s">
        <v>930</v>
      </c>
      <c r="I40" t="s">
        <v>545</v>
      </c>
      <c r="K40" s="15" t="s">
        <v>547</v>
      </c>
      <c r="N40" s="56"/>
    </row>
    <row r="41" spans="1:14">
      <c r="A41" s="66"/>
      <c r="B41" s="52"/>
      <c r="C41" s="90" t="s">
        <v>931</v>
      </c>
      <c r="D41" t="s">
        <v>569</v>
      </c>
      <c r="F41"/>
      <c r="H41" s="3" t="s">
        <v>932</v>
      </c>
      <c r="I41" t="s">
        <v>545</v>
      </c>
      <c r="K41" s="15" t="s">
        <v>547</v>
      </c>
      <c r="N41" s="56"/>
    </row>
    <row r="42" spans="1:14">
      <c r="A42" s="66"/>
      <c r="B42" s="52"/>
      <c r="C42" s="90" t="s">
        <v>933</v>
      </c>
      <c r="D42" t="s">
        <v>632</v>
      </c>
      <c r="F42"/>
      <c r="H42" s="3"/>
      <c r="I42"/>
      <c r="N42" s="56"/>
    </row>
    <row r="43" spans="1:14">
      <c r="A43" s="66"/>
      <c r="B43" s="52"/>
      <c r="C43" s="90" t="s">
        <v>934</v>
      </c>
      <c r="D43" t="s">
        <v>632</v>
      </c>
      <c r="F43"/>
      <c r="H43" s="3"/>
      <c r="I43"/>
      <c r="N43" s="56"/>
    </row>
    <row r="44" spans="1:14">
      <c r="A44" s="66"/>
      <c r="B44" s="52"/>
      <c r="C44" s="90" t="s">
        <v>935</v>
      </c>
      <c r="D44" t="s">
        <v>632</v>
      </c>
      <c r="F44"/>
      <c r="H44" s="3"/>
      <c r="I44"/>
      <c r="N44" s="56"/>
    </row>
    <row r="45" spans="1:14">
      <c r="A45" s="66"/>
      <c r="B45" s="66"/>
      <c r="C45" s="47" t="s">
        <v>936</v>
      </c>
      <c r="D45" s="1" t="s">
        <v>585</v>
      </c>
      <c r="F45" s="1"/>
      <c r="H45" s="3" t="s">
        <v>918</v>
      </c>
      <c r="I45" s="15" t="s">
        <v>545</v>
      </c>
      <c r="K45" s="15" t="s">
        <v>547</v>
      </c>
      <c r="N45" s="56"/>
    </row>
    <row r="46" spans="1:14" s="54" customFormat="1">
      <c r="A46" s="64"/>
      <c r="B46" s="64"/>
      <c r="C46" s="48" t="s">
        <v>937</v>
      </c>
      <c r="D46" s="84"/>
      <c r="F46" s="84"/>
      <c r="G46" s="85"/>
      <c r="H46" s="86"/>
      <c r="I46" s="86"/>
      <c r="J46" s="86"/>
      <c r="K46" s="86"/>
      <c r="L46" s="86"/>
      <c r="N46" s="57"/>
    </row>
    <row r="48" spans="1:14" s="53" customFormat="1">
      <c r="A48" s="87" t="s">
        <v>360</v>
      </c>
      <c r="B48" s="87" t="s">
        <v>365</v>
      </c>
      <c r="C48" s="89" t="s">
        <v>593</v>
      </c>
      <c r="D48" s="53" t="s">
        <v>561</v>
      </c>
      <c r="F48" s="53">
        <v>1</v>
      </c>
      <c r="G48" s="82">
        <v>200.27799999999999</v>
      </c>
      <c r="H48" s="88" t="s">
        <v>547</v>
      </c>
      <c r="I48" s="53" t="s">
        <v>552</v>
      </c>
      <c r="J48" s="83"/>
      <c r="K48" s="83"/>
      <c r="L48" s="83"/>
      <c r="N48" s="55" t="s">
        <v>547</v>
      </c>
    </row>
    <row r="49" spans="1:14">
      <c r="A49" s="66"/>
      <c r="B49" s="52"/>
      <c r="C49" s="90" t="s">
        <v>594</v>
      </c>
      <c r="D49"/>
      <c r="F49"/>
      <c r="H49" s="3"/>
      <c r="I49"/>
      <c r="N49" s="56"/>
    </row>
    <row r="50" spans="1:14">
      <c r="A50" s="66"/>
      <c r="B50" s="52"/>
      <c r="C50" s="90" t="s">
        <v>595</v>
      </c>
      <c r="D50"/>
      <c r="F50"/>
      <c r="H50" s="3"/>
      <c r="I50"/>
      <c r="N50" s="56"/>
    </row>
    <row r="51" spans="1:14">
      <c r="A51" s="66"/>
      <c r="B51" s="52"/>
      <c r="C51" s="90" t="s">
        <v>596</v>
      </c>
      <c r="D51" t="s">
        <v>561</v>
      </c>
      <c r="F51" s="1">
        <v>1</v>
      </c>
      <c r="G51" s="61">
        <v>53.270200000000003</v>
      </c>
      <c r="H51" s="3" t="s">
        <v>597</v>
      </c>
      <c r="I51" t="s">
        <v>552</v>
      </c>
      <c r="N51" s="56" t="s">
        <v>547</v>
      </c>
    </row>
    <row r="52" spans="1:14">
      <c r="A52" s="66"/>
      <c r="B52" s="52"/>
      <c r="C52" s="90" t="s">
        <v>598</v>
      </c>
      <c r="D52" t="s">
        <v>561</v>
      </c>
      <c r="F52" s="1">
        <v>1</v>
      </c>
      <c r="G52" s="61">
        <v>50.950600000000001</v>
      </c>
      <c r="H52" s="3" t="s">
        <v>599</v>
      </c>
      <c r="I52" t="s">
        <v>552</v>
      </c>
      <c r="N52" s="56" t="s">
        <v>547</v>
      </c>
    </row>
    <row r="53" spans="1:14">
      <c r="A53" s="66"/>
      <c r="B53" s="52"/>
      <c r="C53" s="90" t="s">
        <v>600</v>
      </c>
      <c r="D53" t="s">
        <v>561</v>
      </c>
      <c r="F53" s="1">
        <v>1</v>
      </c>
      <c r="G53" s="61">
        <v>95.314700000000002</v>
      </c>
      <c r="H53" s="58" t="s">
        <v>601</v>
      </c>
      <c r="I53" t="s">
        <v>552</v>
      </c>
      <c r="N53" s="56" t="s">
        <v>547</v>
      </c>
    </row>
    <row r="54" spans="1:14">
      <c r="A54" s="66"/>
      <c r="B54" s="52"/>
      <c r="C54" s="90" t="s">
        <v>602</v>
      </c>
      <c r="D54" t="s">
        <v>561</v>
      </c>
      <c r="F54" s="1">
        <v>1</v>
      </c>
      <c r="G54" s="61">
        <v>92.903999999999996</v>
      </c>
      <c r="H54" s="3" t="s">
        <v>552</v>
      </c>
      <c r="I54" t="s">
        <v>547</v>
      </c>
      <c r="N54" s="56" t="s">
        <v>547</v>
      </c>
    </row>
    <row r="55" spans="1:14">
      <c r="A55" s="66"/>
      <c r="B55" s="52"/>
      <c r="C55" s="90" t="s">
        <v>605</v>
      </c>
      <c r="D55" t="s">
        <v>569</v>
      </c>
      <c r="F55"/>
      <c r="H55" s="3" t="s">
        <v>552</v>
      </c>
      <c r="I55" t="s">
        <v>545</v>
      </c>
      <c r="N55" s="56"/>
    </row>
    <row r="56" spans="1:14">
      <c r="A56" s="66"/>
      <c r="B56" s="52"/>
      <c r="C56" s="90" t="s">
        <v>606</v>
      </c>
      <c r="D56" t="s">
        <v>569</v>
      </c>
      <c r="F56"/>
      <c r="H56" s="3" t="s">
        <v>607</v>
      </c>
      <c r="I56" t="s">
        <v>545</v>
      </c>
      <c r="N56" s="56"/>
    </row>
    <row r="57" spans="1:14">
      <c r="A57" s="66"/>
      <c r="B57" s="52"/>
      <c r="C57" s="90" t="s">
        <v>608</v>
      </c>
      <c r="D57" t="s">
        <v>569</v>
      </c>
      <c r="F57"/>
      <c r="H57" s="3" t="s">
        <v>609</v>
      </c>
      <c r="I57" t="s">
        <v>545</v>
      </c>
      <c r="N57" s="56"/>
    </row>
    <row r="58" spans="1:14">
      <c r="A58" s="66"/>
      <c r="B58" s="52"/>
      <c r="C58" s="90" t="s">
        <v>610</v>
      </c>
      <c r="D58" t="s">
        <v>569</v>
      </c>
      <c r="F58"/>
      <c r="H58" s="3" t="s">
        <v>611</v>
      </c>
      <c r="I58" t="s">
        <v>545</v>
      </c>
      <c r="N58" s="56"/>
    </row>
    <row r="59" spans="1:14">
      <c r="A59" s="66"/>
      <c r="B59" s="52"/>
      <c r="C59" s="90" t="s">
        <v>938</v>
      </c>
      <c r="D59" t="s">
        <v>543</v>
      </c>
      <c r="F59" s="1">
        <f>(1.05)/0.05+1</f>
        <v>22</v>
      </c>
      <c r="G59" s="61">
        <f>31.5*F59+44</f>
        <v>737</v>
      </c>
      <c r="H59" s="3" t="s">
        <v>918</v>
      </c>
      <c r="I59" t="s">
        <v>552</v>
      </c>
      <c r="J59" s="15" t="s">
        <v>546</v>
      </c>
      <c r="K59" s="15" t="s">
        <v>547</v>
      </c>
      <c r="L59" s="15" t="s">
        <v>546</v>
      </c>
      <c r="N59" s="56" t="s">
        <v>547</v>
      </c>
    </row>
    <row r="60" spans="1:14">
      <c r="A60" s="66"/>
      <c r="B60" s="52"/>
      <c r="C60" s="90" t="s">
        <v>613</v>
      </c>
      <c r="D60" t="s">
        <v>569</v>
      </c>
      <c r="F60"/>
      <c r="H60" s="3" t="s">
        <v>552</v>
      </c>
      <c r="I60" t="s">
        <v>552</v>
      </c>
      <c r="N60" s="56"/>
    </row>
    <row r="61" spans="1:14">
      <c r="A61" s="66"/>
      <c r="B61" s="52"/>
      <c r="C61" s="90" t="s">
        <v>614</v>
      </c>
      <c r="D61" t="s">
        <v>569</v>
      </c>
      <c r="F61"/>
      <c r="H61" s="3" t="s">
        <v>607</v>
      </c>
      <c r="I61" t="s">
        <v>552</v>
      </c>
      <c r="N61" s="56"/>
    </row>
    <row r="62" spans="1:14">
      <c r="A62" s="66"/>
      <c r="B62" s="52"/>
      <c r="C62" s="90" t="s">
        <v>615</v>
      </c>
      <c r="D62" t="s">
        <v>569</v>
      </c>
      <c r="F62"/>
      <c r="H62" s="3" t="s">
        <v>609</v>
      </c>
      <c r="I62" t="s">
        <v>552</v>
      </c>
      <c r="N62" s="56"/>
    </row>
    <row r="63" spans="1:14">
      <c r="A63" s="66"/>
      <c r="B63" s="52"/>
      <c r="C63" s="90" t="s">
        <v>616</v>
      </c>
      <c r="D63" t="s">
        <v>569</v>
      </c>
      <c r="F63"/>
      <c r="H63" s="3" t="s">
        <v>611</v>
      </c>
      <c r="I63" t="s">
        <v>552</v>
      </c>
      <c r="N63" s="56"/>
    </row>
    <row r="64" spans="1:14">
      <c r="A64" s="66"/>
      <c r="B64" s="52"/>
      <c r="C64" s="90" t="s">
        <v>619</v>
      </c>
      <c r="D64" t="s">
        <v>569</v>
      </c>
      <c r="F64"/>
      <c r="H64" s="3" t="s">
        <v>620</v>
      </c>
      <c r="I64" t="s">
        <v>552</v>
      </c>
      <c r="N64" s="56"/>
    </row>
    <row r="65" spans="1:14">
      <c r="A65" s="66"/>
      <c r="B65" s="52"/>
      <c r="C65" s="90" t="s">
        <v>621</v>
      </c>
      <c r="D65" t="s">
        <v>569</v>
      </c>
      <c r="F65"/>
      <c r="H65" s="3" t="s">
        <v>622</v>
      </c>
      <c r="I65" t="s">
        <v>552</v>
      </c>
      <c r="N65" s="56"/>
    </row>
    <row r="66" spans="1:14">
      <c r="A66" s="66"/>
      <c r="B66" s="52"/>
      <c r="C66" s="90" t="s">
        <v>623</v>
      </c>
      <c r="D66" t="s">
        <v>569</v>
      </c>
      <c r="F66"/>
      <c r="H66" s="3" t="s">
        <v>624</v>
      </c>
      <c r="I66" t="s">
        <v>552</v>
      </c>
      <c r="N66" s="56"/>
    </row>
    <row r="67" spans="1:14">
      <c r="A67" s="66"/>
      <c r="B67" s="52"/>
      <c r="C67" s="90" t="s">
        <v>625</v>
      </c>
      <c r="D67" t="s">
        <v>569</v>
      </c>
      <c r="F67"/>
      <c r="H67" s="3" t="s">
        <v>550</v>
      </c>
      <c r="I67" t="s">
        <v>552</v>
      </c>
      <c r="N67" s="56"/>
    </row>
    <row r="68" spans="1:14">
      <c r="A68" s="66"/>
      <c r="B68" s="52"/>
      <c r="C68" s="90" t="s">
        <v>626</v>
      </c>
      <c r="D68" t="s">
        <v>543</v>
      </c>
      <c r="F68" s="1">
        <v>4</v>
      </c>
      <c r="G68" s="61">
        <v>171.91</v>
      </c>
      <c r="H68" s="3" t="s">
        <v>604</v>
      </c>
      <c r="I68" t="s">
        <v>620</v>
      </c>
      <c r="J68" s="15" t="s">
        <v>546</v>
      </c>
      <c r="K68" s="15" t="s">
        <v>547</v>
      </c>
      <c r="L68" s="15" t="s">
        <v>546</v>
      </c>
      <c r="N68" s="56" t="s">
        <v>547</v>
      </c>
    </row>
    <row r="69" spans="1:14">
      <c r="A69" s="66"/>
      <c r="B69" s="52"/>
      <c r="C69" s="90" t="s">
        <v>627</v>
      </c>
      <c r="D69" t="s">
        <v>569</v>
      </c>
      <c r="F69"/>
      <c r="H69" s="3" t="s">
        <v>552</v>
      </c>
      <c r="I69" t="s">
        <v>620</v>
      </c>
      <c r="N69" s="56"/>
    </row>
    <row r="70" spans="1:14">
      <c r="A70" s="66"/>
      <c r="B70" s="52"/>
      <c r="C70" s="90" t="s">
        <v>628</v>
      </c>
      <c r="D70" t="s">
        <v>569</v>
      </c>
      <c r="F70"/>
      <c r="H70" s="3" t="s">
        <v>607</v>
      </c>
      <c r="I70" t="s">
        <v>620</v>
      </c>
      <c r="N70" s="56"/>
    </row>
    <row r="71" spans="1:14">
      <c r="A71" s="66"/>
      <c r="B71" s="52"/>
      <c r="C71" s="90" t="s">
        <v>629</v>
      </c>
      <c r="D71" t="s">
        <v>569</v>
      </c>
      <c r="F71"/>
      <c r="H71" s="3" t="s">
        <v>609</v>
      </c>
      <c r="I71" t="s">
        <v>620</v>
      </c>
      <c r="N71" s="56"/>
    </row>
    <row r="72" spans="1:14">
      <c r="A72" s="66"/>
      <c r="B72" s="52"/>
      <c r="C72" s="90" t="s">
        <v>630</v>
      </c>
      <c r="D72" t="s">
        <v>569</v>
      </c>
      <c r="F72"/>
      <c r="H72" s="3" t="s">
        <v>611</v>
      </c>
      <c r="I72" t="s">
        <v>620</v>
      </c>
      <c r="N72" s="56"/>
    </row>
    <row r="73" spans="1:14">
      <c r="A73" s="66"/>
      <c r="B73" s="52"/>
      <c r="C73" s="90" t="s">
        <v>631</v>
      </c>
      <c r="D73" t="s">
        <v>632</v>
      </c>
      <c r="F73"/>
      <c r="H73" s="3"/>
      <c r="I73"/>
      <c r="N73" s="56"/>
    </row>
    <row r="74" spans="1:14">
      <c r="A74" s="66"/>
      <c r="B74" s="52"/>
      <c r="C74" s="90" t="s">
        <v>633</v>
      </c>
      <c r="D74" t="s">
        <v>632</v>
      </c>
      <c r="F74"/>
      <c r="H74" s="3"/>
      <c r="I74"/>
      <c r="N74" s="56"/>
    </row>
    <row r="75" spans="1:14">
      <c r="A75" s="66"/>
      <c r="B75" s="52"/>
      <c r="C75" s="90" t="s">
        <v>634</v>
      </c>
      <c r="D75" t="s">
        <v>632</v>
      </c>
      <c r="F75"/>
      <c r="H75" s="3"/>
      <c r="I75"/>
      <c r="N75" s="56"/>
    </row>
    <row r="76" spans="1:14">
      <c r="A76" s="66"/>
      <c r="B76" s="52"/>
      <c r="C76" s="90" t="s">
        <v>635</v>
      </c>
      <c r="D76" t="s">
        <v>632</v>
      </c>
      <c r="F76"/>
      <c r="H76" s="3"/>
      <c r="I76"/>
      <c r="N76" s="56"/>
    </row>
    <row r="77" spans="1:14">
      <c r="A77" s="66"/>
      <c r="B77" s="52"/>
      <c r="C77" s="90" t="s">
        <v>939</v>
      </c>
      <c r="D77" t="s">
        <v>639</v>
      </c>
      <c r="F77"/>
      <c r="H77" s="3" t="s">
        <v>918</v>
      </c>
      <c r="I77" t="s">
        <v>552</v>
      </c>
      <c r="N77" s="56"/>
    </row>
    <row r="78" spans="1:14">
      <c r="A78" s="66"/>
      <c r="B78" s="52"/>
      <c r="C78" s="90" t="s">
        <v>940</v>
      </c>
      <c r="D78" t="s">
        <v>543</v>
      </c>
      <c r="F78">
        <v>11</v>
      </c>
      <c r="G78" s="61">
        <f>31.5*F78+44</f>
        <v>390.5</v>
      </c>
      <c r="H78" s="3" t="s">
        <v>941</v>
      </c>
      <c r="I78" t="s">
        <v>552</v>
      </c>
      <c r="J78" s="15" t="s">
        <v>546</v>
      </c>
      <c r="K78" s="15" t="s">
        <v>547</v>
      </c>
      <c r="L78" s="15" t="s">
        <v>546</v>
      </c>
      <c r="N78" s="56" t="s">
        <v>547</v>
      </c>
    </row>
    <row r="79" spans="1:14">
      <c r="A79" s="66"/>
      <c r="B79" s="52"/>
      <c r="C79" s="90" t="s">
        <v>638</v>
      </c>
      <c r="D79" t="s">
        <v>639</v>
      </c>
      <c r="F79"/>
      <c r="H79" s="3" t="s">
        <v>941</v>
      </c>
      <c r="I79" t="s">
        <v>552</v>
      </c>
      <c r="K79" s="15" t="s">
        <v>547</v>
      </c>
      <c r="N79" s="56"/>
    </row>
    <row r="80" spans="1:14" s="15" customFormat="1">
      <c r="A80" s="66"/>
      <c r="B80" s="52"/>
      <c r="C80" s="90" t="s">
        <v>942</v>
      </c>
      <c r="D80" t="s">
        <v>639</v>
      </c>
      <c r="E80"/>
      <c r="F80"/>
      <c r="G80" s="61"/>
      <c r="H80" s="3" t="s">
        <v>918</v>
      </c>
      <c r="I80" t="s">
        <v>552</v>
      </c>
      <c r="K80" s="15" t="s">
        <v>547</v>
      </c>
      <c r="M80"/>
      <c r="N80" s="56"/>
    </row>
    <row r="81" spans="1:14" s="15" customFormat="1">
      <c r="A81" s="66"/>
      <c r="B81" s="52"/>
      <c r="C81" s="90" t="s">
        <v>943</v>
      </c>
      <c r="D81" t="s">
        <v>543</v>
      </c>
      <c r="E81"/>
      <c r="F81">
        <v>11</v>
      </c>
      <c r="G81" s="61">
        <f>31.5*F81+44</f>
        <v>390.5</v>
      </c>
      <c r="H81" s="3" t="s">
        <v>920</v>
      </c>
      <c r="I81" t="s">
        <v>552</v>
      </c>
      <c r="J81" s="15" t="s">
        <v>546</v>
      </c>
      <c r="K81" s="15" t="s">
        <v>547</v>
      </c>
      <c r="L81" s="15" t="s">
        <v>546</v>
      </c>
      <c r="M81"/>
      <c r="N81" s="56" t="s">
        <v>547</v>
      </c>
    </row>
    <row r="82" spans="1:14" s="15" customFormat="1">
      <c r="A82" s="66"/>
      <c r="B82" s="52"/>
      <c r="C82" s="90" t="s">
        <v>654</v>
      </c>
      <c r="D82" t="s">
        <v>639</v>
      </c>
      <c r="E82"/>
      <c r="F82"/>
      <c r="G82" s="61"/>
      <c r="H82" s="3" t="s">
        <v>920</v>
      </c>
      <c r="I82" t="s">
        <v>552</v>
      </c>
      <c r="K82" s="15" t="s">
        <v>547</v>
      </c>
      <c r="M82"/>
      <c r="N82" s="56"/>
    </row>
    <row r="83" spans="1:14" s="15" customFormat="1">
      <c r="A83" s="66"/>
      <c r="B83" s="52"/>
      <c r="C83" s="90" t="s">
        <v>944</v>
      </c>
      <c r="D83" t="s">
        <v>639</v>
      </c>
      <c r="E83"/>
      <c r="F83"/>
      <c r="G83" s="61"/>
      <c r="H83" s="3" t="s">
        <v>918</v>
      </c>
      <c r="I83" t="s">
        <v>552</v>
      </c>
      <c r="K83" s="15" t="s">
        <v>547</v>
      </c>
      <c r="M83"/>
      <c r="N83" s="56"/>
    </row>
    <row r="84" spans="1:14" s="15" customFormat="1">
      <c r="A84" s="66"/>
      <c r="B84" s="52"/>
      <c r="C84" s="90" t="s">
        <v>945</v>
      </c>
      <c r="D84" t="s">
        <v>543</v>
      </c>
      <c r="E84"/>
      <c r="F84">
        <v>11</v>
      </c>
      <c r="G84" s="61">
        <f>31.5*F84+44</f>
        <v>390.5</v>
      </c>
      <c r="H84" s="3" t="s">
        <v>920</v>
      </c>
      <c r="I84" t="s">
        <v>552</v>
      </c>
      <c r="J84" s="15" t="s">
        <v>546</v>
      </c>
      <c r="K84" s="15" t="s">
        <v>547</v>
      </c>
      <c r="L84" s="15" t="s">
        <v>546</v>
      </c>
      <c r="M84"/>
      <c r="N84" s="56" t="s">
        <v>547</v>
      </c>
    </row>
    <row r="85" spans="1:14" s="15" customFormat="1">
      <c r="A85" s="66"/>
      <c r="B85" s="52"/>
      <c r="C85" s="90" t="s">
        <v>653</v>
      </c>
      <c r="D85" t="s">
        <v>639</v>
      </c>
      <c r="E85"/>
      <c r="F85"/>
      <c r="G85" s="61"/>
      <c r="H85" s="3" t="s">
        <v>920</v>
      </c>
      <c r="I85" t="s">
        <v>552</v>
      </c>
      <c r="K85" s="15" t="s">
        <v>547</v>
      </c>
      <c r="M85"/>
      <c r="N85" s="56"/>
    </row>
    <row r="86" spans="1:14" s="15" customFormat="1">
      <c r="A86" s="66"/>
      <c r="B86" s="52"/>
      <c r="C86" s="90" t="s">
        <v>946</v>
      </c>
      <c r="D86" t="s">
        <v>569</v>
      </c>
      <c r="E86"/>
      <c r="F86"/>
      <c r="G86" s="61"/>
      <c r="H86" s="3" t="s">
        <v>924</v>
      </c>
      <c r="I86" t="s">
        <v>552</v>
      </c>
      <c r="K86" s="15" t="s">
        <v>547</v>
      </c>
      <c r="M86"/>
      <c r="N86" s="56"/>
    </row>
    <row r="87" spans="1:14" s="15" customFormat="1">
      <c r="A87" s="66"/>
      <c r="B87" s="52"/>
      <c r="C87" s="90" t="s">
        <v>947</v>
      </c>
      <c r="D87" t="s">
        <v>569</v>
      </c>
      <c r="E87"/>
      <c r="F87"/>
      <c r="G87" s="61"/>
      <c r="H87" s="3" t="s">
        <v>926</v>
      </c>
      <c r="I87" t="s">
        <v>552</v>
      </c>
      <c r="K87" s="15" t="s">
        <v>547</v>
      </c>
      <c r="M87"/>
      <c r="N87" s="56"/>
    </row>
    <row r="88" spans="1:14" s="15" customFormat="1">
      <c r="A88" s="66"/>
      <c r="B88" s="52"/>
      <c r="C88" s="90" t="s">
        <v>948</v>
      </c>
      <c r="D88" t="s">
        <v>569</v>
      </c>
      <c r="E88"/>
      <c r="F88"/>
      <c r="G88" s="61"/>
      <c r="H88" s="3" t="s">
        <v>928</v>
      </c>
      <c r="I88" t="s">
        <v>552</v>
      </c>
      <c r="K88" s="15" t="s">
        <v>547</v>
      </c>
      <c r="M88"/>
      <c r="N88" s="56"/>
    </row>
    <row r="89" spans="1:14" s="15" customFormat="1">
      <c r="A89" s="66"/>
      <c r="B89" s="52"/>
      <c r="C89" s="90" t="s">
        <v>949</v>
      </c>
      <c r="D89" t="s">
        <v>569</v>
      </c>
      <c r="E89"/>
      <c r="F89"/>
      <c r="G89" s="61"/>
      <c r="H89" s="3" t="s">
        <v>930</v>
      </c>
      <c r="I89" t="s">
        <v>552</v>
      </c>
      <c r="K89" s="15" t="s">
        <v>547</v>
      </c>
      <c r="M89"/>
      <c r="N89" s="56"/>
    </row>
    <row r="90" spans="1:14" s="15" customFormat="1">
      <c r="A90" s="66"/>
      <c r="B90" s="52"/>
      <c r="C90" s="90" t="s">
        <v>950</v>
      </c>
      <c r="D90" t="s">
        <v>569</v>
      </c>
      <c r="E90"/>
      <c r="F90"/>
      <c r="G90" s="61"/>
      <c r="H90" s="3" t="s">
        <v>932</v>
      </c>
      <c r="I90" t="s">
        <v>552</v>
      </c>
      <c r="K90" s="15" t="s">
        <v>547</v>
      </c>
      <c r="M90"/>
      <c r="N90" s="56"/>
    </row>
    <row r="91" spans="1:14" s="15" customFormat="1">
      <c r="A91" s="66"/>
      <c r="B91" s="52"/>
      <c r="C91" s="90" t="s">
        <v>951</v>
      </c>
      <c r="D91" t="s">
        <v>632</v>
      </c>
      <c r="E91"/>
      <c r="F91"/>
      <c r="G91" s="61"/>
      <c r="H91" s="3"/>
      <c r="I91"/>
      <c r="M91"/>
      <c r="N91" s="56"/>
    </row>
    <row r="92" spans="1:14" s="15" customFormat="1">
      <c r="A92" s="66"/>
      <c r="B92" s="52"/>
      <c r="C92" s="90" t="s">
        <v>952</v>
      </c>
      <c r="D92" t="s">
        <v>632</v>
      </c>
      <c r="E92"/>
      <c r="F92"/>
      <c r="G92" s="61"/>
      <c r="H92" s="3"/>
      <c r="I92"/>
      <c r="M92"/>
      <c r="N92" s="56"/>
    </row>
    <row r="93" spans="1:14" s="15" customFormat="1">
      <c r="A93" s="66"/>
      <c r="B93" s="52"/>
      <c r="C93" s="90" t="s">
        <v>953</v>
      </c>
      <c r="D93" t="s">
        <v>632</v>
      </c>
      <c r="E93"/>
      <c r="F93"/>
      <c r="G93" s="61"/>
      <c r="H93" s="3"/>
      <c r="I93"/>
      <c r="M93"/>
      <c r="N93" s="56"/>
    </row>
    <row r="94" spans="1:14" s="15" customFormat="1">
      <c r="A94" s="66"/>
      <c r="B94" s="52"/>
      <c r="C94" s="90" t="s">
        <v>954</v>
      </c>
      <c r="D94" t="s">
        <v>585</v>
      </c>
      <c r="E94"/>
      <c r="F94"/>
      <c r="G94" s="61"/>
      <c r="H94" s="3" t="s">
        <v>918</v>
      </c>
      <c r="I94" t="s">
        <v>552</v>
      </c>
      <c r="K94" s="15" t="s">
        <v>547</v>
      </c>
      <c r="M94"/>
      <c r="N94" s="56"/>
    </row>
    <row r="95" spans="1:14" s="15" customFormat="1">
      <c r="A95" s="66"/>
      <c r="B95" s="52"/>
      <c r="C95" s="90" t="s">
        <v>955</v>
      </c>
      <c r="D95"/>
      <c r="E95"/>
      <c r="F95"/>
      <c r="G95" s="61"/>
      <c r="H95" s="3"/>
      <c r="I95"/>
      <c r="M95"/>
      <c r="N95" s="56"/>
    </row>
    <row r="96" spans="1:14" s="15" customFormat="1">
      <c r="A96" s="66"/>
      <c r="B96" s="52"/>
      <c r="C96" s="90" t="s">
        <v>665</v>
      </c>
      <c r="D96" t="s">
        <v>632</v>
      </c>
      <c r="E96"/>
      <c r="F96"/>
      <c r="G96" s="61"/>
      <c r="H96" s="3"/>
      <c r="I96"/>
      <c r="M96"/>
      <c r="N96" s="56"/>
    </row>
    <row r="97" spans="1:17" s="15" customFormat="1">
      <c r="A97" s="66"/>
      <c r="B97" s="52"/>
      <c r="C97" s="90" t="s">
        <v>666</v>
      </c>
      <c r="D97" t="s">
        <v>632</v>
      </c>
      <c r="E97"/>
      <c r="F97"/>
      <c r="G97" s="61"/>
      <c r="H97" s="3"/>
      <c r="I97"/>
      <c r="M97"/>
      <c r="N97" s="56"/>
    </row>
    <row r="98" spans="1:17">
      <c r="A98" s="66"/>
      <c r="B98" s="52"/>
      <c r="C98" s="90" t="s">
        <v>667</v>
      </c>
      <c r="D98" t="s">
        <v>632</v>
      </c>
      <c r="F98"/>
      <c r="H98" s="3"/>
      <c r="I98"/>
      <c r="N98" s="56"/>
    </row>
    <row r="99" spans="1:17">
      <c r="A99" s="66"/>
      <c r="B99" s="52"/>
      <c r="C99" s="90" t="s">
        <v>668</v>
      </c>
      <c r="D99" t="s">
        <v>561</v>
      </c>
      <c r="F99" s="1">
        <v>1</v>
      </c>
      <c r="G99" s="61">
        <v>95.685400000000001</v>
      </c>
      <c r="H99" s="3" t="s">
        <v>669</v>
      </c>
      <c r="I99" t="s">
        <v>552</v>
      </c>
      <c r="N99" s="56"/>
    </row>
    <row r="100" spans="1:17" s="54" customFormat="1">
      <c r="A100" s="64"/>
      <c r="B100" s="115"/>
      <c r="C100" s="117" t="s">
        <v>670</v>
      </c>
      <c r="F100" s="84"/>
      <c r="G100" s="85"/>
      <c r="H100" s="91"/>
      <c r="J100" s="86"/>
      <c r="K100" s="86"/>
      <c r="L100" s="86"/>
      <c r="N100" s="57"/>
    </row>
    <row r="102" spans="1:17" s="53" customFormat="1">
      <c r="A102" s="87" t="s">
        <v>360</v>
      </c>
      <c r="B102" s="63" t="s">
        <v>956</v>
      </c>
      <c r="C102" s="53" t="s">
        <v>671</v>
      </c>
      <c r="D102" s="53" t="s">
        <v>543</v>
      </c>
      <c r="F102" s="81">
        <v>6</v>
      </c>
      <c r="G102" s="61">
        <f>31.5*F102+44</f>
        <v>233</v>
      </c>
      <c r="H102" s="88" t="s">
        <v>672</v>
      </c>
      <c r="I102" s="53" t="s">
        <v>545</v>
      </c>
      <c r="J102" s="83" t="s">
        <v>546</v>
      </c>
      <c r="K102" s="83" t="s">
        <v>547</v>
      </c>
      <c r="L102" s="83" t="s">
        <v>546</v>
      </c>
      <c r="N102" s="55" t="s">
        <v>547</v>
      </c>
      <c r="Q102" s="82"/>
    </row>
    <row r="103" spans="1:17">
      <c r="A103" s="52"/>
      <c r="B103" s="66"/>
      <c r="C103" t="s">
        <v>673</v>
      </c>
      <c r="D103" t="s">
        <v>569</v>
      </c>
      <c r="F103"/>
      <c r="H103" s="3" t="s">
        <v>674</v>
      </c>
      <c r="I103" t="s">
        <v>545</v>
      </c>
      <c r="N103" s="56"/>
    </row>
    <row r="104" spans="1:17">
      <c r="A104" s="52"/>
      <c r="B104" s="66"/>
      <c r="C104" t="s">
        <v>675</v>
      </c>
      <c r="D104" t="s">
        <v>569</v>
      </c>
      <c r="F104" s="1"/>
      <c r="H104" s="3" t="s">
        <v>676</v>
      </c>
      <c r="I104" t="s">
        <v>545</v>
      </c>
      <c r="N104" s="56"/>
    </row>
    <row r="105" spans="1:17">
      <c r="A105" s="52"/>
      <c r="B105" s="66"/>
      <c r="C105" t="s">
        <v>677</v>
      </c>
      <c r="D105" t="s">
        <v>569</v>
      </c>
      <c r="F105" s="1"/>
      <c r="H105" s="3" t="s">
        <v>678</v>
      </c>
      <c r="I105" t="s">
        <v>545</v>
      </c>
      <c r="N105" s="56"/>
    </row>
    <row r="106" spans="1:17">
      <c r="A106" s="52"/>
      <c r="B106" s="66"/>
      <c r="C106" t="s">
        <v>679</v>
      </c>
      <c r="D106" t="s">
        <v>543</v>
      </c>
      <c r="F106" s="1">
        <v>6</v>
      </c>
      <c r="G106" s="61">
        <v>231.37100000000001</v>
      </c>
      <c r="H106" s="3" t="s">
        <v>680</v>
      </c>
      <c r="I106" t="s">
        <v>552</v>
      </c>
      <c r="J106" s="15" t="s">
        <v>546</v>
      </c>
      <c r="K106" s="15" t="s">
        <v>547</v>
      </c>
      <c r="L106" s="15" t="s">
        <v>546</v>
      </c>
      <c r="N106" s="56" t="s">
        <v>547</v>
      </c>
    </row>
    <row r="107" spans="1:17">
      <c r="A107" s="52"/>
      <c r="B107" s="66"/>
      <c r="C107" t="s">
        <v>681</v>
      </c>
      <c r="D107" t="s">
        <v>569</v>
      </c>
      <c r="F107"/>
      <c r="H107" s="3" t="s">
        <v>682</v>
      </c>
      <c r="I107" t="s">
        <v>552</v>
      </c>
      <c r="N107" s="56"/>
    </row>
    <row r="108" spans="1:17">
      <c r="A108" s="52"/>
      <c r="B108" s="66"/>
      <c r="C108" t="s">
        <v>683</v>
      </c>
      <c r="D108" t="s">
        <v>569</v>
      </c>
      <c r="F108"/>
      <c r="H108" s="3" t="s">
        <v>684</v>
      </c>
      <c r="I108" t="s">
        <v>552</v>
      </c>
      <c r="N108" s="56"/>
    </row>
    <row r="109" spans="1:17">
      <c r="A109" s="52"/>
      <c r="B109" s="66"/>
      <c r="C109" t="s">
        <v>685</v>
      </c>
      <c r="D109" t="s">
        <v>569</v>
      </c>
      <c r="F109"/>
      <c r="H109" s="3" t="s">
        <v>686</v>
      </c>
      <c r="I109" t="s">
        <v>552</v>
      </c>
      <c r="N109" s="56"/>
    </row>
    <row r="110" spans="1:17">
      <c r="A110" s="52"/>
      <c r="B110" s="66"/>
      <c r="C110" t="s">
        <v>687</v>
      </c>
      <c r="D110" t="s">
        <v>543</v>
      </c>
      <c r="F110" s="1">
        <v>2</v>
      </c>
      <c r="G110" s="61">
        <v>106.18899999999999</v>
      </c>
      <c r="H110" s="3" t="s">
        <v>688</v>
      </c>
      <c r="I110" t="s">
        <v>545</v>
      </c>
      <c r="J110" s="15" t="s">
        <v>546</v>
      </c>
      <c r="K110" s="15" t="s">
        <v>547</v>
      </c>
      <c r="L110" s="15" t="s">
        <v>546</v>
      </c>
      <c r="N110" s="56" t="s">
        <v>547</v>
      </c>
    </row>
    <row r="111" spans="1:17">
      <c r="A111" s="52"/>
      <c r="B111" s="66"/>
      <c r="C111" t="s">
        <v>689</v>
      </c>
      <c r="D111" t="s">
        <v>543</v>
      </c>
      <c r="F111">
        <f>(1.1-0.65)/0.05+1</f>
        <v>10</v>
      </c>
      <c r="G111" s="61">
        <v>360.38400000000001</v>
      </c>
      <c r="H111" s="3" t="s">
        <v>690</v>
      </c>
      <c r="I111" t="s">
        <v>545</v>
      </c>
      <c r="J111" s="15" t="s">
        <v>546</v>
      </c>
      <c r="K111" s="15" t="s">
        <v>547</v>
      </c>
      <c r="L111" s="15" t="s">
        <v>546</v>
      </c>
      <c r="N111" s="56" t="s">
        <v>547</v>
      </c>
    </row>
    <row r="112" spans="1:17">
      <c r="A112" s="52"/>
      <c r="B112" s="66"/>
      <c r="C112" t="s">
        <v>691</v>
      </c>
      <c r="D112" t="s">
        <v>569</v>
      </c>
      <c r="F112"/>
      <c r="H112" s="3" t="s">
        <v>692</v>
      </c>
      <c r="I112" t="s">
        <v>545</v>
      </c>
      <c r="N112" s="56"/>
    </row>
    <row r="113" spans="1:14">
      <c r="A113" s="52"/>
      <c r="B113" s="66"/>
      <c r="C113" t="s">
        <v>693</v>
      </c>
      <c r="D113" t="s">
        <v>569</v>
      </c>
      <c r="F113"/>
      <c r="H113" s="3" t="s">
        <v>694</v>
      </c>
      <c r="I113" t="s">
        <v>545</v>
      </c>
      <c r="N113" s="56"/>
    </row>
    <row r="114" spans="1:14">
      <c r="A114" s="52"/>
      <c r="B114" s="66"/>
      <c r="C114" t="s">
        <v>695</v>
      </c>
      <c r="D114" t="s">
        <v>569</v>
      </c>
      <c r="F114"/>
      <c r="H114" s="3" t="s">
        <v>696</v>
      </c>
      <c r="I114" t="s">
        <v>545</v>
      </c>
      <c r="N114" s="56"/>
    </row>
    <row r="115" spans="1:14">
      <c r="A115" s="52"/>
      <c r="B115" s="66"/>
      <c r="C115" t="s">
        <v>697</v>
      </c>
      <c r="D115" t="s">
        <v>569</v>
      </c>
      <c r="F115"/>
      <c r="H115" s="3" t="s">
        <v>698</v>
      </c>
      <c r="I115" t="s">
        <v>545</v>
      </c>
      <c r="N115" s="56"/>
    </row>
    <row r="116" spans="1:14">
      <c r="A116" s="52"/>
      <c r="B116" s="66"/>
      <c r="C116" t="s">
        <v>699</v>
      </c>
      <c r="D116" t="s">
        <v>569</v>
      </c>
      <c r="F116"/>
      <c r="H116" s="3" t="s">
        <v>700</v>
      </c>
      <c r="I116" t="s">
        <v>545</v>
      </c>
      <c r="N116" s="56"/>
    </row>
    <row r="117" spans="1:14">
      <c r="A117" s="52"/>
      <c r="B117" s="66"/>
      <c r="C117" t="s">
        <v>701</v>
      </c>
      <c r="D117" t="s">
        <v>569</v>
      </c>
      <c r="F117"/>
      <c r="H117" s="3" t="s">
        <v>702</v>
      </c>
      <c r="I117" t="s">
        <v>545</v>
      </c>
      <c r="N117" s="56"/>
    </row>
    <row r="118" spans="1:14">
      <c r="A118" s="52"/>
      <c r="B118" s="66"/>
      <c r="C118" t="s">
        <v>703</v>
      </c>
      <c r="D118" t="s">
        <v>569</v>
      </c>
      <c r="F118"/>
      <c r="H118" s="3" t="s">
        <v>704</v>
      </c>
      <c r="I118" t="s">
        <v>545</v>
      </c>
      <c r="N118" s="56"/>
    </row>
    <row r="119" spans="1:14">
      <c r="A119" s="52"/>
      <c r="B119" s="66"/>
      <c r="C119" t="s">
        <v>705</v>
      </c>
      <c r="D119" t="s">
        <v>569</v>
      </c>
      <c r="F119"/>
      <c r="H119" s="3" t="s">
        <v>706</v>
      </c>
      <c r="I119" t="s">
        <v>545</v>
      </c>
      <c r="N119" s="56"/>
    </row>
    <row r="120" spans="1:14">
      <c r="A120" s="52"/>
      <c r="B120" s="66"/>
      <c r="C120" t="s">
        <v>707</v>
      </c>
      <c r="D120" t="s">
        <v>569</v>
      </c>
      <c r="F120"/>
      <c r="H120" s="3" t="s">
        <v>708</v>
      </c>
      <c r="I120" t="s">
        <v>545</v>
      </c>
      <c r="N120" s="56"/>
    </row>
    <row r="121" spans="1:14">
      <c r="A121" s="52"/>
      <c r="B121" s="66"/>
      <c r="C121" t="s">
        <v>709</v>
      </c>
      <c r="D121" t="s">
        <v>543</v>
      </c>
      <c r="F121" s="1">
        <v>2</v>
      </c>
      <c r="G121" s="61">
        <v>108.983</v>
      </c>
      <c r="H121" s="3" t="s">
        <v>710</v>
      </c>
      <c r="I121" t="s">
        <v>545</v>
      </c>
      <c r="J121" s="15" t="s">
        <v>546</v>
      </c>
      <c r="K121" s="15" t="s">
        <v>547</v>
      </c>
      <c r="L121" s="15" t="s">
        <v>546</v>
      </c>
      <c r="N121" s="56" t="s">
        <v>547</v>
      </c>
    </row>
    <row r="122" spans="1:14">
      <c r="A122" s="52"/>
      <c r="B122" s="66"/>
      <c r="C122" t="s">
        <v>711</v>
      </c>
      <c r="D122" t="s">
        <v>543</v>
      </c>
      <c r="F122" s="1">
        <v>2</v>
      </c>
      <c r="G122" s="61">
        <v>107.95099999999999</v>
      </c>
      <c r="H122" s="3" t="s">
        <v>712</v>
      </c>
      <c r="I122" t="s">
        <v>552</v>
      </c>
      <c r="J122" s="15" t="s">
        <v>546</v>
      </c>
      <c r="K122" s="15" t="s">
        <v>547</v>
      </c>
      <c r="L122" s="15" t="s">
        <v>546</v>
      </c>
      <c r="N122" s="56" t="s">
        <v>547</v>
      </c>
    </row>
    <row r="123" spans="1:14">
      <c r="A123" s="52"/>
      <c r="B123" s="66"/>
      <c r="C123" t="s">
        <v>713</v>
      </c>
      <c r="D123" t="s">
        <v>569</v>
      </c>
      <c r="F123"/>
      <c r="H123" s="3" t="s">
        <v>714</v>
      </c>
      <c r="I123" t="s">
        <v>545</v>
      </c>
      <c r="N123" s="56"/>
    </row>
    <row r="124" spans="1:14">
      <c r="A124" s="52"/>
      <c r="B124" s="66"/>
      <c r="C124" t="s">
        <v>715</v>
      </c>
      <c r="D124" t="s">
        <v>569</v>
      </c>
      <c r="F124"/>
      <c r="H124" s="3" t="s">
        <v>716</v>
      </c>
      <c r="I124" t="s">
        <v>545</v>
      </c>
      <c r="N124" s="56"/>
    </row>
    <row r="125" spans="1:14">
      <c r="A125" s="52"/>
      <c r="B125" s="66"/>
      <c r="C125" t="s">
        <v>717</v>
      </c>
      <c r="D125" t="s">
        <v>569</v>
      </c>
      <c r="F125"/>
      <c r="H125" s="3" t="s">
        <v>718</v>
      </c>
      <c r="I125" t="s">
        <v>552</v>
      </c>
      <c r="N125" s="56"/>
    </row>
    <row r="126" spans="1:14">
      <c r="A126" s="52"/>
      <c r="B126" s="66"/>
      <c r="C126" t="s">
        <v>719</v>
      </c>
      <c r="D126" t="s">
        <v>569</v>
      </c>
      <c r="F126"/>
      <c r="H126" s="3" t="s">
        <v>720</v>
      </c>
      <c r="I126" t="s">
        <v>552</v>
      </c>
      <c r="N126" s="56"/>
    </row>
    <row r="127" spans="1:14">
      <c r="A127" s="52"/>
      <c r="B127" s="66"/>
      <c r="C127" t="s">
        <v>721</v>
      </c>
      <c r="D127" t="s">
        <v>543</v>
      </c>
      <c r="F127" s="1">
        <v>2</v>
      </c>
      <c r="G127" s="61">
        <v>103.82</v>
      </c>
      <c r="H127" s="3" t="s">
        <v>722</v>
      </c>
      <c r="I127" t="s">
        <v>552</v>
      </c>
      <c r="J127" s="15" t="s">
        <v>546</v>
      </c>
      <c r="K127" s="15" t="s">
        <v>547</v>
      </c>
      <c r="L127" s="15" t="s">
        <v>546</v>
      </c>
      <c r="N127" s="56"/>
    </row>
    <row r="128" spans="1:14">
      <c r="A128" s="52"/>
      <c r="B128" s="66"/>
      <c r="C128" t="s">
        <v>723</v>
      </c>
      <c r="D128" t="s">
        <v>543</v>
      </c>
      <c r="F128" s="1">
        <v>1</v>
      </c>
      <c r="G128" s="61">
        <v>74.339200000000005</v>
      </c>
      <c r="H128" s="3" t="s">
        <v>718</v>
      </c>
      <c r="I128" t="s">
        <v>552</v>
      </c>
      <c r="J128" s="15" t="s">
        <v>546</v>
      </c>
      <c r="K128" s="15" t="s">
        <v>547</v>
      </c>
      <c r="L128" s="15" t="s">
        <v>546</v>
      </c>
      <c r="N128" s="56"/>
    </row>
    <row r="129" spans="1:14">
      <c r="A129" s="52"/>
      <c r="B129" s="66"/>
      <c r="C129" t="s">
        <v>724</v>
      </c>
      <c r="D129" t="s">
        <v>569</v>
      </c>
      <c r="F129"/>
      <c r="H129" s="3" t="s">
        <v>725</v>
      </c>
      <c r="I129" t="s">
        <v>552</v>
      </c>
      <c r="N129" s="56"/>
    </row>
    <row r="130" spans="1:14">
      <c r="A130" s="52"/>
      <c r="B130" s="66"/>
      <c r="C130" t="s">
        <v>726</v>
      </c>
      <c r="D130" t="s">
        <v>569</v>
      </c>
      <c r="F130"/>
      <c r="H130" s="3" t="s">
        <v>727</v>
      </c>
      <c r="I130" t="s">
        <v>552</v>
      </c>
      <c r="N130" s="56"/>
    </row>
    <row r="131" spans="1:14">
      <c r="A131" s="52"/>
      <c r="B131" s="66"/>
      <c r="C131" t="s">
        <v>728</v>
      </c>
      <c r="D131" t="s">
        <v>569</v>
      </c>
      <c r="F131"/>
      <c r="H131" s="3" t="s">
        <v>718</v>
      </c>
      <c r="I131" t="s">
        <v>552</v>
      </c>
      <c r="N131" s="56"/>
    </row>
    <row r="132" spans="1:14">
      <c r="A132" s="52"/>
      <c r="B132" s="66"/>
      <c r="C132" t="s">
        <v>729</v>
      </c>
      <c r="D132" t="s">
        <v>543</v>
      </c>
      <c r="F132" s="1">
        <v>2</v>
      </c>
      <c r="G132" s="61">
        <v>102.636</v>
      </c>
      <c r="H132" s="3" t="s">
        <v>722</v>
      </c>
      <c r="I132" t="s">
        <v>554</v>
      </c>
      <c r="J132" s="15" t="s">
        <v>546</v>
      </c>
      <c r="K132" s="15" t="s">
        <v>547</v>
      </c>
      <c r="L132" s="15" t="s">
        <v>546</v>
      </c>
      <c r="N132" s="56" t="s">
        <v>547</v>
      </c>
    </row>
    <row r="133" spans="1:14">
      <c r="A133" s="52"/>
      <c r="B133" s="66"/>
      <c r="C133" t="s">
        <v>730</v>
      </c>
      <c r="D133" t="s">
        <v>543</v>
      </c>
      <c r="F133" s="1">
        <v>1</v>
      </c>
      <c r="G133" s="61">
        <v>74.065200000000004</v>
      </c>
      <c r="H133" s="3" t="s">
        <v>718</v>
      </c>
      <c r="I133" t="s">
        <v>554</v>
      </c>
      <c r="J133" s="15" t="s">
        <v>546</v>
      </c>
      <c r="K133" s="15" t="s">
        <v>547</v>
      </c>
      <c r="L133" s="15" t="s">
        <v>546</v>
      </c>
      <c r="N133" s="56" t="s">
        <v>547</v>
      </c>
    </row>
    <row r="134" spans="1:14">
      <c r="A134" s="52"/>
      <c r="B134" s="66"/>
      <c r="C134" t="s">
        <v>731</v>
      </c>
      <c r="D134" t="s">
        <v>569</v>
      </c>
      <c r="F134"/>
      <c r="H134" s="3" t="s">
        <v>725</v>
      </c>
      <c r="I134" t="s">
        <v>554</v>
      </c>
      <c r="N134" s="56"/>
    </row>
    <row r="135" spans="1:14">
      <c r="A135" s="52"/>
      <c r="B135" s="66"/>
      <c r="C135" t="s">
        <v>732</v>
      </c>
      <c r="D135" t="s">
        <v>569</v>
      </c>
      <c r="F135"/>
      <c r="H135" s="3" t="s">
        <v>727</v>
      </c>
      <c r="I135" t="s">
        <v>554</v>
      </c>
      <c r="N135" s="56"/>
    </row>
    <row r="136" spans="1:14" s="54" customFormat="1">
      <c r="A136" s="115"/>
      <c r="B136" s="64"/>
      <c r="C136" s="54" t="s">
        <v>733</v>
      </c>
      <c r="D136" s="54" t="s">
        <v>569</v>
      </c>
      <c r="G136" s="85"/>
      <c r="H136" s="91" t="s">
        <v>718</v>
      </c>
      <c r="I136" s="54" t="s">
        <v>554</v>
      </c>
      <c r="J136" s="86"/>
      <c r="K136" s="86"/>
      <c r="L136" s="86"/>
      <c r="N136" s="57"/>
    </row>
    <row r="138" spans="1:14" s="53" customFormat="1">
      <c r="A138" s="87" t="s">
        <v>360</v>
      </c>
      <c r="B138" s="63" t="s">
        <v>366</v>
      </c>
      <c r="C138" s="53" t="s">
        <v>734</v>
      </c>
      <c r="D138" s="53" t="s">
        <v>543</v>
      </c>
      <c r="F138" s="53">
        <f>0.6/0.02+1</f>
        <v>31</v>
      </c>
      <c r="G138" s="82">
        <v>986.60400000000004</v>
      </c>
      <c r="H138" s="88" t="s">
        <v>735</v>
      </c>
      <c r="I138" s="53" t="s">
        <v>545</v>
      </c>
      <c r="J138" s="83" t="s">
        <v>546</v>
      </c>
      <c r="K138" s="83" t="s">
        <v>547</v>
      </c>
      <c r="L138" s="83" t="s">
        <v>546</v>
      </c>
      <c r="N138" s="55" t="s">
        <v>547</v>
      </c>
    </row>
    <row r="139" spans="1:14">
      <c r="A139" s="52"/>
      <c r="B139" s="66"/>
      <c r="C139" t="s">
        <v>736</v>
      </c>
      <c r="D139" t="s">
        <v>737</v>
      </c>
      <c r="F139"/>
      <c r="H139" s="3"/>
      <c r="I139"/>
      <c r="N139" s="56"/>
    </row>
    <row r="140" spans="1:14">
      <c r="A140" s="52"/>
      <c r="B140" s="66"/>
      <c r="C140" t="s">
        <v>738</v>
      </c>
      <c r="D140"/>
      <c r="F140"/>
      <c r="H140" s="3"/>
      <c r="I140"/>
      <c r="N140" s="56"/>
    </row>
    <row r="141" spans="1:14" s="54" customFormat="1">
      <c r="A141" s="115"/>
      <c r="B141" s="64"/>
      <c r="C141" s="54" t="s">
        <v>739</v>
      </c>
      <c r="G141" s="85"/>
      <c r="H141" s="91"/>
      <c r="J141" s="86"/>
      <c r="K141" s="86"/>
      <c r="L141" s="86"/>
      <c r="N141" s="57"/>
    </row>
    <row r="143" spans="1:14" s="53" customFormat="1">
      <c r="A143" s="87" t="s">
        <v>360</v>
      </c>
      <c r="B143" s="63" t="s">
        <v>740</v>
      </c>
      <c r="C143" s="13" t="s">
        <v>741</v>
      </c>
      <c r="D143" s="53" t="s">
        <v>543</v>
      </c>
      <c r="F143" s="53">
        <f>0.2/0.05+1</f>
        <v>5</v>
      </c>
      <c r="G143" s="82">
        <v>199.61199999999999</v>
      </c>
      <c r="H143" s="88" t="s">
        <v>742</v>
      </c>
      <c r="I143" s="53" t="s">
        <v>571</v>
      </c>
      <c r="J143" s="83" t="s">
        <v>546</v>
      </c>
      <c r="K143" s="83" t="s">
        <v>547</v>
      </c>
      <c r="L143" s="83" t="s">
        <v>546</v>
      </c>
      <c r="N143" s="55"/>
    </row>
    <row r="144" spans="1:14">
      <c r="A144" s="66"/>
      <c r="B144" s="66"/>
      <c r="C144" s="47" t="s">
        <v>743</v>
      </c>
      <c r="D144" t="s">
        <v>543</v>
      </c>
      <c r="F144">
        <f t="shared" ref="F144:F149" si="0">0.2/0.05+1</f>
        <v>5</v>
      </c>
      <c r="G144" s="61">
        <v>199.101</v>
      </c>
      <c r="H144" s="3" t="s">
        <v>742</v>
      </c>
      <c r="I144" t="s">
        <v>599</v>
      </c>
      <c r="J144" s="15" t="s">
        <v>546</v>
      </c>
      <c r="K144" s="15" t="s">
        <v>547</v>
      </c>
      <c r="L144" s="15" t="s">
        <v>546</v>
      </c>
      <c r="N144" s="56"/>
    </row>
    <row r="145" spans="1:14">
      <c r="A145" s="66"/>
      <c r="B145" s="66"/>
      <c r="C145" s="47" t="s">
        <v>744</v>
      </c>
      <c r="D145" t="s">
        <v>543</v>
      </c>
      <c r="F145">
        <f t="shared" si="0"/>
        <v>5</v>
      </c>
      <c r="G145" s="61">
        <v>199.09</v>
      </c>
      <c r="H145" s="3" t="s">
        <v>742</v>
      </c>
      <c r="I145" t="s">
        <v>745</v>
      </c>
      <c r="J145" s="15" t="s">
        <v>546</v>
      </c>
      <c r="K145" s="15" t="s">
        <v>547</v>
      </c>
      <c r="L145" s="15" t="s">
        <v>546</v>
      </c>
      <c r="N145" s="56"/>
    </row>
    <row r="146" spans="1:14">
      <c r="A146" s="66"/>
      <c r="B146" s="66"/>
      <c r="C146" s="47" t="s">
        <v>746</v>
      </c>
      <c r="D146" t="s">
        <v>543</v>
      </c>
      <c r="F146">
        <f t="shared" si="0"/>
        <v>5</v>
      </c>
      <c r="G146" s="61">
        <v>197.84700000000001</v>
      </c>
      <c r="H146" s="3" t="s">
        <v>742</v>
      </c>
      <c r="I146" t="s">
        <v>550</v>
      </c>
      <c r="J146" s="15" t="s">
        <v>546</v>
      </c>
      <c r="K146" s="15" t="s">
        <v>547</v>
      </c>
      <c r="L146" s="15" t="s">
        <v>546</v>
      </c>
      <c r="N146" s="56"/>
    </row>
    <row r="147" spans="1:14">
      <c r="A147" s="66"/>
      <c r="B147" s="66"/>
      <c r="C147" s="47" t="s">
        <v>747</v>
      </c>
      <c r="D147" t="s">
        <v>543</v>
      </c>
      <c r="F147">
        <f t="shared" si="0"/>
        <v>5</v>
      </c>
      <c r="G147" s="61">
        <v>198.30500000000001</v>
      </c>
      <c r="H147" s="3" t="s">
        <v>742</v>
      </c>
      <c r="I147" t="s">
        <v>748</v>
      </c>
      <c r="J147" s="15" t="s">
        <v>546</v>
      </c>
      <c r="K147" s="15" t="s">
        <v>547</v>
      </c>
      <c r="L147" s="15" t="s">
        <v>546</v>
      </c>
      <c r="N147" s="56"/>
    </row>
    <row r="148" spans="1:14">
      <c r="A148" s="66"/>
      <c r="B148" s="66"/>
      <c r="C148" s="47" t="s">
        <v>749</v>
      </c>
      <c r="D148" t="s">
        <v>543</v>
      </c>
      <c r="F148">
        <f t="shared" si="0"/>
        <v>5</v>
      </c>
      <c r="G148" s="61">
        <v>198.05600000000001</v>
      </c>
      <c r="H148" s="3" t="s">
        <v>742</v>
      </c>
      <c r="I148" t="s">
        <v>620</v>
      </c>
      <c r="J148" s="15" t="s">
        <v>546</v>
      </c>
      <c r="K148" s="15" t="s">
        <v>547</v>
      </c>
      <c r="L148" s="15" t="s">
        <v>546</v>
      </c>
      <c r="N148" s="56"/>
    </row>
    <row r="149" spans="1:14">
      <c r="A149" s="66"/>
      <c r="B149" s="66"/>
      <c r="C149" s="47" t="s">
        <v>750</v>
      </c>
      <c r="D149" t="s">
        <v>543</v>
      </c>
      <c r="F149">
        <f t="shared" si="0"/>
        <v>5</v>
      </c>
      <c r="G149" s="61">
        <v>198.887</v>
      </c>
      <c r="H149" s="3" t="s">
        <v>742</v>
      </c>
      <c r="I149" t="s">
        <v>576</v>
      </c>
      <c r="J149" s="15" t="s">
        <v>546</v>
      </c>
      <c r="K149" s="15" t="s">
        <v>547</v>
      </c>
      <c r="L149" s="15" t="s">
        <v>546</v>
      </c>
      <c r="N149" s="56"/>
    </row>
    <row r="150" spans="1:14">
      <c r="A150" s="66"/>
      <c r="B150" s="66"/>
      <c r="C150" s="47" t="s">
        <v>751</v>
      </c>
      <c r="D150" t="s">
        <v>569</v>
      </c>
      <c r="F150"/>
      <c r="H150" s="3" t="s">
        <v>752</v>
      </c>
      <c r="I150" t="s">
        <v>571</v>
      </c>
      <c r="K150" s="15" t="s">
        <v>547</v>
      </c>
      <c r="N150" s="56"/>
    </row>
    <row r="151" spans="1:14">
      <c r="A151" s="66"/>
      <c r="B151" s="66"/>
      <c r="C151" s="47" t="s">
        <v>753</v>
      </c>
      <c r="D151" t="s">
        <v>569</v>
      </c>
      <c r="F151"/>
      <c r="H151" s="3" t="s">
        <v>754</v>
      </c>
      <c r="I151" t="s">
        <v>571</v>
      </c>
      <c r="K151" s="15" t="s">
        <v>547</v>
      </c>
      <c r="N151" s="56"/>
    </row>
    <row r="152" spans="1:14" s="15" customFormat="1">
      <c r="A152" s="66"/>
      <c r="B152" s="66"/>
      <c r="C152" s="47" t="s">
        <v>755</v>
      </c>
      <c r="D152" t="s">
        <v>569</v>
      </c>
      <c r="E152"/>
      <c r="F152"/>
      <c r="G152" s="61"/>
      <c r="H152" s="3" t="s">
        <v>682</v>
      </c>
      <c r="I152" t="s">
        <v>571</v>
      </c>
      <c r="K152" s="15" t="s">
        <v>547</v>
      </c>
      <c r="M152"/>
      <c r="N152" s="56"/>
    </row>
    <row r="153" spans="1:14" s="15" customFormat="1">
      <c r="A153" s="66"/>
      <c r="B153" s="66"/>
      <c r="C153" s="47" t="s">
        <v>756</v>
      </c>
      <c r="D153" t="s">
        <v>569</v>
      </c>
      <c r="E153"/>
      <c r="F153"/>
      <c r="G153" s="61"/>
      <c r="H153" s="3" t="s">
        <v>757</v>
      </c>
      <c r="I153" t="s">
        <v>571</v>
      </c>
      <c r="K153" s="15" t="s">
        <v>547</v>
      </c>
      <c r="M153"/>
      <c r="N153" s="56"/>
    </row>
    <row r="154" spans="1:14" s="15" customFormat="1">
      <c r="A154" s="66"/>
      <c r="B154" s="66"/>
      <c r="C154" s="47" t="s">
        <v>758</v>
      </c>
      <c r="D154" t="s">
        <v>569</v>
      </c>
      <c r="E154"/>
      <c r="F154"/>
      <c r="G154" s="61"/>
      <c r="H154" s="3" t="s">
        <v>759</v>
      </c>
      <c r="I154" t="s">
        <v>571</v>
      </c>
      <c r="K154" s="15" t="s">
        <v>547</v>
      </c>
      <c r="M154"/>
      <c r="N154" s="56"/>
    </row>
    <row r="155" spans="1:14" s="15" customFormat="1">
      <c r="A155" s="66"/>
      <c r="B155" s="66"/>
      <c r="C155" s="47" t="s">
        <v>760</v>
      </c>
      <c r="D155" t="s">
        <v>569</v>
      </c>
      <c r="E155"/>
      <c r="F155"/>
      <c r="G155" s="61"/>
      <c r="H155" s="3" t="s">
        <v>752</v>
      </c>
      <c r="I155" t="s">
        <v>599</v>
      </c>
      <c r="K155" s="15" t="s">
        <v>547</v>
      </c>
      <c r="M155"/>
      <c r="N155" s="56"/>
    </row>
    <row r="156" spans="1:14" s="15" customFormat="1">
      <c r="A156" s="66"/>
      <c r="B156" s="66"/>
      <c r="C156" s="47" t="s">
        <v>761</v>
      </c>
      <c r="D156" t="s">
        <v>569</v>
      </c>
      <c r="E156"/>
      <c r="F156"/>
      <c r="G156" s="61"/>
      <c r="H156" s="3" t="s">
        <v>754</v>
      </c>
      <c r="I156" t="s">
        <v>599</v>
      </c>
      <c r="K156" s="15" t="s">
        <v>547</v>
      </c>
      <c r="M156"/>
      <c r="N156" s="56"/>
    </row>
    <row r="157" spans="1:14" s="15" customFormat="1">
      <c r="A157" s="66"/>
      <c r="B157" s="66"/>
      <c r="C157" s="47" t="s">
        <v>762</v>
      </c>
      <c r="D157" t="s">
        <v>569</v>
      </c>
      <c r="E157"/>
      <c r="F157"/>
      <c r="G157" s="61"/>
      <c r="H157" s="3" t="s">
        <v>682</v>
      </c>
      <c r="I157" t="s">
        <v>599</v>
      </c>
      <c r="K157" s="15" t="s">
        <v>547</v>
      </c>
      <c r="M157"/>
      <c r="N157" s="56"/>
    </row>
    <row r="158" spans="1:14" s="15" customFormat="1">
      <c r="A158" s="66"/>
      <c r="B158" s="66"/>
      <c r="C158" s="47" t="s">
        <v>763</v>
      </c>
      <c r="D158" t="s">
        <v>569</v>
      </c>
      <c r="E158"/>
      <c r="F158"/>
      <c r="G158" s="61"/>
      <c r="H158" s="3" t="s">
        <v>757</v>
      </c>
      <c r="I158" t="s">
        <v>599</v>
      </c>
      <c r="K158" s="15" t="s">
        <v>547</v>
      </c>
      <c r="M158"/>
      <c r="N158" s="56"/>
    </row>
    <row r="159" spans="1:14" s="15" customFormat="1">
      <c r="A159" s="66"/>
      <c r="B159" s="66"/>
      <c r="C159" s="47" t="s">
        <v>764</v>
      </c>
      <c r="D159" t="s">
        <v>569</v>
      </c>
      <c r="E159"/>
      <c r="F159"/>
      <c r="G159" s="61"/>
      <c r="H159" s="3" t="s">
        <v>759</v>
      </c>
      <c r="I159" t="s">
        <v>599</v>
      </c>
      <c r="K159" s="15" t="s">
        <v>547</v>
      </c>
      <c r="M159"/>
      <c r="N159" s="56"/>
    </row>
    <row r="160" spans="1:14" s="15" customFormat="1">
      <c r="A160" s="66"/>
      <c r="B160" s="66"/>
      <c r="C160" s="47" t="s">
        <v>765</v>
      </c>
      <c r="D160" t="s">
        <v>569</v>
      </c>
      <c r="E160"/>
      <c r="F160"/>
      <c r="G160" s="61"/>
      <c r="H160" s="3" t="s">
        <v>752</v>
      </c>
      <c r="I160" t="s">
        <v>745</v>
      </c>
      <c r="K160" s="15" t="s">
        <v>547</v>
      </c>
      <c r="M160"/>
      <c r="N160" s="56"/>
    </row>
    <row r="161" spans="1:14" s="15" customFormat="1">
      <c r="A161" s="66"/>
      <c r="B161" s="66"/>
      <c r="C161" s="47" t="s">
        <v>766</v>
      </c>
      <c r="D161" t="s">
        <v>569</v>
      </c>
      <c r="E161"/>
      <c r="F161"/>
      <c r="G161" s="61"/>
      <c r="H161" s="3" t="s">
        <v>754</v>
      </c>
      <c r="I161" t="s">
        <v>745</v>
      </c>
      <c r="K161" s="15" t="s">
        <v>547</v>
      </c>
      <c r="M161"/>
      <c r="N161" s="56"/>
    </row>
    <row r="162" spans="1:14" s="15" customFormat="1">
      <c r="A162" s="66"/>
      <c r="B162" s="66"/>
      <c r="C162" s="47" t="s">
        <v>767</v>
      </c>
      <c r="D162" t="s">
        <v>569</v>
      </c>
      <c r="E162"/>
      <c r="F162"/>
      <c r="G162" s="61"/>
      <c r="H162" s="3" t="s">
        <v>682</v>
      </c>
      <c r="I162" t="s">
        <v>745</v>
      </c>
      <c r="K162" s="15" t="s">
        <v>547</v>
      </c>
      <c r="M162"/>
      <c r="N162" s="56"/>
    </row>
    <row r="163" spans="1:14" s="15" customFormat="1">
      <c r="A163" s="66"/>
      <c r="B163" s="66"/>
      <c r="C163" s="47" t="s">
        <v>768</v>
      </c>
      <c r="D163" t="s">
        <v>569</v>
      </c>
      <c r="E163"/>
      <c r="F163"/>
      <c r="G163" s="61"/>
      <c r="H163" s="3" t="s">
        <v>757</v>
      </c>
      <c r="I163" t="s">
        <v>745</v>
      </c>
      <c r="K163" s="15" t="s">
        <v>547</v>
      </c>
      <c r="M163"/>
      <c r="N163" s="56"/>
    </row>
    <row r="164" spans="1:14" s="15" customFormat="1">
      <c r="A164" s="66"/>
      <c r="B164" s="66"/>
      <c r="C164" s="47" t="s">
        <v>769</v>
      </c>
      <c r="D164" t="s">
        <v>569</v>
      </c>
      <c r="E164"/>
      <c r="F164"/>
      <c r="G164" s="61"/>
      <c r="H164" s="3" t="s">
        <v>759</v>
      </c>
      <c r="I164" t="s">
        <v>745</v>
      </c>
      <c r="K164" s="15" t="s">
        <v>547</v>
      </c>
      <c r="M164"/>
      <c r="N164" s="56"/>
    </row>
    <row r="165" spans="1:14" s="15" customFormat="1">
      <c r="A165" s="66"/>
      <c r="B165" s="66"/>
      <c r="C165" s="47" t="s">
        <v>770</v>
      </c>
      <c r="D165" t="s">
        <v>569</v>
      </c>
      <c r="E165"/>
      <c r="F165"/>
      <c r="G165" s="61"/>
      <c r="H165" s="3" t="s">
        <v>752</v>
      </c>
      <c r="I165" t="s">
        <v>550</v>
      </c>
      <c r="K165" s="15" t="s">
        <v>547</v>
      </c>
      <c r="M165"/>
      <c r="N165" s="56"/>
    </row>
    <row r="166" spans="1:14" s="15" customFormat="1">
      <c r="A166" s="66"/>
      <c r="B166" s="66"/>
      <c r="C166" s="47" t="s">
        <v>771</v>
      </c>
      <c r="D166" t="s">
        <v>569</v>
      </c>
      <c r="E166"/>
      <c r="F166"/>
      <c r="G166" s="61"/>
      <c r="H166" s="3" t="s">
        <v>754</v>
      </c>
      <c r="I166" t="s">
        <v>550</v>
      </c>
      <c r="K166" s="15" t="s">
        <v>547</v>
      </c>
      <c r="M166"/>
      <c r="N166" s="56"/>
    </row>
    <row r="167" spans="1:14" s="15" customFormat="1">
      <c r="A167" s="66"/>
      <c r="B167" s="66"/>
      <c r="C167" s="47" t="s">
        <v>772</v>
      </c>
      <c r="D167" t="s">
        <v>569</v>
      </c>
      <c r="E167"/>
      <c r="F167"/>
      <c r="G167" s="61"/>
      <c r="H167" s="3" t="s">
        <v>682</v>
      </c>
      <c r="I167" t="s">
        <v>550</v>
      </c>
      <c r="K167" s="15" t="s">
        <v>547</v>
      </c>
      <c r="M167"/>
      <c r="N167" s="56"/>
    </row>
    <row r="168" spans="1:14" s="15" customFormat="1">
      <c r="A168" s="66"/>
      <c r="B168" s="66"/>
      <c r="C168" s="47" t="s">
        <v>773</v>
      </c>
      <c r="D168" t="s">
        <v>569</v>
      </c>
      <c r="E168"/>
      <c r="F168"/>
      <c r="G168" s="61"/>
      <c r="H168" s="3" t="s">
        <v>757</v>
      </c>
      <c r="I168" t="s">
        <v>550</v>
      </c>
      <c r="K168" s="15" t="s">
        <v>547</v>
      </c>
      <c r="M168"/>
      <c r="N168" s="56"/>
    </row>
    <row r="169" spans="1:14" s="15" customFormat="1">
      <c r="A169" s="66"/>
      <c r="B169" s="66"/>
      <c r="C169" s="47" t="s">
        <v>774</v>
      </c>
      <c r="D169" t="s">
        <v>569</v>
      </c>
      <c r="E169"/>
      <c r="F169"/>
      <c r="G169" s="61"/>
      <c r="H169" s="3" t="s">
        <v>759</v>
      </c>
      <c r="I169" t="s">
        <v>550</v>
      </c>
      <c r="K169" s="15" t="s">
        <v>547</v>
      </c>
      <c r="M169"/>
      <c r="N169" s="56"/>
    </row>
    <row r="170" spans="1:14" s="15" customFormat="1">
      <c r="A170" s="66"/>
      <c r="B170" s="66"/>
      <c r="C170" s="47" t="s">
        <v>775</v>
      </c>
      <c r="D170" t="s">
        <v>569</v>
      </c>
      <c r="E170"/>
      <c r="F170"/>
      <c r="G170" s="61"/>
      <c r="H170" s="3" t="s">
        <v>752</v>
      </c>
      <c r="I170" t="s">
        <v>748</v>
      </c>
      <c r="K170" s="15" t="s">
        <v>547</v>
      </c>
      <c r="M170"/>
      <c r="N170" s="56"/>
    </row>
    <row r="171" spans="1:14" s="15" customFormat="1">
      <c r="A171" s="66"/>
      <c r="B171" s="66"/>
      <c r="C171" s="47" t="s">
        <v>776</v>
      </c>
      <c r="D171" t="s">
        <v>569</v>
      </c>
      <c r="E171"/>
      <c r="F171"/>
      <c r="G171" s="61"/>
      <c r="H171" s="3" t="s">
        <v>754</v>
      </c>
      <c r="I171" t="s">
        <v>748</v>
      </c>
      <c r="K171" s="15" t="s">
        <v>547</v>
      </c>
      <c r="M171"/>
      <c r="N171" s="56"/>
    </row>
    <row r="172" spans="1:14" s="15" customFormat="1">
      <c r="A172" s="66"/>
      <c r="B172" s="66"/>
      <c r="C172" s="47" t="s">
        <v>777</v>
      </c>
      <c r="D172" t="s">
        <v>569</v>
      </c>
      <c r="E172"/>
      <c r="F172"/>
      <c r="G172" s="61"/>
      <c r="H172" s="3" t="s">
        <v>682</v>
      </c>
      <c r="I172" t="s">
        <v>748</v>
      </c>
      <c r="K172" s="15" t="s">
        <v>547</v>
      </c>
      <c r="M172"/>
      <c r="N172" s="56"/>
    </row>
    <row r="173" spans="1:14" s="15" customFormat="1">
      <c r="A173" s="66"/>
      <c r="B173" s="66"/>
      <c r="C173" s="47" t="s">
        <v>778</v>
      </c>
      <c r="D173" t="s">
        <v>569</v>
      </c>
      <c r="E173"/>
      <c r="F173"/>
      <c r="G173" s="61"/>
      <c r="H173" s="3" t="s">
        <v>757</v>
      </c>
      <c r="I173" t="s">
        <v>748</v>
      </c>
      <c r="K173" s="15" t="s">
        <v>547</v>
      </c>
      <c r="M173"/>
      <c r="N173" s="56"/>
    </row>
    <row r="174" spans="1:14" s="15" customFormat="1">
      <c r="A174" s="66"/>
      <c r="B174" s="66"/>
      <c r="C174" s="47" t="s">
        <v>779</v>
      </c>
      <c r="D174" t="s">
        <v>569</v>
      </c>
      <c r="E174"/>
      <c r="F174"/>
      <c r="G174" s="61"/>
      <c r="H174" s="3" t="s">
        <v>759</v>
      </c>
      <c r="I174" t="s">
        <v>748</v>
      </c>
      <c r="K174" s="15" t="s">
        <v>547</v>
      </c>
      <c r="M174"/>
      <c r="N174" s="56"/>
    </row>
    <row r="175" spans="1:14" s="15" customFormat="1">
      <c r="A175" s="66"/>
      <c r="B175" s="66"/>
      <c r="C175" s="47" t="s">
        <v>780</v>
      </c>
      <c r="D175" t="s">
        <v>569</v>
      </c>
      <c r="E175"/>
      <c r="F175"/>
      <c r="G175" s="61"/>
      <c r="H175" s="3" t="s">
        <v>752</v>
      </c>
      <c r="I175" t="s">
        <v>620</v>
      </c>
      <c r="K175" s="15" t="s">
        <v>547</v>
      </c>
      <c r="M175"/>
      <c r="N175" s="56"/>
    </row>
    <row r="176" spans="1:14" s="15" customFormat="1">
      <c r="A176" s="66"/>
      <c r="B176" s="66"/>
      <c r="C176" s="47" t="s">
        <v>781</v>
      </c>
      <c r="D176" t="s">
        <v>569</v>
      </c>
      <c r="E176"/>
      <c r="F176"/>
      <c r="G176" s="61"/>
      <c r="H176" s="3" t="s">
        <v>754</v>
      </c>
      <c r="I176" t="s">
        <v>620</v>
      </c>
      <c r="K176" s="15" t="s">
        <v>547</v>
      </c>
      <c r="M176"/>
      <c r="N176" s="56"/>
    </row>
    <row r="177" spans="1:14" s="15" customFormat="1">
      <c r="A177" s="66"/>
      <c r="B177" s="66"/>
      <c r="C177" s="47" t="s">
        <v>782</v>
      </c>
      <c r="D177" t="s">
        <v>569</v>
      </c>
      <c r="E177"/>
      <c r="F177"/>
      <c r="G177" s="61"/>
      <c r="H177" s="3" t="s">
        <v>682</v>
      </c>
      <c r="I177" t="s">
        <v>620</v>
      </c>
      <c r="K177" s="15" t="s">
        <v>547</v>
      </c>
      <c r="M177"/>
      <c r="N177" s="56"/>
    </row>
    <row r="178" spans="1:14" s="15" customFormat="1">
      <c r="A178" s="66"/>
      <c r="B178" s="66"/>
      <c r="C178" s="47" t="s">
        <v>783</v>
      </c>
      <c r="D178" t="s">
        <v>569</v>
      </c>
      <c r="E178"/>
      <c r="F178"/>
      <c r="G178" s="61"/>
      <c r="H178" s="3" t="s">
        <v>757</v>
      </c>
      <c r="I178" t="s">
        <v>620</v>
      </c>
      <c r="K178" s="15" t="s">
        <v>547</v>
      </c>
      <c r="M178"/>
      <c r="N178" s="56"/>
    </row>
    <row r="179" spans="1:14" s="15" customFormat="1">
      <c r="A179" s="66"/>
      <c r="B179" s="66"/>
      <c r="C179" s="47" t="s">
        <v>784</v>
      </c>
      <c r="D179" t="s">
        <v>569</v>
      </c>
      <c r="E179"/>
      <c r="F179"/>
      <c r="G179" s="61"/>
      <c r="H179" s="3" t="s">
        <v>759</v>
      </c>
      <c r="I179" t="s">
        <v>620</v>
      </c>
      <c r="K179" s="15" t="s">
        <v>547</v>
      </c>
      <c r="M179"/>
      <c r="N179" s="56"/>
    </row>
    <row r="180" spans="1:14" s="15" customFormat="1">
      <c r="A180" s="66"/>
      <c r="B180" s="66"/>
      <c r="C180" s="47" t="s">
        <v>785</v>
      </c>
      <c r="D180" t="s">
        <v>569</v>
      </c>
      <c r="E180"/>
      <c r="F180"/>
      <c r="G180" s="61"/>
      <c r="H180" s="3" t="s">
        <v>752</v>
      </c>
      <c r="I180" t="s">
        <v>576</v>
      </c>
      <c r="K180" s="15" t="s">
        <v>547</v>
      </c>
      <c r="M180"/>
      <c r="N180" s="56"/>
    </row>
    <row r="181" spans="1:14" s="15" customFormat="1">
      <c r="A181" s="66"/>
      <c r="B181" s="66"/>
      <c r="C181" s="47" t="s">
        <v>786</v>
      </c>
      <c r="D181" t="s">
        <v>569</v>
      </c>
      <c r="E181"/>
      <c r="F181"/>
      <c r="G181" s="61"/>
      <c r="H181" s="3" t="s">
        <v>754</v>
      </c>
      <c r="I181" t="s">
        <v>576</v>
      </c>
      <c r="K181" s="15" t="s">
        <v>547</v>
      </c>
      <c r="M181"/>
      <c r="N181" s="56"/>
    </row>
    <row r="182" spans="1:14" s="15" customFormat="1">
      <c r="A182" s="66"/>
      <c r="B182" s="66"/>
      <c r="C182" s="47" t="s">
        <v>787</v>
      </c>
      <c r="D182" t="s">
        <v>569</v>
      </c>
      <c r="E182"/>
      <c r="F182"/>
      <c r="G182" s="61"/>
      <c r="H182" s="3" t="s">
        <v>682</v>
      </c>
      <c r="I182" t="s">
        <v>576</v>
      </c>
      <c r="K182" s="15" t="s">
        <v>547</v>
      </c>
      <c r="M182"/>
      <c r="N182" s="56"/>
    </row>
    <row r="183" spans="1:14" s="15" customFormat="1">
      <c r="A183" s="66"/>
      <c r="B183" s="66"/>
      <c r="C183" s="47" t="s">
        <v>788</v>
      </c>
      <c r="D183" t="s">
        <v>569</v>
      </c>
      <c r="E183"/>
      <c r="F183"/>
      <c r="G183" s="61"/>
      <c r="H183" s="3" t="s">
        <v>757</v>
      </c>
      <c r="I183" t="s">
        <v>576</v>
      </c>
      <c r="K183" s="15" t="s">
        <v>547</v>
      </c>
      <c r="M183"/>
      <c r="N183" s="56"/>
    </row>
    <row r="184" spans="1:14" s="15" customFormat="1">
      <c r="A184" s="66"/>
      <c r="B184" s="66"/>
      <c r="C184" s="47" t="s">
        <v>789</v>
      </c>
      <c r="D184" t="s">
        <v>569</v>
      </c>
      <c r="E184"/>
      <c r="F184"/>
      <c r="G184" s="61"/>
      <c r="H184" s="3" t="s">
        <v>759</v>
      </c>
      <c r="I184" t="s">
        <v>576</v>
      </c>
      <c r="K184" s="15" t="s">
        <v>547</v>
      </c>
      <c r="M184"/>
      <c r="N184" s="56"/>
    </row>
    <row r="185" spans="1:14" s="15" customFormat="1">
      <c r="A185" s="66"/>
      <c r="B185" s="66"/>
      <c r="C185" s="47" t="s">
        <v>790</v>
      </c>
      <c r="D185" t="s">
        <v>632</v>
      </c>
      <c r="E185"/>
      <c r="F185"/>
      <c r="G185" s="61"/>
      <c r="H185" s="3"/>
      <c r="I185"/>
      <c r="M185"/>
      <c r="N185" s="56"/>
    </row>
    <row r="186" spans="1:14" s="15" customFormat="1">
      <c r="A186" s="66"/>
      <c r="B186" s="66"/>
      <c r="C186" s="47" t="s">
        <v>791</v>
      </c>
      <c r="D186" t="s">
        <v>632</v>
      </c>
      <c r="E186"/>
      <c r="F186"/>
      <c r="G186" s="61"/>
      <c r="H186" s="3"/>
      <c r="I186"/>
      <c r="M186"/>
      <c r="N186" s="56"/>
    </row>
    <row r="187" spans="1:14" s="15" customFormat="1">
      <c r="A187" s="66"/>
      <c r="B187" s="66"/>
      <c r="C187" s="47" t="s">
        <v>792</v>
      </c>
      <c r="D187" t="s">
        <v>632</v>
      </c>
      <c r="E187"/>
      <c r="F187"/>
      <c r="G187" s="61"/>
      <c r="H187" s="3"/>
      <c r="I187"/>
      <c r="M187"/>
      <c r="N187" s="56"/>
    </row>
    <row r="188" spans="1:14" s="15" customFormat="1">
      <c r="A188" s="66"/>
      <c r="B188" s="66"/>
      <c r="C188" s="47" t="s">
        <v>793</v>
      </c>
      <c r="D188" t="s">
        <v>632</v>
      </c>
      <c r="E188"/>
      <c r="F188"/>
      <c r="G188" s="61"/>
      <c r="H188" s="3"/>
      <c r="I188"/>
      <c r="M188"/>
      <c r="N188" s="56"/>
    </row>
    <row r="189" spans="1:14" s="15" customFormat="1">
      <c r="A189" s="66"/>
      <c r="B189" s="66"/>
      <c r="C189" s="47" t="s">
        <v>794</v>
      </c>
      <c r="D189" t="s">
        <v>632</v>
      </c>
      <c r="E189"/>
      <c r="F189"/>
      <c r="G189" s="61"/>
      <c r="H189" s="3"/>
      <c r="I189"/>
      <c r="M189"/>
      <c r="N189" s="56"/>
    </row>
    <row r="190" spans="1:14" s="15" customFormat="1">
      <c r="A190" s="66"/>
      <c r="B190" s="66"/>
      <c r="C190" s="47" t="s">
        <v>795</v>
      </c>
      <c r="D190" t="s">
        <v>632</v>
      </c>
      <c r="E190"/>
      <c r="F190"/>
      <c r="G190" s="61"/>
      <c r="H190" s="3"/>
      <c r="I190"/>
      <c r="M190"/>
      <c r="N190" s="56"/>
    </row>
    <row r="191" spans="1:14" s="15" customFormat="1">
      <c r="A191" s="66"/>
      <c r="B191" s="66"/>
      <c r="C191" s="47" t="s">
        <v>796</v>
      </c>
      <c r="D191" t="s">
        <v>632</v>
      </c>
      <c r="E191"/>
      <c r="F191"/>
      <c r="G191" s="61"/>
      <c r="H191" s="3"/>
      <c r="I191"/>
      <c r="M191"/>
      <c r="N191" s="56"/>
    </row>
    <row r="192" spans="1:14" s="15" customFormat="1">
      <c r="A192" s="66"/>
      <c r="B192" s="66"/>
      <c r="C192" s="47" t="s">
        <v>797</v>
      </c>
      <c r="D192" t="s">
        <v>632</v>
      </c>
      <c r="E192"/>
      <c r="F192"/>
      <c r="G192" s="61"/>
      <c r="H192" s="3"/>
      <c r="I192"/>
      <c r="M192"/>
      <c r="N192" s="56"/>
    </row>
    <row r="193" spans="1:14" s="15" customFormat="1">
      <c r="A193" s="66"/>
      <c r="B193" s="66"/>
      <c r="C193" s="47" t="s">
        <v>798</v>
      </c>
      <c r="D193" t="s">
        <v>632</v>
      </c>
      <c r="E193"/>
      <c r="F193"/>
      <c r="G193" s="61"/>
      <c r="H193" s="3"/>
      <c r="I193"/>
      <c r="M193"/>
      <c r="N193" s="56"/>
    </row>
    <row r="194" spans="1:14" s="15" customFormat="1">
      <c r="A194" s="66"/>
      <c r="B194" s="66"/>
      <c r="C194" s="47" t="s">
        <v>799</v>
      </c>
      <c r="D194" t="s">
        <v>632</v>
      </c>
      <c r="E194"/>
      <c r="F194"/>
      <c r="G194" s="61"/>
      <c r="H194" s="3"/>
      <c r="I194"/>
      <c r="M194"/>
      <c r="N194" s="56"/>
    </row>
    <row r="195" spans="1:14" s="15" customFormat="1">
      <c r="A195" s="66"/>
      <c r="B195" s="66"/>
      <c r="C195" s="47" t="s">
        <v>800</v>
      </c>
      <c r="D195" t="s">
        <v>632</v>
      </c>
      <c r="E195"/>
      <c r="F195"/>
      <c r="G195" s="61"/>
      <c r="H195" s="3"/>
      <c r="I195"/>
      <c r="M195"/>
      <c r="N195" s="56"/>
    </row>
    <row r="196" spans="1:14" s="15" customFormat="1">
      <c r="A196" s="66"/>
      <c r="B196" s="66"/>
      <c r="C196" s="47" t="s">
        <v>801</v>
      </c>
      <c r="D196" t="s">
        <v>632</v>
      </c>
      <c r="E196"/>
      <c r="F196"/>
      <c r="G196" s="61"/>
      <c r="H196" s="3"/>
      <c r="I196"/>
      <c r="M196"/>
      <c r="N196" s="56"/>
    </row>
    <row r="197" spans="1:14" s="15" customFormat="1">
      <c r="A197" s="66"/>
      <c r="B197" s="66"/>
      <c r="C197" s="47" t="s">
        <v>802</v>
      </c>
      <c r="D197" t="s">
        <v>632</v>
      </c>
      <c r="E197"/>
      <c r="F197"/>
      <c r="G197" s="61"/>
      <c r="H197" s="3"/>
      <c r="I197"/>
      <c r="M197"/>
      <c r="N197" s="56"/>
    </row>
    <row r="198" spans="1:14" s="15" customFormat="1">
      <c r="A198" s="66"/>
      <c r="B198" s="66"/>
      <c r="C198" s="47" t="s">
        <v>803</v>
      </c>
      <c r="D198" t="s">
        <v>632</v>
      </c>
      <c r="E198"/>
      <c r="F198"/>
      <c r="G198" s="61"/>
      <c r="H198" s="3"/>
      <c r="I198"/>
      <c r="M198"/>
      <c r="N198" s="56"/>
    </row>
    <row r="199" spans="1:14" s="15" customFormat="1">
      <c r="A199" s="66"/>
      <c r="B199" s="66"/>
      <c r="C199" s="47" t="s">
        <v>804</v>
      </c>
      <c r="D199" t="s">
        <v>632</v>
      </c>
      <c r="E199"/>
      <c r="F199"/>
      <c r="G199" s="61"/>
      <c r="H199" s="3"/>
      <c r="I199"/>
      <c r="M199"/>
      <c r="N199" s="56"/>
    </row>
    <row r="200" spans="1:14" s="15" customFormat="1">
      <c r="A200" s="66"/>
      <c r="B200" s="66"/>
      <c r="C200" s="47" t="s">
        <v>805</v>
      </c>
      <c r="D200" t="s">
        <v>632</v>
      </c>
      <c r="E200"/>
      <c r="F200"/>
      <c r="G200" s="61"/>
      <c r="H200" s="3"/>
      <c r="I200"/>
      <c r="M200"/>
      <c r="N200" s="56"/>
    </row>
    <row r="201" spans="1:14" s="15" customFormat="1">
      <c r="A201" s="66"/>
      <c r="B201" s="66"/>
      <c r="C201" s="47" t="s">
        <v>806</v>
      </c>
      <c r="D201" t="s">
        <v>632</v>
      </c>
      <c r="E201"/>
      <c r="F201"/>
      <c r="G201" s="61"/>
      <c r="H201" s="3"/>
      <c r="I201"/>
      <c r="M201"/>
      <c r="N201" s="56"/>
    </row>
    <row r="202" spans="1:14" s="15" customFormat="1">
      <c r="A202" s="66"/>
      <c r="B202" s="66"/>
      <c r="C202" s="47" t="s">
        <v>807</v>
      </c>
      <c r="D202" t="s">
        <v>632</v>
      </c>
      <c r="E202"/>
      <c r="F202"/>
      <c r="G202" s="61"/>
      <c r="H202" s="3"/>
      <c r="I202"/>
      <c r="M202"/>
      <c r="N202" s="56"/>
    </row>
    <row r="203" spans="1:14" s="15" customFormat="1">
      <c r="A203" s="66"/>
      <c r="B203" s="66"/>
      <c r="C203" s="47" t="s">
        <v>808</v>
      </c>
      <c r="D203" t="s">
        <v>632</v>
      </c>
      <c r="E203"/>
      <c r="F203"/>
      <c r="G203" s="61"/>
      <c r="H203" s="3"/>
      <c r="I203"/>
      <c r="M203"/>
      <c r="N203" s="56"/>
    </row>
    <row r="204" spans="1:14" s="15" customFormat="1">
      <c r="A204" s="66"/>
      <c r="B204" s="66"/>
      <c r="C204" s="47" t="s">
        <v>809</v>
      </c>
      <c r="D204" t="s">
        <v>632</v>
      </c>
      <c r="E204"/>
      <c r="F204"/>
      <c r="G204" s="61"/>
      <c r="H204" s="3"/>
      <c r="I204"/>
      <c r="M204"/>
      <c r="N204" s="56"/>
    </row>
    <row r="205" spans="1:14" s="15" customFormat="1">
      <c r="A205" s="66"/>
      <c r="B205" s="66"/>
      <c r="C205" s="47" t="s">
        <v>810</v>
      </c>
      <c r="D205" t="s">
        <v>632</v>
      </c>
      <c r="E205"/>
      <c r="F205"/>
      <c r="G205" s="61"/>
      <c r="H205" s="3"/>
      <c r="I205"/>
      <c r="M205"/>
      <c r="N205" s="56"/>
    </row>
    <row r="206" spans="1:14" s="15" customFormat="1">
      <c r="A206" s="66"/>
      <c r="B206" s="66"/>
      <c r="C206" s="47" t="s">
        <v>811</v>
      </c>
      <c r="D206" t="s">
        <v>632</v>
      </c>
      <c r="E206"/>
      <c r="F206"/>
      <c r="G206" s="61"/>
      <c r="H206" s="3"/>
      <c r="I206"/>
      <c r="M206"/>
      <c r="N206" s="56"/>
    </row>
    <row r="207" spans="1:14" s="15" customFormat="1">
      <c r="A207" s="66"/>
      <c r="B207" s="66"/>
      <c r="C207" s="47" t="s">
        <v>812</v>
      </c>
      <c r="D207" t="s">
        <v>632</v>
      </c>
      <c r="E207"/>
      <c r="F207"/>
      <c r="G207" s="61"/>
      <c r="H207" s="3"/>
      <c r="I207"/>
      <c r="M207"/>
      <c r="N207" s="56"/>
    </row>
    <row r="208" spans="1:14" s="15" customFormat="1">
      <c r="A208" s="66"/>
      <c r="B208" s="66"/>
      <c r="C208" s="47" t="s">
        <v>813</v>
      </c>
      <c r="D208" t="s">
        <v>632</v>
      </c>
      <c r="E208"/>
      <c r="F208"/>
      <c r="G208" s="61"/>
      <c r="H208" s="3"/>
      <c r="I208"/>
      <c r="M208"/>
      <c r="N208" s="56"/>
    </row>
    <row r="209" spans="1:14" s="15" customFormat="1">
      <c r="A209" s="66"/>
      <c r="B209" s="66"/>
      <c r="C209" s="47" t="s">
        <v>814</v>
      </c>
      <c r="D209" t="s">
        <v>632</v>
      </c>
      <c r="E209"/>
      <c r="F209"/>
      <c r="G209" s="61"/>
      <c r="H209" s="3"/>
      <c r="I209"/>
      <c r="M209"/>
      <c r="N209" s="56"/>
    </row>
    <row r="210" spans="1:14" s="15" customFormat="1">
      <c r="A210" s="66"/>
      <c r="B210" s="66"/>
      <c r="C210" s="47" t="s">
        <v>815</v>
      </c>
      <c r="D210" t="s">
        <v>632</v>
      </c>
      <c r="E210"/>
      <c r="F210"/>
      <c r="G210" s="61"/>
      <c r="H210" s="3"/>
      <c r="I210"/>
      <c r="M210"/>
      <c r="N210" s="56"/>
    </row>
    <row r="211" spans="1:14" s="15" customFormat="1">
      <c r="A211" s="66"/>
      <c r="B211" s="66"/>
      <c r="C211" s="47" t="s">
        <v>816</v>
      </c>
      <c r="D211" t="s">
        <v>632</v>
      </c>
      <c r="E211"/>
      <c r="F211"/>
      <c r="G211" s="61"/>
      <c r="H211" s="3"/>
      <c r="I211"/>
      <c r="M211"/>
      <c r="N211" s="56"/>
    </row>
    <row r="212" spans="1:14" s="15" customFormat="1">
      <c r="A212" s="66"/>
      <c r="B212" s="66"/>
      <c r="C212" s="47" t="s">
        <v>817</v>
      </c>
      <c r="D212" t="s">
        <v>632</v>
      </c>
      <c r="E212"/>
      <c r="F212"/>
      <c r="G212" s="61"/>
      <c r="H212" s="3"/>
      <c r="I212"/>
      <c r="M212"/>
      <c r="N212" s="56"/>
    </row>
    <row r="213" spans="1:14" s="15" customFormat="1">
      <c r="A213" s="66"/>
      <c r="B213" s="66"/>
      <c r="C213" s="47" t="s">
        <v>818</v>
      </c>
      <c r="D213" t="s">
        <v>632</v>
      </c>
      <c r="E213"/>
      <c r="F213"/>
      <c r="G213" s="61"/>
      <c r="H213" s="3"/>
      <c r="I213"/>
      <c r="M213"/>
      <c r="N213" s="56"/>
    </row>
    <row r="214" spans="1:14" s="15" customFormat="1">
      <c r="A214" s="66"/>
      <c r="B214" s="66"/>
      <c r="C214" s="47" t="s">
        <v>819</v>
      </c>
      <c r="D214" t="s">
        <v>632</v>
      </c>
      <c r="E214"/>
      <c r="F214"/>
      <c r="G214" s="61"/>
      <c r="H214" s="3"/>
      <c r="I214"/>
      <c r="M214"/>
      <c r="N214" s="56"/>
    </row>
    <row r="215" spans="1:14" s="15" customFormat="1">
      <c r="A215" s="66"/>
      <c r="B215" s="66"/>
      <c r="C215" s="47" t="s">
        <v>820</v>
      </c>
      <c r="D215" t="s">
        <v>632</v>
      </c>
      <c r="E215"/>
      <c r="F215"/>
      <c r="G215" s="61"/>
      <c r="H215" s="3"/>
      <c r="I215"/>
      <c r="M215"/>
      <c r="N215" s="56"/>
    </row>
    <row r="216" spans="1:14">
      <c r="A216" s="66"/>
      <c r="B216" s="66"/>
      <c r="C216" s="47" t="s">
        <v>821</v>
      </c>
      <c r="D216" t="s">
        <v>632</v>
      </c>
      <c r="F216"/>
      <c r="H216" s="3"/>
      <c r="I216"/>
      <c r="N216" s="56"/>
    </row>
    <row r="217" spans="1:14">
      <c r="A217" s="66"/>
      <c r="B217" s="66"/>
      <c r="C217" s="47" t="s">
        <v>822</v>
      </c>
      <c r="D217" t="s">
        <v>632</v>
      </c>
      <c r="F217"/>
      <c r="H217" s="3"/>
      <c r="I217"/>
      <c r="N217" s="56"/>
    </row>
    <row r="218" spans="1:14">
      <c r="A218" s="66"/>
      <c r="B218" s="66"/>
      <c r="C218" s="47" t="s">
        <v>823</v>
      </c>
      <c r="D218" t="s">
        <v>632</v>
      </c>
      <c r="F218"/>
      <c r="H218" s="3"/>
      <c r="I218"/>
      <c r="N218" s="56"/>
    </row>
    <row r="219" spans="1:14">
      <c r="A219" s="66"/>
      <c r="B219" s="66"/>
      <c r="C219" s="47" t="s">
        <v>824</v>
      </c>
      <c r="D219" t="s">
        <v>632</v>
      </c>
      <c r="F219"/>
      <c r="H219" s="3"/>
      <c r="I219"/>
      <c r="N219" s="56"/>
    </row>
    <row r="220" spans="1:14">
      <c r="A220" s="66"/>
      <c r="B220" s="66"/>
      <c r="C220" s="47" t="s">
        <v>825</v>
      </c>
      <c r="D220" t="s">
        <v>632</v>
      </c>
      <c r="F220"/>
      <c r="H220" s="3"/>
      <c r="I220"/>
      <c r="N220" s="56"/>
    </row>
    <row r="221" spans="1:14">
      <c r="A221" s="66"/>
      <c r="B221" s="66"/>
      <c r="C221" s="47" t="s">
        <v>826</v>
      </c>
      <c r="D221" t="s">
        <v>632</v>
      </c>
      <c r="F221"/>
      <c r="H221" s="3"/>
      <c r="I221"/>
      <c r="N221" s="56"/>
    </row>
    <row r="222" spans="1:14">
      <c r="A222" s="66"/>
      <c r="B222" s="66"/>
      <c r="C222" s="47" t="s">
        <v>827</v>
      </c>
      <c r="D222" t="s">
        <v>632</v>
      </c>
      <c r="F222"/>
      <c r="H222" s="3"/>
      <c r="I222"/>
      <c r="N222" s="56"/>
    </row>
    <row r="223" spans="1:14">
      <c r="A223" s="66"/>
      <c r="B223" s="66"/>
      <c r="C223" s="47" t="s">
        <v>828</v>
      </c>
      <c r="D223" t="s">
        <v>632</v>
      </c>
      <c r="F223"/>
      <c r="H223" s="3"/>
      <c r="I223"/>
      <c r="N223" s="56"/>
    </row>
    <row r="224" spans="1:14">
      <c r="A224" s="66"/>
      <c r="B224" s="66"/>
      <c r="C224" s="47" t="s">
        <v>829</v>
      </c>
      <c r="D224" t="s">
        <v>632</v>
      </c>
      <c r="F224"/>
      <c r="H224" s="3"/>
      <c r="I224"/>
      <c r="N224" s="56"/>
    </row>
    <row r="225" spans="1:14">
      <c r="A225" s="66"/>
      <c r="B225" s="66"/>
      <c r="C225" s="47" t="s">
        <v>830</v>
      </c>
      <c r="D225" t="s">
        <v>632</v>
      </c>
      <c r="F225"/>
      <c r="H225" s="3"/>
      <c r="I225"/>
      <c r="N225" s="56"/>
    </row>
    <row r="226" spans="1:14">
      <c r="A226" s="66"/>
      <c r="B226" s="66"/>
      <c r="C226" s="47" t="s">
        <v>831</v>
      </c>
      <c r="D226" t="s">
        <v>632</v>
      </c>
      <c r="F226"/>
      <c r="H226" s="3"/>
      <c r="I226"/>
      <c r="N226" s="56"/>
    </row>
    <row r="227" spans="1:14">
      <c r="A227" s="66"/>
      <c r="B227" s="66"/>
      <c r="C227" s="47" t="s">
        <v>832</v>
      </c>
      <c r="D227" t="s">
        <v>632</v>
      </c>
      <c r="F227"/>
      <c r="H227" s="3"/>
      <c r="I227"/>
      <c r="N227" s="56"/>
    </row>
    <row r="228" spans="1:14">
      <c r="A228" s="66"/>
      <c r="B228" s="66"/>
      <c r="C228" s="47" t="s">
        <v>833</v>
      </c>
      <c r="D228" t="s">
        <v>632</v>
      </c>
      <c r="F228"/>
      <c r="H228" s="3"/>
      <c r="I228"/>
      <c r="N228" s="56"/>
    </row>
    <row r="229" spans="1:14">
      <c r="A229" s="66"/>
      <c r="B229" s="66"/>
      <c r="C229" s="47" t="s">
        <v>834</v>
      </c>
      <c r="D229" t="s">
        <v>632</v>
      </c>
      <c r="F229"/>
      <c r="H229" s="3"/>
      <c r="I229"/>
      <c r="N229" s="56"/>
    </row>
    <row r="230" spans="1:14">
      <c r="A230" s="66"/>
      <c r="B230" s="66"/>
      <c r="C230" s="47" t="s">
        <v>835</v>
      </c>
      <c r="D230" t="s">
        <v>543</v>
      </c>
      <c r="F230">
        <v>1</v>
      </c>
      <c r="G230" s="61">
        <v>79.1875</v>
      </c>
      <c r="H230" s="3" t="s">
        <v>609</v>
      </c>
      <c r="I230" t="s">
        <v>545</v>
      </c>
      <c r="J230" s="15" t="s">
        <v>546</v>
      </c>
      <c r="K230" s="15" t="s">
        <v>547</v>
      </c>
      <c r="L230" s="15" t="s">
        <v>546</v>
      </c>
      <c r="N230" s="56"/>
    </row>
    <row r="231" spans="1:14">
      <c r="A231" s="66"/>
      <c r="B231" s="66"/>
      <c r="C231" s="47" t="s">
        <v>836</v>
      </c>
      <c r="D231" t="s">
        <v>569</v>
      </c>
      <c r="F231"/>
      <c r="H231" s="3" t="s">
        <v>609</v>
      </c>
      <c r="I231" t="s">
        <v>545</v>
      </c>
      <c r="K231" s="15" t="s">
        <v>547</v>
      </c>
      <c r="N231" s="56"/>
    </row>
    <row r="232" spans="1:14">
      <c r="A232" s="66"/>
      <c r="B232" s="66"/>
      <c r="C232" s="47" t="s">
        <v>837</v>
      </c>
      <c r="D232" t="s">
        <v>543</v>
      </c>
      <c r="F232">
        <v>1</v>
      </c>
      <c r="G232" s="61">
        <v>78.494699999999995</v>
      </c>
      <c r="H232" s="3">
        <v>0.85</v>
      </c>
      <c r="I232" t="s">
        <v>609</v>
      </c>
      <c r="J232" s="15" t="s">
        <v>546</v>
      </c>
      <c r="K232" s="15" t="s">
        <v>547</v>
      </c>
      <c r="L232" s="15" t="s">
        <v>546</v>
      </c>
      <c r="N232" s="56"/>
    </row>
    <row r="233" spans="1:14">
      <c r="A233" s="66"/>
      <c r="B233" s="66"/>
      <c r="C233" s="47" t="s">
        <v>838</v>
      </c>
      <c r="D233" t="s">
        <v>569</v>
      </c>
      <c r="F233"/>
      <c r="H233" s="3">
        <v>0.85</v>
      </c>
      <c r="I233" t="s">
        <v>609</v>
      </c>
      <c r="K233" s="15" t="s">
        <v>547</v>
      </c>
      <c r="N233" s="56"/>
    </row>
    <row r="234" spans="1:14">
      <c r="A234" s="66"/>
      <c r="B234" s="66"/>
      <c r="C234" s="47" t="s">
        <v>839</v>
      </c>
      <c r="D234" t="s">
        <v>561</v>
      </c>
      <c r="F234">
        <v>1</v>
      </c>
      <c r="G234" s="61">
        <v>159.625</v>
      </c>
      <c r="H234" s="3">
        <v>0</v>
      </c>
      <c r="I234" t="s">
        <v>609</v>
      </c>
      <c r="K234" s="15" t="s">
        <v>547</v>
      </c>
      <c r="N234" s="56"/>
    </row>
    <row r="235" spans="1:14" s="54" customFormat="1">
      <c r="A235" s="64"/>
      <c r="B235" s="64"/>
      <c r="C235" s="48" t="s">
        <v>840</v>
      </c>
      <c r="F235" s="84"/>
      <c r="G235" s="85"/>
      <c r="H235" s="91"/>
      <c r="J235" s="86"/>
      <c r="K235" s="86"/>
      <c r="L235" s="86"/>
      <c r="N235" s="57"/>
    </row>
    <row r="237" spans="1:14">
      <c r="A237" s="63" t="s">
        <v>957</v>
      </c>
      <c r="B237" s="63" t="s">
        <v>957</v>
      </c>
      <c r="C237" s="13" t="s">
        <v>958</v>
      </c>
      <c r="D237" s="89" t="s">
        <v>639</v>
      </c>
      <c r="E237" s="53"/>
      <c r="F237" s="53"/>
      <c r="G237" s="82"/>
      <c r="H237" s="88" t="s">
        <v>959</v>
      </c>
      <c r="I237" s="53" t="s">
        <v>552</v>
      </c>
      <c r="J237" s="83"/>
      <c r="K237" s="83" t="s">
        <v>547</v>
      </c>
      <c r="L237" s="83"/>
      <c r="M237" s="53"/>
      <c r="N237" s="55"/>
    </row>
    <row r="238" spans="1:14">
      <c r="A238" s="66"/>
      <c r="B238" s="66"/>
      <c r="C238" s="47" t="s">
        <v>960</v>
      </c>
      <c r="D238" s="90" t="s">
        <v>543</v>
      </c>
      <c r="F238">
        <v>11</v>
      </c>
      <c r="G238" s="61">
        <f>31.5*F238+44</f>
        <v>390.5</v>
      </c>
      <c r="H238" s="3" t="s">
        <v>961</v>
      </c>
      <c r="I238" t="s">
        <v>552</v>
      </c>
      <c r="K238" s="15" t="s">
        <v>547</v>
      </c>
      <c r="N238" s="56"/>
    </row>
    <row r="239" spans="1:14">
      <c r="A239" s="64"/>
      <c r="B239" s="64"/>
      <c r="C239" s="48" t="s">
        <v>841</v>
      </c>
      <c r="D239" s="117" t="s">
        <v>639</v>
      </c>
      <c r="E239" s="54"/>
      <c r="F239" s="54"/>
      <c r="G239" s="85"/>
      <c r="H239" s="91" t="s">
        <v>961</v>
      </c>
      <c r="I239" s="54" t="s">
        <v>552</v>
      </c>
      <c r="J239" s="86"/>
      <c r="K239" s="86" t="s">
        <v>547</v>
      </c>
      <c r="L239" s="86"/>
      <c r="M239" s="54"/>
      <c r="N239" s="57"/>
    </row>
    <row r="240" spans="1:14">
      <c r="A240" s="64"/>
      <c r="B240" s="64"/>
      <c r="C240" s="48" t="s">
        <v>855</v>
      </c>
      <c r="D240" s="54" t="s">
        <v>632</v>
      </c>
      <c r="E240" s="54"/>
      <c r="F240" s="54"/>
      <c r="G240" s="85"/>
      <c r="H240" s="91"/>
      <c r="I240" s="54"/>
      <c r="J240" s="86"/>
      <c r="K240" s="86"/>
      <c r="L240" s="86"/>
      <c r="M240" s="54"/>
      <c r="N240" s="57"/>
    </row>
    <row r="242" spans="1:14">
      <c r="A242" s="63" t="s">
        <v>369</v>
      </c>
      <c r="B242" s="63" t="s">
        <v>962</v>
      </c>
      <c r="C242" s="13" t="s">
        <v>843</v>
      </c>
      <c r="D242" s="53" t="s">
        <v>543</v>
      </c>
      <c r="E242" s="53"/>
      <c r="F242" s="53">
        <v>1</v>
      </c>
      <c r="G242" s="82">
        <v>73.101399999999998</v>
      </c>
      <c r="H242" s="88" t="s">
        <v>844</v>
      </c>
      <c r="I242" s="53" t="s">
        <v>545</v>
      </c>
      <c r="J242" s="83" t="s">
        <v>546</v>
      </c>
      <c r="K242" s="83" t="s">
        <v>547</v>
      </c>
      <c r="L242" s="83" t="s">
        <v>546</v>
      </c>
      <c r="M242" s="53"/>
      <c r="N242" s="55"/>
    </row>
    <row r="243" spans="1:14">
      <c r="A243" s="66"/>
      <c r="B243" s="66"/>
      <c r="C243" s="47" t="s">
        <v>845</v>
      </c>
      <c r="D243" t="s">
        <v>569</v>
      </c>
      <c r="F243"/>
      <c r="H243" s="3" t="s">
        <v>844</v>
      </c>
      <c r="I243" t="s">
        <v>545</v>
      </c>
      <c r="K243" s="15" t="s">
        <v>547</v>
      </c>
      <c r="N243" s="56"/>
    </row>
    <row r="244" spans="1:14">
      <c r="A244" s="66"/>
      <c r="B244" s="66"/>
      <c r="C244" s="47" t="s">
        <v>846</v>
      </c>
      <c r="D244" t="s">
        <v>543</v>
      </c>
      <c r="F244">
        <v>1</v>
      </c>
      <c r="G244" s="61">
        <v>71.224900000000005</v>
      </c>
      <c r="H244" s="3" t="s">
        <v>847</v>
      </c>
      <c r="I244" t="s">
        <v>552</v>
      </c>
      <c r="J244" s="15" t="s">
        <v>546</v>
      </c>
      <c r="K244" s="15" t="s">
        <v>547</v>
      </c>
      <c r="L244" s="15" t="s">
        <v>546</v>
      </c>
      <c r="N244" s="56"/>
    </row>
    <row r="245" spans="1:14">
      <c r="A245" s="66"/>
      <c r="B245" s="66"/>
      <c r="C245" s="47" t="s">
        <v>848</v>
      </c>
      <c r="D245" t="s">
        <v>569</v>
      </c>
      <c r="F245"/>
      <c r="H245" s="3" t="s">
        <v>847</v>
      </c>
      <c r="I245" t="s">
        <v>552</v>
      </c>
      <c r="K245" s="15" t="s">
        <v>547</v>
      </c>
      <c r="N245" s="56"/>
    </row>
    <row r="246" spans="1:14">
      <c r="A246" s="66"/>
      <c r="B246" s="66"/>
      <c r="C246" s="47" t="s">
        <v>849</v>
      </c>
      <c r="D246" t="s">
        <v>543</v>
      </c>
      <c r="F246">
        <v>1</v>
      </c>
      <c r="G246" s="61">
        <v>72.438599999999994</v>
      </c>
      <c r="H246" s="3" t="s">
        <v>850</v>
      </c>
      <c r="I246" t="s">
        <v>620</v>
      </c>
      <c r="J246" s="15" t="s">
        <v>546</v>
      </c>
      <c r="K246" s="15" t="s">
        <v>547</v>
      </c>
      <c r="L246" s="15" t="s">
        <v>546</v>
      </c>
      <c r="N246" s="56"/>
    </row>
    <row r="247" spans="1:14">
      <c r="A247" s="66"/>
      <c r="B247" s="66"/>
      <c r="C247" s="47" t="s">
        <v>851</v>
      </c>
      <c r="D247" t="s">
        <v>569</v>
      </c>
      <c r="F247"/>
      <c r="H247" s="3" t="s">
        <v>850</v>
      </c>
      <c r="I247" t="s">
        <v>620</v>
      </c>
      <c r="K247" s="15" t="s">
        <v>547</v>
      </c>
      <c r="N247" s="56"/>
    </row>
    <row r="248" spans="1:14">
      <c r="A248" s="66"/>
      <c r="B248" s="66"/>
      <c r="C248" s="47" t="s">
        <v>852</v>
      </c>
      <c r="D248" t="s">
        <v>632</v>
      </c>
      <c r="F248"/>
      <c r="H248" s="3"/>
      <c r="I248"/>
      <c r="N248" s="56"/>
    </row>
    <row r="249" spans="1:14">
      <c r="A249" s="66"/>
      <c r="B249" s="66"/>
      <c r="C249" s="47" t="s">
        <v>853</v>
      </c>
      <c r="D249" t="s">
        <v>543</v>
      </c>
      <c r="F249">
        <v>1</v>
      </c>
      <c r="G249" s="61">
        <v>71.872900000000001</v>
      </c>
      <c r="H249" s="3" t="s">
        <v>850</v>
      </c>
      <c r="I249" t="s">
        <v>552</v>
      </c>
      <c r="J249" s="15" t="s">
        <v>546</v>
      </c>
      <c r="K249" s="15" t="s">
        <v>547</v>
      </c>
      <c r="L249" s="15" t="s">
        <v>546</v>
      </c>
      <c r="N249" s="56"/>
    </row>
    <row r="250" spans="1:14">
      <c r="A250" s="66"/>
      <c r="B250" s="66"/>
      <c r="C250" s="47" t="s">
        <v>854</v>
      </c>
      <c r="D250" t="s">
        <v>569</v>
      </c>
      <c r="F250"/>
      <c r="H250" s="3" t="s">
        <v>850</v>
      </c>
      <c r="I250" t="s">
        <v>552</v>
      </c>
      <c r="K250" s="15" t="s">
        <v>547</v>
      </c>
      <c r="N250" s="56"/>
    </row>
    <row r="252" spans="1:14">
      <c r="A252" s="63" t="s">
        <v>360</v>
      </c>
      <c r="B252" s="63" t="s">
        <v>963</v>
      </c>
      <c r="C252" s="53" t="s">
        <v>964</v>
      </c>
      <c r="D252" s="53" t="s">
        <v>561</v>
      </c>
      <c r="E252" s="53"/>
      <c r="F252" s="53">
        <v>1</v>
      </c>
      <c r="G252" s="82">
        <v>199.934</v>
      </c>
      <c r="H252" s="88">
        <v>0</v>
      </c>
      <c r="I252" s="53" t="s">
        <v>965</v>
      </c>
      <c r="J252" s="83"/>
      <c r="K252" s="83" t="s">
        <v>547</v>
      </c>
      <c r="L252" s="83"/>
      <c r="M252" s="53"/>
      <c r="N252" s="55" t="s">
        <v>547</v>
      </c>
    </row>
    <row r="253" spans="1:14">
      <c r="A253" s="52"/>
      <c r="B253" s="66"/>
      <c r="C253" t="s">
        <v>966</v>
      </c>
      <c r="D253"/>
      <c r="F253"/>
      <c r="H253" s="3"/>
      <c r="I253"/>
      <c r="N253" s="56"/>
    </row>
    <row r="254" spans="1:14">
      <c r="A254" s="52"/>
      <c r="B254" s="66"/>
      <c r="C254" t="s">
        <v>967</v>
      </c>
      <c r="D254"/>
      <c r="F254"/>
      <c r="H254" s="3"/>
      <c r="I254"/>
      <c r="N254" s="56"/>
    </row>
    <row r="255" spans="1:14">
      <c r="A255" s="52"/>
      <c r="B255" s="66"/>
      <c r="C255" t="s">
        <v>968</v>
      </c>
      <c r="D255" t="s">
        <v>561</v>
      </c>
      <c r="F255" s="1">
        <v>1</v>
      </c>
      <c r="G255" s="61">
        <v>92.910899999999998</v>
      </c>
      <c r="H255" s="3">
        <v>-0.1</v>
      </c>
      <c r="I255" t="s">
        <v>965</v>
      </c>
      <c r="K255" s="15" t="s">
        <v>547</v>
      </c>
      <c r="N255" s="56" t="s">
        <v>547</v>
      </c>
    </row>
    <row r="256" spans="1:14">
      <c r="A256" s="52"/>
      <c r="B256" s="66"/>
      <c r="C256" t="s">
        <v>969</v>
      </c>
      <c r="D256" t="s">
        <v>561</v>
      </c>
      <c r="F256" s="1">
        <v>1</v>
      </c>
      <c r="G256" s="61">
        <v>60.077300000000001</v>
      </c>
      <c r="H256" s="3" t="s">
        <v>965</v>
      </c>
      <c r="I256" t="s">
        <v>547</v>
      </c>
      <c r="K256" s="15" t="s">
        <v>547</v>
      </c>
      <c r="N256" s="56" t="s">
        <v>547</v>
      </c>
    </row>
    <row r="257" spans="1:14">
      <c r="A257" s="52"/>
      <c r="B257" s="66"/>
      <c r="C257" t="s">
        <v>970</v>
      </c>
      <c r="D257" t="s">
        <v>569</v>
      </c>
      <c r="F257"/>
      <c r="H257" s="3" t="s">
        <v>965</v>
      </c>
      <c r="I257" t="s">
        <v>545</v>
      </c>
      <c r="K257" s="15" t="s">
        <v>547</v>
      </c>
      <c r="N257" s="56"/>
    </row>
    <row r="258" spans="1:14">
      <c r="A258" s="52"/>
      <c r="B258" s="66"/>
      <c r="C258" t="s">
        <v>608</v>
      </c>
      <c r="D258" t="s">
        <v>569</v>
      </c>
      <c r="F258"/>
      <c r="H258" s="3" t="s">
        <v>609</v>
      </c>
      <c r="I258" t="s">
        <v>545</v>
      </c>
      <c r="K258" s="15" t="s">
        <v>547</v>
      </c>
      <c r="N258" s="56"/>
    </row>
    <row r="259" spans="1:14">
      <c r="A259" s="52"/>
      <c r="B259" s="66"/>
      <c r="C259" t="s">
        <v>971</v>
      </c>
      <c r="D259" t="s">
        <v>543</v>
      </c>
      <c r="F259" s="1">
        <v>2</v>
      </c>
      <c r="G259" s="61">
        <v>167.572</v>
      </c>
      <c r="H259" s="3" t="s">
        <v>972</v>
      </c>
      <c r="I259" t="s">
        <v>965</v>
      </c>
      <c r="J259" s="15" t="s">
        <v>546</v>
      </c>
      <c r="K259" s="15" t="s">
        <v>547</v>
      </c>
      <c r="L259" s="15" t="s">
        <v>546</v>
      </c>
      <c r="N259" s="56" t="s">
        <v>547</v>
      </c>
    </row>
    <row r="260" spans="1:14">
      <c r="A260" s="52"/>
      <c r="B260" s="66"/>
      <c r="C260" t="s">
        <v>973</v>
      </c>
      <c r="D260" t="s">
        <v>569</v>
      </c>
      <c r="F260"/>
      <c r="H260" s="3" t="s">
        <v>965</v>
      </c>
      <c r="I260" t="s">
        <v>965</v>
      </c>
      <c r="K260" s="15" t="s">
        <v>547</v>
      </c>
      <c r="N260" s="56"/>
    </row>
    <row r="261" spans="1:14">
      <c r="A261" s="52"/>
      <c r="B261" s="66"/>
      <c r="C261" t="s">
        <v>974</v>
      </c>
      <c r="D261" t="s">
        <v>569</v>
      </c>
      <c r="F261"/>
      <c r="H261" s="3" t="s">
        <v>609</v>
      </c>
      <c r="I261" t="s">
        <v>965</v>
      </c>
      <c r="K261" s="15" t="s">
        <v>547</v>
      </c>
      <c r="N261" s="56"/>
    </row>
    <row r="262" spans="1:14">
      <c r="A262" s="52"/>
      <c r="B262" s="66"/>
      <c r="C262" t="s">
        <v>975</v>
      </c>
      <c r="D262" t="s">
        <v>543</v>
      </c>
      <c r="F262" s="1">
        <v>2</v>
      </c>
      <c r="G262" s="61">
        <v>169.511</v>
      </c>
      <c r="H262" s="3" t="s">
        <v>976</v>
      </c>
      <c r="I262" t="s">
        <v>965</v>
      </c>
      <c r="J262" s="15" t="s">
        <v>546</v>
      </c>
      <c r="K262" s="15" t="s">
        <v>547</v>
      </c>
      <c r="L262" s="15" t="s">
        <v>546</v>
      </c>
      <c r="N262" s="56" t="s">
        <v>547</v>
      </c>
    </row>
    <row r="263" spans="1:14">
      <c r="A263" s="52"/>
      <c r="B263" s="66"/>
      <c r="C263" t="s">
        <v>977</v>
      </c>
      <c r="D263" t="s">
        <v>569</v>
      </c>
      <c r="F263"/>
      <c r="H263" s="3" t="s">
        <v>611</v>
      </c>
      <c r="I263" t="s">
        <v>965</v>
      </c>
      <c r="K263" s="15" t="s">
        <v>547</v>
      </c>
      <c r="N263" s="56"/>
    </row>
    <row r="264" spans="1:14">
      <c r="A264" s="52"/>
      <c r="B264" s="66"/>
      <c r="C264" t="s">
        <v>978</v>
      </c>
      <c r="D264" t="s">
        <v>569</v>
      </c>
      <c r="F264"/>
      <c r="H264" s="3" t="s">
        <v>576</v>
      </c>
      <c r="I264" t="s">
        <v>965</v>
      </c>
      <c r="K264" s="15" t="s">
        <v>547</v>
      </c>
      <c r="N264" s="56"/>
    </row>
    <row r="265" spans="1:14">
      <c r="A265" s="52"/>
      <c r="B265" s="66"/>
      <c r="C265" t="s">
        <v>979</v>
      </c>
      <c r="D265" t="s">
        <v>543</v>
      </c>
      <c r="F265" s="1">
        <v>2</v>
      </c>
      <c r="G265" s="61">
        <v>167.82900000000001</v>
      </c>
      <c r="H265" s="3" t="s">
        <v>972</v>
      </c>
      <c r="I265" t="s">
        <v>611</v>
      </c>
      <c r="J265" s="15" t="s">
        <v>546</v>
      </c>
      <c r="K265" s="15" t="s">
        <v>547</v>
      </c>
      <c r="L265" s="15" t="s">
        <v>546</v>
      </c>
      <c r="N265" s="56" t="s">
        <v>547</v>
      </c>
    </row>
    <row r="266" spans="1:14">
      <c r="A266" s="52"/>
      <c r="B266" s="66"/>
      <c r="C266" t="s">
        <v>980</v>
      </c>
      <c r="D266" t="s">
        <v>569</v>
      </c>
      <c r="F266"/>
      <c r="H266" s="3" t="s">
        <v>965</v>
      </c>
      <c r="I266" t="s">
        <v>611</v>
      </c>
      <c r="K266" s="15" t="s">
        <v>547</v>
      </c>
      <c r="N266" s="56"/>
    </row>
    <row r="267" spans="1:14">
      <c r="A267" s="52"/>
      <c r="B267" s="66"/>
      <c r="C267" t="s">
        <v>981</v>
      </c>
      <c r="D267" t="s">
        <v>569</v>
      </c>
      <c r="F267"/>
      <c r="H267" s="3" t="s">
        <v>609</v>
      </c>
      <c r="I267" t="s">
        <v>611</v>
      </c>
      <c r="K267" s="15" t="s">
        <v>547</v>
      </c>
      <c r="N267" s="56"/>
    </row>
    <row r="268" spans="1:14">
      <c r="A268" s="52"/>
      <c r="B268" s="66"/>
      <c r="C268" t="s">
        <v>982</v>
      </c>
      <c r="D268" t="s">
        <v>632</v>
      </c>
      <c r="F268"/>
      <c r="H268" s="3"/>
      <c r="I268"/>
      <c r="N268" s="56"/>
    </row>
    <row r="269" spans="1:14">
      <c r="A269" s="115"/>
      <c r="B269" s="64"/>
      <c r="C269" s="54" t="s">
        <v>983</v>
      </c>
      <c r="D269" s="54" t="s">
        <v>632</v>
      </c>
      <c r="E269" s="54"/>
      <c r="F269" s="54"/>
      <c r="G269" s="85"/>
      <c r="H269" s="91"/>
      <c r="I269" s="54"/>
      <c r="J269" s="86"/>
      <c r="K269" s="86"/>
      <c r="L269" s="86"/>
      <c r="M269" s="54"/>
      <c r="N269" s="57"/>
    </row>
    <row r="271" spans="1:14">
      <c r="A271" s="63" t="s">
        <v>360</v>
      </c>
      <c r="B271" s="63" t="s">
        <v>984</v>
      </c>
      <c r="C271" s="13" t="s">
        <v>985</v>
      </c>
      <c r="D271" s="53" t="s">
        <v>543</v>
      </c>
      <c r="E271" s="53"/>
      <c r="F271" s="53">
        <v>1</v>
      </c>
      <c r="G271" s="82">
        <v>73.101399999999998</v>
      </c>
      <c r="H271" s="88" t="s">
        <v>986</v>
      </c>
      <c r="I271" s="53" t="s">
        <v>545</v>
      </c>
      <c r="J271" s="83" t="s">
        <v>546</v>
      </c>
      <c r="K271" s="83" t="s">
        <v>547</v>
      </c>
      <c r="L271" s="83" t="s">
        <v>546</v>
      </c>
      <c r="M271" s="53"/>
      <c r="N271" s="55" t="s">
        <v>547</v>
      </c>
    </row>
    <row r="272" spans="1:14">
      <c r="A272" s="66"/>
      <c r="B272" s="66"/>
      <c r="C272" s="47" t="s">
        <v>987</v>
      </c>
      <c r="D272" t="s">
        <v>569</v>
      </c>
      <c r="F272"/>
      <c r="H272" s="3" t="s">
        <v>986</v>
      </c>
      <c r="I272" t="s">
        <v>545</v>
      </c>
      <c r="K272" s="15" t="s">
        <v>547</v>
      </c>
      <c r="N272" s="56"/>
    </row>
    <row r="273" spans="1:14">
      <c r="A273" s="66"/>
      <c r="B273" s="66"/>
      <c r="C273" s="47" t="s">
        <v>988</v>
      </c>
      <c r="D273" t="s">
        <v>543</v>
      </c>
      <c r="F273">
        <v>1</v>
      </c>
      <c r="G273" s="61">
        <v>71.224900000000005</v>
      </c>
      <c r="H273" s="3" t="s">
        <v>989</v>
      </c>
      <c r="I273" t="s">
        <v>965</v>
      </c>
      <c r="J273" s="15" t="s">
        <v>546</v>
      </c>
      <c r="K273" s="15" t="s">
        <v>547</v>
      </c>
      <c r="L273" s="15" t="s">
        <v>546</v>
      </c>
      <c r="N273" s="56" t="s">
        <v>547</v>
      </c>
    </row>
    <row r="274" spans="1:14">
      <c r="A274" s="66"/>
      <c r="B274" s="66"/>
      <c r="C274" s="47" t="s">
        <v>990</v>
      </c>
      <c r="D274" t="s">
        <v>569</v>
      </c>
      <c r="F274"/>
      <c r="H274" s="3" t="s">
        <v>989</v>
      </c>
      <c r="I274" t="s">
        <v>965</v>
      </c>
      <c r="K274" s="15" t="s">
        <v>547</v>
      </c>
      <c r="N274" s="56"/>
    </row>
    <row r="275" spans="1:14">
      <c r="A275" s="66"/>
      <c r="B275" s="66"/>
      <c r="C275" s="47" t="s">
        <v>991</v>
      </c>
      <c r="D275" t="s">
        <v>543</v>
      </c>
      <c r="F275">
        <v>1</v>
      </c>
      <c r="G275" s="61">
        <v>72.438599999999994</v>
      </c>
      <c r="H275" s="3" t="s">
        <v>986</v>
      </c>
      <c r="I275" t="s">
        <v>611</v>
      </c>
      <c r="J275" s="15" t="s">
        <v>546</v>
      </c>
      <c r="K275" s="15" t="s">
        <v>547</v>
      </c>
      <c r="L275" s="15" t="s">
        <v>546</v>
      </c>
      <c r="N275" s="56" t="s">
        <v>547</v>
      </c>
    </row>
    <row r="276" spans="1:14">
      <c r="A276" s="66"/>
      <c r="B276" s="66"/>
      <c r="C276" s="47" t="s">
        <v>992</v>
      </c>
      <c r="D276" t="s">
        <v>569</v>
      </c>
      <c r="F276"/>
      <c r="H276" s="3" t="s">
        <v>986</v>
      </c>
      <c r="I276" t="s">
        <v>611</v>
      </c>
      <c r="K276" s="15" t="s">
        <v>547</v>
      </c>
      <c r="N276" s="56"/>
    </row>
    <row r="277" spans="1:14">
      <c r="A277" s="66"/>
      <c r="B277" s="66"/>
      <c r="C277" s="47" t="s">
        <v>993</v>
      </c>
      <c r="D277" t="s">
        <v>632</v>
      </c>
      <c r="F277"/>
      <c r="H277" s="3"/>
      <c r="I277"/>
      <c r="N277" s="56"/>
    </row>
    <row r="278" spans="1:14">
      <c r="A278" s="66"/>
      <c r="B278" s="66"/>
      <c r="C278" s="47" t="s">
        <v>994</v>
      </c>
      <c r="D278" t="s">
        <v>543</v>
      </c>
      <c r="F278">
        <v>1</v>
      </c>
      <c r="G278" s="61">
        <v>71.872900000000001</v>
      </c>
      <c r="H278" s="3" t="s">
        <v>986</v>
      </c>
      <c r="I278" t="s">
        <v>965</v>
      </c>
      <c r="J278" s="15" t="s">
        <v>546</v>
      </c>
      <c r="K278" s="15" t="s">
        <v>547</v>
      </c>
      <c r="L278" s="15" t="s">
        <v>546</v>
      </c>
      <c r="N278" s="56" t="s">
        <v>547</v>
      </c>
    </row>
    <row r="279" spans="1:14">
      <c r="A279" s="64"/>
      <c r="B279" s="64"/>
      <c r="C279" s="48" t="s">
        <v>995</v>
      </c>
      <c r="D279" s="54" t="s">
        <v>569</v>
      </c>
      <c r="E279" s="54"/>
      <c r="F279" s="54"/>
      <c r="G279" s="85"/>
      <c r="H279" s="91" t="s">
        <v>986</v>
      </c>
      <c r="I279" s="54" t="s">
        <v>965</v>
      </c>
      <c r="J279" s="86"/>
      <c r="K279" s="86" t="s">
        <v>547</v>
      </c>
      <c r="L279" s="86"/>
      <c r="M279" s="54"/>
      <c r="N279" s="57"/>
    </row>
    <row r="281" spans="1:14">
      <c r="A281" s="63" t="s">
        <v>360</v>
      </c>
      <c r="B281" s="63" t="s">
        <v>367</v>
      </c>
      <c r="C281" s="53" t="s">
        <v>856</v>
      </c>
      <c r="D281" s="53" t="s">
        <v>561</v>
      </c>
      <c r="E281" s="53"/>
      <c r="F281" s="53">
        <v>1</v>
      </c>
      <c r="G281" s="82">
        <v>199.934</v>
      </c>
      <c r="H281" s="88">
        <v>0</v>
      </c>
      <c r="I281" s="53" t="s">
        <v>554</v>
      </c>
      <c r="J281" s="83"/>
      <c r="K281" s="83" t="s">
        <v>547</v>
      </c>
      <c r="L281" s="83"/>
      <c r="M281" s="53"/>
      <c r="N281" s="55" t="s">
        <v>547</v>
      </c>
    </row>
    <row r="282" spans="1:14">
      <c r="A282" s="66"/>
      <c r="B282" s="66"/>
      <c r="C282" t="s">
        <v>857</v>
      </c>
      <c r="D282"/>
      <c r="F282"/>
      <c r="H282" s="3"/>
      <c r="I282"/>
      <c r="N282" s="56"/>
    </row>
    <row r="283" spans="1:14">
      <c r="A283" s="66"/>
      <c r="B283" s="66"/>
      <c r="C283" t="s">
        <v>858</v>
      </c>
      <c r="D283"/>
      <c r="F283"/>
      <c r="H283" s="3"/>
      <c r="I283"/>
      <c r="N283" s="56"/>
    </row>
    <row r="284" spans="1:14">
      <c r="A284" s="66"/>
      <c r="B284" s="66"/>
      <c r="C284" t="s">
        <v>859</v>
      </c>
      <c r="D284" t="s">
        <v>561</v>
      </c>
      <c r="F284" s="1">
        <v>1</v>
      </c>
      <c r="G284" s="61">
        <v>92.910899999999998</v>
      </c>
      <c r="H284" s="3">
        <v>-0.1</v>
      </c>
      <c r="I284" t="s">
        <v>554</v>
      </c>
      <c r="K284" s="15" t="s">
        <v>547</v>
      </c>
      <c r="N284" s="56" t="s">
        <v>547</v>
      </c>
    </row>
    <row r="285" spans="1:14">
      <c r="A285" s="66"/>
      <c r="B285" s="66"/>
      <c r="C285" t="s">
        <v>860</v>
      </c>
      <c r="D285" t="s">
        <v>561</v>
      </c>
      <c r="F285" s="1">
        <v>1</v>
      </c>
      <c r="G285" s="61">
        <v>60.077300000000001</v>
      </c>
      <c r="H285" s="3" t="s">
        <v>554</v>
      </c>
      <c r="I285" t="s">
        <v>547</v>
      </c>
      <c r="K285" s="15" t="s">
        <v>547</v>
      </c>
      <c r="N285" s="56" t="s">
        <v>547</v>
      </c>
    </row>
    <row r="286" spans="1:14">
      <c r="A286" s="66"/>
      <c r="B286" s="66"/>
      <c r="C286" t="s">
        <v>579</v>
      </c>
      <c r="D286" t="s">
        <v>569</v>
      </c>
      <c r="F286"/>
      <c r="H286" s="3" t="s">
        <v>554</v>
      </c>
      <c r="I286" t="s">
        <v>545</v>
      </c>
      <c r="K286" s="15" t="s">
        <v>547</v>
      </c>
      <c r="N286" s="56"/>
    </row>
    <row r="287" spans="1:14">
      <c r="A287" s="66"/>
      <c r="B287" s="66"/>
      <c r="C287" t="s">
        <v>863</v>
      </c>
      <c r="D287" t="s">
        <v>569</v>
      </c>
      <c r="F287"/>
      <c r="H287" s="3" t="s">
        <v>864</v>
      </c>
      <c r="I287" t="s">
        <v>545</v>
      </c>
      <c r="K287" s="15" t="s">
        <v>547</v>
      </c>
      <c r="N287" s="56"/>
    </row>
    <row r="288" spans="1:14">
      <c r="A288" s="66"/>
      <c r="B288" s="66"/>
      <c r="C288" t="s">
        <v>865</v>
      </c>
      <c r="D288" t="s">
        <v>543</v>
      </c>
      <c r="F288" s="1">
        <f>1.5/0.05+1</f>
        <v>31</v>
      </c>
      <c r="G288" s="61">
        <f>31.5*F288+44</f>
        <v>1020.5</v>
      </c>
      <c r="H288" s="3" t="s">
        <v>916</v>
      </c>
      <c r="I288" t="s">
        <v>554</v>
      </c>
      <c r="J288" s="15" t="s">
        <v>546</v>
      </c>
      <c r="K288" s="15" t="s">
        <v>547</v>
      </c>
      <c r="L288" s="15" t="s">
        <v>546</v>
      </c>
      <c r="N288" s="56" t="s">
        <v>547</v>
      </c>
    </row>
    <row r="289" spans="1:14">
      <c r="A289" s="66"/>
      <c r="B289" s="66"/>
      <c r="C289" t="s">
        <v>867</v>
      </c>
      <c r="D289" t="s">
        <v>569</v>
      </c>
      <c r="F289"/>
      <c r="H289" s="3">
        <v>1.1000000000000001</v>
      </c>
      <c r="I289" t="s">
        <v>554</v>
      </c>
      <c r="K289" s="15" t="s">
        <v>547</v>
      </c>
      <c r="N289" s="56"/>
    </row>
    <row r="290" spans="1:14">
      <c r="A290" s="66"/>
      <c r="B290" s="66"/>
      <c r="C290" t="s">
        <v>868</v>
      </c>
      <c r="D290" t="s">
        <v>569</v>
      </c>
      <c r="F290"/>
      <c r="H290" s="3">
        <v>1</v>
      </c>
      <c r="I290" t="s">
        <v>554</v>
      </c>
      <c r="K290" s="15" t="s">
        <v>547</v>
      </c>
      <c r="N290" s="56"/>
    </row>
    <row r="291" spans="1:14">
      <c r="A291" s="66"/>
      <c r="B291" s="66"/>
      <c r="C291" t="s">
        <v>871</v>
      </c>
      <c r="D291" t="s">
        <v>569</v>
      </c>
      <c r="F291"/>
      <c r="H291" s="3">
        <v>0.65</v>
      </c>
      <c r="I291" t="s">
        <v>554</v>
      </c>
      <c r="K291" s="15" t="s">
        <v>547</v>
      </c>
      <c r="N291" s="56"/>
    </row>
    <row r="292" spans="1:14">
      <c r="A292" s="66"/>
      <c r="B292" s="66"/>
      <c r="C292" t="s">
        <v>872</v>
      </c>
      <c r="D292" t="s">
        <v>569</v>
      </c>
      <c r="F292"/>
      <c r="H292" s="3">
        <v>0.55000000000000004</v>
      </c>
      <c r="I292" t="s">
        <v>554</v>
      </c>
      <c r="K292" s="15" t="s">
        <v>547</v>
      </c>
      <c r="N292" s="56"/>
    </row>
    <row r="293" spans="1:14">
      <c r="A293" s="66"/>
      <c r="B293" s="66"/>
      <c r="C293" t="s">
        <v>873</v>
      </c>
      <c r="D293" t="s">
        <v>543</v>
      </c>
      <c r="F293" s="1">
        <v>2</v>
      </c>
      <c r="G293" s="61">
        <v>167.82900000000001</v>
      </c>
      <c r="H293" s="3" t="s">
        <v>866</v>
      </c>
      <c r="I293" t="s">
        <v>552</v>
      </c>
      <c r="J293" s="15" t="s">
        <v>546</v>
      </c>
      <c r="K293" s="15" t="s">
        <v>547</v>
      </c>
      <c r="L293" s="15" t="s">
        <v>546</v>
      </c>
      <c r="N293" s="56" t="s">
        <v>547</v>
      </c>
    </row>
    <row r="294" spans="1:14">
      <c r="A294" s="66"/>
      <c r="B294" s="66"/>
      <c r="C294" t="s">
        <v>874</v>
      </c>
      <c r="D294" t="s">
        <v>569</v>
      </c>
      <c r="F294"/>
      <c r="H294" s="3">
        <v>1.1000000000000001</v>
      </c>
      <c r="I294" t="s">
        <v>552</v>
      </c>
      <c r="K294" s="15" t="s">
        <v>547</v>
      </c>
      <c r="N294" s="56"/>
    </row>
    <row r="295" spans="1:14">
      <c r="A295" s="66"/>
      <c r="B295" s="66"/>
      <c r="C295" t="s">
        <v>875</v>
      </c>
      <c r="D295" t="s">
        <v>569</v>
      </c>
      <c r="F295"/>
      <c r="H295" s="3">
        <v>1</v>
      </c>
      <c r="I295" t="s">
        <v>552</v>
      </c>
      <c r="K295" s="15" t="s">
        <v>547</v>
      </c>
      <c r="N295" s="56"/>
    </row>
    <row r="296" spans="1:14">
      <c r="A296" s="66"/>
      <c r="B296" s="66"/>
      <c r="C296" t="s">
        <v>876</v>
      </c>
      <c r="D296" t="s">
        <v>632</v>
      </c>
      <c r="F296"/>
      <c r="H296" s="3"/>
      <c r="I296"/>
      <c r="N296" s="56"/>
    </row>
    <row r="297" spans="1:14">
      <c r="A297" s="66"/>
      <c r="B297" s="66"/>
      <c r="C297" t="s">
        <v>877</v>
      </c>
      <c r="D297" t="s">
        <v>632</v>
      </c>
      <c r="F297"/>
      <c r="H297" s="3"/>
      <c r="I297"/>
      <c r="N297" s="56"/>
    </row>
    <row r="298" spans="1:14">
      <c r="A298" s="66"/>
      <c r="B298" s="66"/>
      <c r="C298" t="s">
        <v>996</v>
      </c>
      <c r="D298" t="s">
        <v>639</v>
      </c>
      <c r="F298"/>
      <c r="H298" s="3" t="s">
        <v>918</v>
      </c>
      <c r="I298" t="s">
        <v>554</v>
      </c>
      <c r="K298" s="15" t="s">
        <v>547</v>
      </c>
      <c r="N298" s="56"/>
    </row>
    <row r="299" spans="1:14">
      <c r="A299" s="66"/>
      <c r="B299" s="66"/>
      <c r="C299" t="s">
        <v>997</v>
      </c>
      <c r="D299" t="s">
        <v>543</v>
      </c>
      <c r="F299">
        <v>11</v>
      </c>
      <c r="G299" s="61">
        <f>31.5*F299+44</f>
        <v>390.5</v>
      </c>
      <c r="H299" s="3" t="s">
        <v>941</v>
      </c>
      <c r="I299" t="s">
        <v>554</v>
      </c>
      <c r="J299" s="15" t="s">
        <v>546</v>
      </c>
      <c r="K299" s="15" t="s">
        <v>547</v>
      </c>
      <c r="L299" s="15" t="s">
        <v>546</v>
      </c>
      <c r="N299" s="56" t="s">
        <v>547</v>
      </c>
    </row>
    <row r="300" spans="1:14">
      <c r="A300" s="66"/>
      <c r="B300" s="66"/>
      <c r="C300" t="s">
        <v>879</v>
      </c>
      <c r="D300" t="s">
        <v>639</v>
      </c>
      <c r="F300"/>
      <c r="H300" s="3" t="s">
        <v>941</v>
      </c>
      <c r="I300" t="s">
        <v>554</v>
      </c>
      <c r="K300" s="15" t="s">
        <v>547</v>
      </c>
      <c r="N300" s="56"/>
    </row>
    <row r="301" spans="1:14">
      <c r="A301" s="66"/>
      <c r="B301" s="66"/>
      <c r="C301" t="s">
        <v>998</v>
      </c>
      <c r="D301" t="s">
        <v>639</v>
      </c>
      <c r="F301"/>
      <c r="H301" s="3" t="s">
        <v>918</v>
      </c>
      <c r="I301" t="s">
        <v>554</v>
      </c>
      <c r="K301" s="15" t="s">
        <v>547</v>
      </c>
      <c r="N301" s="56"/>
    </row>
    <row r="302" spans="1:14">
      <c r="A302" s="66"/>
      <c r="B302" s="66"/>
      <c r="C302" t="s">
        <v>999</v>
      </c>
      <c r="D302" t="s">
        <v>543</v>
      </c>
      <c r="F302">
        <v>11</v>
      </c>
      <c r="G302" s="61">
        <f>31.5*F302+44</f>
        <v>390.5</v>
      </c>
      <c r="H302" s="3" t="s">
        <v>920</v>
      </c>
      <c r="I302" t="s">
        <v>554</v>
      </c>
      <c r="K302" s="15" t="s">
        <v>547</v>
      </c>
      <c r="N302" s="56"/>
    </row>
    <row r="303" spans="1:14">
      <c r="A303" s="66"/>
      <c r="B303" s="66"/>
      <c r="C303" t="s">
        <v>881</v>
      </c>
      <c r="D303" t="s">
        <v>639</v>
      </c>
      <c r="F303"/>
      <c r="H303" s="3" t="s">
        <v>920</v>
      </c>
      <c r="I303" t="s">
        <v>554</v>
      </c>
      <c r="K303" s="15" t="s">
        <v>547</v>
      </c>
      <c r="N303" s="56"/>
    </row>
    <row r="304" spans="1:14">
      <c r="A304" s="66"/>
      <c r="B304" s="66"/>
      <c r="C304" t="s">
        <v>1000</v>
      </c>
      <c r="D304" t="s">
        <v>639</v>
      </c>
      <c r="F304"/>
      <c r="H304" s="3" t="s">
        <v>918</v>
      </c>
      <c r="I304" t="s">
        <v>554</v>
      </c>
      <c r="K304" s="15" t="s">
        <v>547</v>
      </c>
      <c r="N304" s="56"/>
    </row>
    <row r="305" spans="1:14">
      <c r="A305" s="66"/>
      <c r="B305" s="66"/>
      <c r="C305" t="s">
        <v>1001</v>
      </c>
      <c r="D305" t="s">
        <v>543</v>
      </c>
      <c r="F305">
        <v>11</v>
      </c>
      <c r="G305" s="61">
        <f>31.5*F305+44</f>
        <v>390.5</v>
      </c>
      <c r="H305" s="3" t="s">
        <v>920</v>
      </c>
      <c r="I305" t="s">
        <v>554</v>
      </c>
      <c r="K305" s="15" t="s">
        <v>547</v>
      </c>
      <c r="N305" s="56"/>
    </row>
    <row r="306" spans="1:14">
      <c r="A306" s="66"/>
      <c r="B306" s="66"/>
      <c r="C306" t="s">
        <v>880</v>
      </c>
      <c r="D306" t="s">
        <v>639</v>
      </c>
      <c r="F306"/>
      <c r="H306" s="3" t="s">
        <v>920</v>
      </c>
      <c r="I306" t="s">
        <v>554</v>
      </c>
      <c r="K306" s="15" t="s">
        <v>547</v>
      </c>
      <c r="N306" s="56"/>
    </row>
    <row r="307" spans="1:14">
      <c r="A307" s="66"/>
      <c r="B307" s="66"/>
      <c r="C307" t="s">
        <v>882</v>
      </c>
      <c r="D307" t="s">
        <v>632</v>
      </c>
      <c r="F307"/>
      <c r="H307" s="3"/>
      <c r="I307"/>
      <c r="N307" s="56"/>
    </row>
    <row r="308" spans="1:14">
      <c r="A308" s="66"/>
      <c r="B308" s="66"/>
      <c r="C308" t="s">
        <v>883</v>
      </c>
      <c r="D308" t="s">
        <v>632</v>
      </c>
      <c r="F308"/>
      <c r="H308" s="3"/>
      <c r="I308"/>
      <c r="N308" s="56"/>
    </row>
    <row r="309" spans="1:14">
      <c r="A309" s="66"/>
      <c r="B309" s="66"/>
      <c r="C309" t="s">
        <v>884</v>
      </c>
      <c r="D309" t="s">
        <v>632</v>
      </c>
      <c r="F309"/>
      <c r="H309" s="3"/>
      <c r="I309"/>
      <c r="N309" s="56"/>
    </row>
    <row r="310" spans="1:14">
      <c r="A310" s="66"/>
      <c r="B310" s="66"/>
      <c r="C310" t="s">
        <v>1002</v>
      </c>
      <c r="D310" t="s">
        <v>569</v>
      </c>
      <c r="F310"/>
      <c r="H310" s="3" t="s">
        <v>924</v>
      </c>
      <c r="I310" t="s">
        <v>554</v>
      </c>
      <c r="K310" s="15" t="s">
        <v>547</v>
      </c>
      <c r="N310" s="56"/>
    </row>
    <row r="311" spans="1:14">
      <c r="A311" s="66"/>
      <c r="B311" s="66"/>
      <c r="C311" t="s">
        <v>1003</v>
      </c>
      <c r="D311" t="s">
        <v>569</v>
      </c>
      <c r="F311"/>
      <c r="H311" s="3" t="s">
        <v>926</v>
      </c>
      <c r="I311" t="s">
        <v>554</v>
      </c>
      <c r="K311" s="15" t="s">
        <v>547</v>
      </c>
      <c r="N311" s="56"/>
    </row>
    <row r="312" spans="1:14">
      <c r="A312" s="66"/>
      <c r="B312" s="66"/>
      <c r="C312" t="s">
        <v>1004</v>
      </c>
      <c r="D312" t="s">
        <v>569</v>
      </c>
      <c r="F312"/>
      <c r="H312" s="3" t="s">
        <v>928</v>
      </c>
      <c r="I312" t="s">
        <v>554</v>
      </c>
      <c r="K312" s="15" t="s">
        <v>547</v>
      </c>
      <c r="N312" s="56"/>
    </row>
    <row r="313" spans="1:14">
      <c r="A313" s="66"/>
      <c r="B313" s="66"/>
      <c r="C313" t="s">
        <v>1005</v>
      </c>
      <c r="D313" t="s">
        <v>569</v>
      </c>
      <c r="F313"/>
      <c r="H313" s="3" t="s">
        <v>930</v>
      </c>
      <c r="I313" t="s">
        <v>554</v>
      </c>
      <c r="K313" s="15" t="s">
        <v>547</v>
      </c>
      <c r="N313" s="56"/>
    </row>
    <row r="314" spans="1:14">
      <c r="A314" s="66"/>
      <c r="B314" s="66"/>
      <c r="C314" t="s">
        <v>1006</v>
      </c>
      <c r="D314" t="s">
        <v>569</v>
      </c>
      <c r="F314"/>
      <c r="H314" s="3" t="s">
        <v>932</v>
      </c>
      <c r="I314" t="s">
        <v>554</v>
      </c>
      <c r="K314" s="15" t="s">
        <v>547</v>
      </c>
      <c r="N314" s="56"/>
    </row>
    <row r="315" spans="1:14">
      <c r="A315" s="66"/>
      <c r="B315" s="66"/>
      <c r="C315" t="s">
        <v>1007</v>
      </c>
      <c r="D315" t="s">
        <v>632</v>
      </c>
      <c r="F315"/>
      <c r="H315" s="3"/>
      <c r="I315"/>
      <c r="N315" s="56"/>
    </row>
    <row r="316" spans="1:14">
      <c r="A316" s="66"/>
      <c r="B316" s="66"/>
      <c r="C316" t="s">
        <v>1008</v>
      </c>
      <c r="D316" t="s">
        <v>632</v>
      </c>
      <c r="F316"/>
      <c r="H316" s="3"/>
      <c r="I316"/>
      <c r="N316" s="56"/>
    </row>
    <row r="317" spans="1:14">
      <c r="A317" s="66"/>
      <c r="B317" s="66"/>
      <c r="C317" t="s">
        <v>1009</v>
      </c>
      <c r="D317" t="s">
        <v>632</v>
      </c>
      <c r="F317"/>
      <c r="H317" s="3"/>
      <c r="I317"/>
      <c r="N317" s="56"/>
    </row>
    <row r="318" spans="1:14">
      <c r="A318" s="66"/>
      <c r="B318" s="66"/>
      <c r="C318" t="s">
        <v>1010</v>
      </c>
      <c r="D318" t="s">
        <v>585</v>
      </c>
      <c r="F318"/>
      <c r="H318" s="3" t="s">
        <v>916</v>
      </c>
      <c r="I318" t="s">
        <v>554</v>
      </c>
      <c r="K318" s="15" t="s">
        <v>547</v>
      </c>
      <c r="N318" s="56"/>
    </row>
    <row r="319" spans="1:14">
      <c r="A319" s="64"/>
      <c r="B319" s="64"/>
      <c r="C319" s="54" t="s">
        <v>1011</v>
      </c>
      <c r="D319" s="54"/>
      <c r="E319" s="54"/>
      <c r="F319" s="54"/>
      <c r="G319" s="85"/>
      <c r="H319" s="91"/>
      <c r="I319" s="54"/>
      <c r="J319" s="86"/>
      <c r="K319" s="86"/>
      <c r="L319" s="86"/>
      <c r="M319" s="54"/>
      <c r="N319" s="57"/>
    </row>
    <row r="321" spans="1:14">
      <c r="A321" s="63" t="s">
        <v>360</v>
      </c>
      <c r="B321" s="63" t="s">
        <v>1012</v>
      </c>
      <c r="C321" s="53" t="s">
        <v>885</v>
      </c>
      <c r="D321" s="53" t="s">
        <v>543</v>
      </c>
      <c r="E321" s="53"/>
      <c r="F321" s="81">
        <v>2</v>
      </c>
      <c r="G321" s="82">
        <v>103.395</v>
      </c>
      <c r="H321" s="88" t="s">
        <v>886</v>
      </c>
      <c r="I321" s="53" t="s">
        <v>554</v>
      </c>
      <c r="J321" s="83" t="s">
        <v>546</v>
      </c>
      <c r="K321" s="83" t="s">
        <v>547</v>
      </c>
      <c r="L321" s="83" t="s">
        <v>546</v>
      </c>
      <c r="M321" s="53"/>
      <c r="N321" s="55" t="s">
        <v>547</v>
      </c>
    </row>
    <row r="322" spans="1:14">
      <c r="A322" s="66"/>
      <c r="B322" s="66"/>
      <c r="C322" t="s">
        <v>887</v>
      </c>
      <c r="D322" t="s">
        <v>543</v>
      </c>
      <c r="F322" s="1">
        <v>2</v>
      </c>
      <c r="G322" s="61">
        <v>105.57</v>
      </c>
      <c r="H322" s="3" t="s">
        <v>888</v>
      </c>
      <c r="I322" t="s">
        <v>554</v>
      </c>
      <c r="J322" s="15" t="s">
        <v>546</v>
      </c>
      <c r="K322" s="15" t="s">
        <v>547</v>
      </c>
      <c r="L322" s="15" t="s">
        <v>546</v>
      </c>
      <c r="N322" s="56" t="s">
        <v>547</v>
      </c>
    </row>
    <row r="323" spans="1:14">
      <c r="A323" s="66"/>
      <c r="B323" s="66"/>
      <c r="C323" t="s">
        <v>889</v>
      </c>
      <c r="D323" t="s">
        <v>569</v>
      </c>
      <c r="F323"/>
      <c r="H323" s="3" t="s">
        <v>890</v>
      </c>
      <c r="I323" t="s">
        <v>554</v>
      </c>
      <c r="K323" s="15" t="s">
        <v>547</v>
      </c>
      <c r="N323" s="56"/>
    </row>
    <row r="324" spans="1:14">
      <c r="A324" s="66"/>
      <c r="B324" s="66"/>
      <c r="C324" t="s">
        <v>891</v>
      </c>
      <c r="D324" t="s">
        <v>569</v>
      </c>
      <c r="F324"/>
      <c r="H324" s="3" t="s">
        <v>892</v>
      </c>
      <c r="I324" t="s">
        <v>554</v>
      </c>
      <c r="K324" s="15" t="s">
        <v>547</v>
      </c>
      <c r="N324" s="56"/>
    </row>
    <row r="325" spans="1:14">
      <c r="A325" s="66"/>
      <c r="B325" s="66"/>
      <c r="C325" t="s">
        <v>893</v>
      </c>
      <c r="D325" t="s">
        <v>569</v>
      </c>
      <c r="F325"/>
      <c r="H325" s="3" t="s">
        <v>894</v>
      </c>
      <c r="I325" t="s">
        <v>554</v>
      </c>
      <c r="K325" s="15" t="s">
        <v>547</v>
      </c>
      <c r="N325" s="56"/>
    </row>
    <row r="326" spans="1:14">
      <c r="A326" s="64"/>
      <c r="B326" s="64"/>
      <c r="C326" s="54" t="s">
        <v>895</v>
      </c>
      <c r="D326" s="54" t="s">
        <v>569</v>
      </c>
      <c r="E326" s="54"/>
      <c r="F326" s="54"/>
      <c r="G326" s="85"/>
      <c r="H326" s="91" t="s">
        <v>896</v>
      </c>
      <c r="I326" s="54" t="s">
        <v>554</v>
      </c>
      <c r="J326" s="86"/>
      <c r="K326" s="86" t="s">
        <v>547</v>
      </c>
      <c r="L326" s="86"/>
      <c r="M326" s="54"/>
      <c r="N326" s="57"/>
    </row>
    <row r="328" spans="1:14">
      <c r="A328" s="63" t="s">
        <v>370</v>
      </c>
      <c r="B328" s="63" t="s">
        <v>370</v>
      </c>
      <c r="C328" s="13" t="s">
        <v>900</v>
      </c>
      <c r="D328" s="53" t="s">
        <v>543</v>
      </c>
      <c r="E328" s="53"/>
      <c r="F328" s="53">
        <v>1</v>
      </c>
      <c r="G328" s="82">
        <v>73.277100000000004</v>
      </c>
      <c r="H328" s="88" t="s">
        <v>901</v>
      </c>
      <c r="I328" s="53" t="s">
        <v>545</v>
      </c>
      <c r="J328" s="83" t="s">
        <v>546</v>
      </c>
      <c r="K328" s="83" t="s">
        <v>547</v>
      </c>
      <c r="L328" s="83" t="s">
        <v>546</v>
      </c>
      <c r="M328" s="53"/>
      <c r="N328" s="55" t="s">
        <v>547</v>
      </c>
    </row>
    <row r="329" spans="1:14">
      <c r="A329" s="66"/>
      <c r="B329" s="66"/>
      <c r="C329" s="47" t="s">
        <v>902</v>
      </c>
      <c r="D329" t="s">
        <v>569</v>
      </c>
      <c r="F329"/>
      <c r="H329" s="3" t="s">
        <v>901</v>
      </c>
      <c r="I329" t="s">
        <v>545</v>
      </c>
      <c r="K329" s="15" t="s">
        <v>547</v>
      </c>
      <c r="N329" s="56"/>
    </row>
    <row r="330" spans="1:14">
      <c r="A330" s="66"/>
      <c r="B330" s="66"/>
      <c r="C330" s="47" t="s">
        <v>903</v>
      </c>
      <c r="D330" t="s">
        <v>543</v>
      </c>
      <c r="F330">
        <v>1</v>
      </c>
      <c r="G330" s="61">
        <v>71.831599999999995</v>
      </c>
      <c r="H330" s="3" t="s">
        <v>850</v>
      </c>
      <c r="I330" t="s">
        <v>554</v>
      </c>
      <c r="J330" s="15" t="s">
        <v>546</v>
      </c>
      <c r="K330" s="15" t="s">
        <v>547</v>
      </c>
      <c r="L330" s="15" t="s">
        <v>546</v>
      </c>
      <c r="N330" s="56" t="s">
        <v>547</v>
      </c>
    </row>
    <row r="331" spans="1:14">
      <c r="A331" s="66"/>
      <c r="B331" s="66"/>
      <c r="C331" s="47" t="s">
        <v>904</v>
      </c>
      <c r="D331" t="s">
        <v>569</v>
      </c>
      <c r="F331"/>
      <c r="H331" s="3" t="s">
        <v>850</v>
      </c>
      <c r="I331" t="s">
        <v>554</v>
      </c>
      <c r="K331" s="15" t="s">
        <v>547</v>
      </c>
      <c r="N331" s="56"/>
    </row>
    <row r="332" spans="1:14">
      <c r="A332" s="66"/>
      <c r="B332" s="66"/>
      <c r="C332" s="47" t="s">
        <v>905</v>
      </c>
      <c r="D332" t="s">
        <v>543</v>
      </c>
      <c r="F332">
        <v>1</v>
      </c>
      <c r="G332" s="61">
        <v>71.896799999999999</v>
      </c>
      <c r="H332" s="3" t="s">
        <v>906</v>
      </c>
      <c r="I332" t="s">
        <v>552</v>
      </c>
      <c r="J332" s="15" t="s">
        <v>546</v>
      </c>
      <c r="K332" s="15" t="s">
        <v>547</v>
      </c>
      <c r="L332" s="15" t="s">
        <v>546</v>
      </c>
      <c r="N332" s="56" t="s">
        <v>547</v>
      </c>
    </row>
    <row r="333" spans="1:14">
      <c r="A333" s="66"/>
      <c r="B333" s="66"/>
      <c r="C333" s="47" t="s">
        <v>907</v>
      </c>
      <c r="D333" t="s">
        <v>569</v>
      </c>
      <c r="F333"/>
      <c r="H333" s="3" t="s">
        <v>906</v>
      </c>
      <c r="I333" t="s">
        <v>552</v>
      </c>
      <c r="K333" s="15" t="s">
        <v>547</v>
      </c>
      <c r="N333" s="56"/>
    </row>
    <row r="334" spans="1:14">
      <c r="A334" s="66"/>
      <c r="B334" s="66"/>
      <c r="C334" s="47" t="s">
        <v>908</v>
      </c>
      <c r="D334" t="s">
        <v>632</v>
      </c>
      <c r="F334"/>
      <c r="H334" s="3"/>
      <c r="I334"/>
      <c r="N334" s="56"/>
    </row>
    <row r="335" spans="1:14">
      <c r="A335" s="66"/>
      <c r="B335" s="66"/>
      <c r="C335" s="47" t="s">
        <v>909</v>
      </c>
      <c r="D335" t="s">
        <v>543</v>
      </c>
      <c r="F335">
        <v>1</v>
      </c>
      <c r="G335" s="61">
        <v>71.729200000000006</v>
      </c>
      <c r="H335" s="3" t="s">
        <v>906</v>
      </c>
      <c r="I335" t="s">
        <v>554</v>
      </c>
      <c r="J335" s="15" t="s">
        <v>546</v>
      </c>
      <c r="K335" s="15" t="s">
        <v>547</v>
      </c>
      <c r="L335" s="15" t="s">
        <v>546</v>
      </c>
      <c r="N335" s="56" t="s">
        <v>547</v>
      </c>
    </row>
    <row r="336" spans="1:14">
      <c r="A336" s="64"/>
      <c r="B336" s="64"/>
      <c r="C336" s="48" t="s">
        <v>910</v>
      </c>
      <c r="D336" s="54" t="s">
        <v>569</v>
      </c>
      <c r="E336" s="54"/>
      <c r="F336" s="54"/>
      <c r="G336" s="85"/>
      <c r="H336" s="91" t="s">
        <v>906</v>
      </c>
      <c r="I336" s="54" t="s">
        <v>554</v>
      </c>
      <c r="J336" s="86"/>
      <c r="K336" s="86" t="s">
        <v>547</v>
      </c>
      <c r="L336" s="86"/>
      <c r="M336" s="54"/>
      <c r="N336" s="57"/>
    </row>
    <row r="338" spans="1:14">
      <c r="A338" s="87" t="s">
        <v>911</v>
      </c>
      <c r="B338" s="63" t="s">
        <v>911</v>
      </c>
      <c r="C338" s="53" t="s">
        <v>856</v>
      </c>
      <c r="D338" s="53" t="s">
        <v>561</v>
      </c>
      <c r="E338" s="53"/>
      <c r="F338" s="53">
        <v>1</v>
      </c>
      <c r="G338" s="82">
        <v>199.934</v>
      </c>
      <c r="H338" s="88">
        <v>0</v>
      </c>
      <c r="I338" s="53" t="s">
        <v>554</v>
      </c>
      <c r="J338" s="83"/>
      <c r="K338" s="83" t="s">
        <v>547</v>
      </c>
      <c r="L338" s="83"/>
      <c r="M338" s="53"/>
      <c r="N338" s="55"/>
    </row>
    <row r="339" spans="1:14">
      <c r="A339" s="52"/>
      <c r="B339" s="66"/>
      <c r="C339" t="s">
        <v>857</v>
      </c>
      <c r="D339"/>
      <c r="F339"/>
      <c r="H339" s="3"/>
      <c r="I339"/>
      <c r="N339" s="56"/>
    </row>
    <row r="340" spans="1:14">
      <c r="A340" s="52"/>
      <c r="B340" s="66"/>
      <c r="C340" t="s">
        <v>858</v>
      </c>
      <c r="D340"/>
      <c r="F340"/>
      <c r="H340" s="3"/>
      <c r="I340"/>
      <c r="N340" s="56"/>
    </row>
    <row r="341" spans="1:14">
      <c r="A341" s="52"/>
      <c r="B341" s="66"/>
      <c r="C341" t="s">
        <v>859</v>
      </c>
      <c r="D341" t="s">
        <v>561</v>
      </c>
      <c r="F341" s="1">
        <v>1</v>
      </c>
      <c r="G341" s="61">
        <v>92.910899999999998</v>
      </c>
      <c r="H341" s="3">
        <v>-0.1</v>
      </c>
      <c r="I341" t="s">
        <v>554</v>
      </c>
      <c r="K341" s="15" t="s">
        <v>547</v>
      </c>
      <c r="N341" s="56"/>
    </row>
    <row r="342" spans="1:14">
      <c r="A342" s="52"/>
      <c r="B342" s="66"/>
      <c r="C342" t="s">
        <v>860</v>
      </c>
      <c r="D342" t="s">
        <v>561</v>
      </c>
      <c r="F342" s="1">
        <v>1</v>
      </c>
      <c r="G342" s="61">
        <v>60.077300000000001</v>
      </c>
      <c r="H342" s="3" t="s">
        <v>554</v>
      </c>
      <c r="I342" t="s">
        <v>547</v>
      </c>
      <c r="K342" s="15" t="s">
        <v>547</v>
      </c>
      <c r="N342" s="56"/>
    </row>
    <row r="343" spans="1:14">
      <c r="A343" s="52"/>
      <c r="B343" s="66"/>
      <c r="C343" t="s">
        <v>861</v>
      </c>
      <c r="D343" t="s">
        <v>543</v>
      </c>
      <c r="F343" s="1">
        <v>2</v>
      </c>
      <c r="G343" s="61">
        <v>174.477</v>
      </c>
      <c r="H343" s="3" t="s">
        <v>862</v>
      </c>
      <c r="I343" t="s">
        <v>545</v>
      </c>
      <c r="J343" s="15" t="s">
        <v>546</v>
      </c>
      <c r="K343" s="15" t="s">
        <v>547</v>
      </c>
      <c r="L343" s="15" t="s">
        <v>546</v>
      </c>
      <c r="N343" s="56"/>
    </row>
    <row r="344" spans="1:14">
      <c r="A344" s="52"/>
      <c r="B344" s="66"/>
      <c r="C344" t="s">
        <v>579</v>
      </c>
      <c r="D344" t="s">
        <v>569</v>
      </c>
      <c r="F344"/>
      <c r="H344" s="3" t="s">
        <v>554</v>
      </c>
      <c r="I344" t="s">
        <v>545</v>
      </c>
      <c r="K344" s="15" t="s">
        <v>547</v>
      </c>
      <c r="N344" s="56"/>
    </row>
    <row r="345" spans="1:14">
      <c r="A345" s="52"/>
      <c r="B345" s="66"/>
      <c r="C345" t="s">
        <v>863</v>
      </c>
      <c r="D345" t="s">
        <v>569</v>
      </c>
      <c r="F345"/>
      <c r="H345" s="3" t="s">
        <v>864</v>
      </c>
      <c r="I345" t="s">
        <v>545</v>
      </c>
      <c r="K345" s="15" t="s">
        <v>547</v>
      </c>
      <c r="N345" s="56"/>
    </row>
    <row r="346" spans="1:14">
      <c r="A346" s="52"/>
      <c r="B346" s="66"/>
      <c r="C346" t="s">
        <v>865</v>
      </c>
      <c r="D346" t="s">
        <v>543</v>
      </c>
      <c r="F346" s="1">
        <v>2</v>
      </c>
      <c r="G346" s="61">
        <v>167.572</v>
      </c>
      <c r="H346" s="3" t="s">
        <v>862</v>
      </c>
      <c r="I346" t="s">
        <v>554</v>
      </c>
      <c r="J346" s="15" t="s">
        <v>546</v>
      </c>
      <c r="K346" s="15" t="s">
        <v>547</v>
      </c>
      <c r="L346" s="15" t="s">
        <v>546</v>
      </c>
      <c r="N346" s="56"/>
    </row>
    <row r="347" spans="1:14">
      <c r="A347" s="52"/>
      <c r="B347" s="66"/>
      <c r="C347" t="s">
        <v>867</v>
      </c>
      <c r="D347" t="s">
        <v>569</v>
      </c>
      <c r="F347"/>
      <c r="H347" s="3" t="s">
        <v>554</v>
      </c>
      <c r="I347" t="s">
        <v>554</v>
      </c>
      <c r="K347" s="15" t="s">
        <v>547</v>
      </c>
      <c r="N347" s="56"/>
    </row>
    <row r="348" spans="1:14">
      <c r="A348" s="52"/>
      <c r="B348" s="66"/>
      <c r="C348" t="s">
        <v>868</v>
      </c>
      <c r="D348" t="s">
        <v>569</v>
      </c>
      <c r="F348"/>
      <c r="H348" s="3" t="s">
        <v>864</v>
      </c>
      <c r="I348" t="s">
        <v>554</v>
      </c>
      <c r="K348" s="15" t="s">
        <v>547</v>
      </c>
      <c r="N348" s="56"/>
    </row>
    <row r="349" spans="1:14">
      <c r="A349" s="52"/>
      <c r="B349" s="66"/>
      <c r="C349" t="s">
        <v>869</v>
      </c>
      <c r="D349" t="s">
        <v>543</v>
      </c>
      <c r="F349" s="1">
        <v>2</v>
      </c>
      <c r="G349" s="61">
        <v>169.511</v>
      </c>
      <c r="H349" s="3" t="s">
        <v>1013</v>
      </c>
      <c r="I349" t="s">
        <v>554</v>
      </c>
      <c r="J349" s="15" t="s">
        <v>546</v>
      </c>
      <c r="K349" s="15" t="s">
        <v>547</v>
      </c>
      <c r="L349" s="15" t="s">
        <v>546</v>
      </c>
      <c r="N349" s="56"/>
    </row>
    <row r="350" spans="1:14">
      <c r="A350" s="52"/>
      <c r="B350" s="66"/>
      <c r="C350" t="s">
        <v>871</v>
      </c>
      <c r="D350" t="s">
        <v>569</v>
      </c>
      <c r="F350"/>
      <c r="H350" s="3" t="s">
        <v>552</v>
      </c>
      <c r="I350" t="s">
        <v>554</v>
      </c>
      <c r="K350" s="15" t="s">
        <v>547</v>
      </c>
      <c r="N350" s="56"/>
    </row>
    <row r="351" spans="1:14">
      <c r="A351" s="52"/>
      <c r="B351" s="66"/>
      <c r="C351" t="s">
        <v>872</v>
      </c>
      <c r="D351" t="s">
        <v>569</v>
      </c>
      <c r="F351"/>
      <c r="H351" s="3" t="s">
        <v>611</v>
      </c>
      <c r="I351" t="s">
        <v>554</v>
      </c>
      <c r="K351" s="15" t="s">
        <v>547</v>
      </c>
      <c r="N351" s="56"/>
    </row>
    <row r="352" spans="1:14">
      <c r="A352" s="52"/>
      <c r="B352" s="66"/>
      <c r="C352" t="s">
        <v>873</v>
      </c>
      <c r="D352" t="s">
        <v>543</v>
      </c>
      <c r="F352" s="1">
        <v>2</v>
      </c>
      <c r="G352" s="61">
        <v>167.82900000000001</v>
      </c>
      <c r="H352" s="3" t="s">
        <v>862</v>
      </c>
      <c r="I352" t="s">
        <v>552</v>
      </c>
      <c r="J352" s="15" t="s">
        <v>546</v>
      </c>
      <c r="K352" s="15" t="s">
        <v>547</v>
      </c>
      <c r="L352" s="15" t="s">
        <v>546</v>
      </c>
      <c r="N352" s="56"/>
    </row>
    <row r="353" spans="1:14">
      <c r="A353" s="52"/>
      <c r="B353" s="66"/>
      <c r="C353" t="s">
        <v>874</v>
      </c>
      <c r="D353" t="s">
        <v>569</v>
      </c>
      <c r="F353"/>
      <c r="H353" s="3" t="s">
        <v>554</v>
      </c>
      <c r="I353" t="s">
        <v>552</v>
      </c>
      <c r="K353" s="15" t="s">
        <v>547</v>
      </c>
      <c r="N353" s="56"/>
    </row>
    <row r="354" spans="1:14">
      <c r="A354" s="52"/>
      <c r="B354" s="66"/>
      <c r="C354" t="s">
        <v>875</v>
      </c>
      <c r="D354" t="s">
        <v>569</v>
      </c>
      <c r="F354"/>
      <c r="H354" s="3" t="s">
        <v>864</v>
      </c>
      <c r="I354" t="s">
        <v>552</v>
      </c>
      <c r="K354" s="15" t="s">
        <v>547</v>
      </c>
      <c r="N354" s="56"/>
    </row>
    <row r="355" spans="1:14">
      <c r="A355" s="52"/>
      <c r="B355" s="66"/>
      <c r="C355" t="s">
        <v>876</v>
      </c>
      <c r="D355" t="s">
        <v>632</v>
      </c>
      <c r="F355"/>
      <c r="H355" s="3"/>
      <c r="I355"/>
      <c r="N355" s="56"/>
    </row>
    <row r="356" spans="1:14">
      <c r="A356" s="52"/>
      <c r="B356" s="66"/>
      <c r="C356" t="s">
        <v>877</v>
      </c>
      <c r="D356" t="s">
        <v>632</v>
      </c>
      <c r="F356"/>
      <c r="H356" s="3"/>
      <c r="I356"/>
      <c r="N356" s="56"/>
    </row>
    <row r="357" spans="1:14">
      <c r="A357" s="52"/>
      <c r="B357" s="66"/>
      <c r="C357" t="s">
        <v>912</v>
      </c>
      <c r="D357" t="s">
        <v>543</v>
      </c>
      <c r="F357">
        <f>0.3/0.05+1</f>
        <v>6.9999999999999991</v>
      </c>
      <c r="G357" s="61">
        <v>4134.37</v>
      </c>
      <c r="H357" s="3" t="s">
        <v>913</v>
      </c>
      <c r="I357" t="s">
        <v>554</v>
      </c>
      <c r="J357" s="15" t="s">
        <v>546</v>
      </c>
      <c r="K357" s="15" t="s">
        <v>547</v>
      </c>
      <c r="L357" s="15" t="s">
        <v>546</v>
      </c>
      <c r="N357" s="56"/>
    </row>
    <row r="358" spans="1:14">
      <c r="A358" s="52"/>
      <c r="B358" s="66"/>
      <c r="C358" t="s">
        <v>879</v>
      </c>
      <c r="D358" t="s">
        <v>639</v>
      </c>
      <c r="F358"/>
      <c r="H358" s="3" t="s">
        <v>913</v>
      </c>
      <c r="I358" t="s">
        <v>554</v>
      </c>
      <c r="K358" s="15" t="s">
        <v>547</v>
      </c>
      <c r="N358" s="56"/>
    </row>
    <row r="359" spans="1:14">
      <c r="A359" s="115"/>
      <c r="B359" s="64"/>
      <c r="C359" s="54" t="s">
        <v>882</v>
      </c>
      <c r="D359" s="54" t="s">
        <v>632</v>
      </c>
      <c r="E359" s="54"/>
      <c r="F359" s="54"/>
      <c r="G359" s="85"/>
      <c r="H359" s="91"/>
      <c r="I359" s="54"/>
      <c r="J359" s="86"/>
      <c r="K359" s="86"/>
      <c r="L359" s="86"/>
      <c r="M359" s="54"/>
      <c r="N359" s="57"/>
    </row>
    <row r="361" spans="1:14">
      <c r="A361" s="87" t="s">
        <v>911</v>
      </c>
      <c r="B361" s="63" t="s">
        <v>1014</v>
      </c>
      <c r="C361" s="53" t="s">
        <v>579</v>
      </c>
      <c r="D361" s="53" t="s">
        <v>569</v>
      </c>
      <c r="E361" s="53"/>
      <c r="F361" s="53"/>
      <c r="G361" s="82"/>
      <c r="H361" s="88" t="s">
        <v>554</v>
      </c>
      <c r="I361" s="53" t="s">
        <v>545</v>
      </c>
      <c r="J361" s="83"/>
      <c r="K361" s="83" t="s">
        <v>547</v>
      </c>
      <c r="L361" s="83"/>
      <c r="M361" s="53"/>
      <c r="N361" s="55"/>
    </row>
    <row r="362" spans="1:14">
      <c r="A362" s="52"/>
      <c r="B362" s="66"/>
      <c r="C362" t="s">
        <v>873</v>
      </c>
      <c r="D362" t="s">
        <v>543</v>
      </c>
      <c r="F362" s="1">
        <v>1</v>
      </c>
      <c r="G362" s="61">
        <v>167.82900000000001</v>
      </c>
      <c r="H362" s="3" t="s">
        <v>1015</v>
      </c>
      <c r="I362" t="s">
        <v>552</v>
      </c>
      <c r="J362" s="15" t="s">
        <v>546</v>
      </c>
      <c r="K362" s="15" t="s">
        <v>547</v>
      </c>
      <c r="L362" s="15" t="s">
        <v>546</v>
      </c>
      <c r="N362" s="56"/>
    </row>
    <row r="363" spans="1:14">
      <c r="A363" s="115"/>
      <c r="B363" s="64"/>
      <c r="C363" s="54" t="s">
        <v>874</v>
      </c>
      <c r="D363" s="54" t="s">
        <v>569</v>
      </c>
      <c r="E363" s="54"/>
      <c r="F363" s="54"/>
      <c r="G363" s="85"/>
      <c r="H363" s="91" t="s">
        <v>554</v>
      </c>
      <c r="I363" s="54" t="s">
        <v>552</v>
      </c>
      <c r="J363" s="86"/>
      <c r="K363" s="86" t="s">
        <v>547</v>
      </c>
      <c r="L363" s="86"/>
      <c r="M363" s="54"/>
      <c r="N363" s="57"/>
    </row>
    <row r="364" spans="1:14">
      <c r="A364" s="1"/>
      <c r="B364" s="1"/>
      <c r="C364"/>
      <c r="F364"/>
      <c r="G364"/>
      <c r="H364"/>
      <c r="I364"/>
      <c r="J364"/>
      <c r="K364"/>
      <c r="L364"/>
      <c r="N364"/>
    </row>
    <row r="365" spans="1:14">
      <c r="A365" s="1"/>
      <c r="B365" s="1"/>
      <c r="C365"/>
      <c r="F365"/>
      <c r="G365"/>
      <c r="H365"/>
      <c r="I365"/>
      <c r="J365"/>
      <c r="K365"/>
      <c r="L365"/>
      <c r="N365"/>
    </row>
    <row r="366" spans="1:14">
      <c r="A366" s="1"/>
      <c r="B366" s="1"/>
      <c r="C366"/>
      <c r="F366"/>
      <c r="G366"/>
      <c r="H366"/>
      <c r="I366"/>
      <c r="J366"/>
      <c r="K366"/>
      <c r="L366"/>
      <c r="N366"/>
    </row>
    <row r="367" spans="1:14">
      <c r="A367" s="1"/>
      <c r="B367" s="1"/>
      <c r="C367"/>
      <c r="F367"/>
      <c r="G367"/>
      <c r="H367"/>
      <c r="I367"/>
      <c r="J367"/>
      <c r="K367"/>
      <c r="L367"/>
      <c r="N367"/>
    </row>
    <row r="368" spans="1:14">
      <c r="A368" s="1"/>
      <c r="B368" s="1"/>
      <c r="C368"/>
      <c r="F368"/>
      <c r="G368"/>
      <c r="H368"/>
      <c r="I368"/>
      <c r="J368"/>
      <c r="K368"/>
      <c r="L368"/>
      <c r="N368"/>
    </row>
    <row r="369" spans="1:14">
      <c r="A369" s="1"/>
      <c r="B369" s="1"/>
      <c r="C369"/>
      <c r="F369"/>
      <c r="G369"/>
      <c r="H369"/>
      <c r="I369"/>
      <c r="J369"/>
      <c r="K369"/>
      <c r="L369"/>
      <c r="N369"/>
    </row>
    <row r="370" spans="1:14">
      <c r="A370" s="1"/>
      <c r="B370" s="1"/>
    </row>
    <row r="371" spans="1:14">
      <c r="A371" s="1"/>
      <c r="B371" s="1"/>
    </row>
    <row r="372" spans="1:14">
      <c r="A372" s="1"/>
      <c r="B372" s="1"/>
    </row>
    <row r="373" spans="1:14">
      <c r="A373" s="1"/>
      <c r="B373" s="1"/>
    </row>
    <row r="374" spans="1:14">
      <c r="A374" s="1"/>
      <c r="B374" s="1"/>
    </row>
    <row r="375" spans="1:14">
      <c r="A375" s="1"/>
      <c r="B375" s="1"/>
    </row>
    <row r="376" spans="1:14">
      <c r="A376" s="1"/>
      <c r="B376" s="1"/>
    </row>
    <row r="377" spans="1:14">
      <c r="A377" s="1"/>
      <c r="B377" s="1"/>
    </row>
    <row r="378" spans="1:14">
      <c r="A378" s="1"/>
      <c r="B378" s="1"/>
    </row>
    <row r="379" spans="1:14">
      <c r="A379" s="1"/>
      <c r="B379" s="1"/>
    </row>
    <row r="380" spans="1:14">
      <c r="A380" s="1"/>
      <c r="B380" s="1"/>
    </row>
    <row r="381" spans="1:14">
      <c r="A381" s="1"/>
      <c r="B381" s="1"/>
    </row>
    <row r="382" spans="1:14">
      <c r="A382" s="1"/>
      <c r="B382" s="1"/>
    </row>
  </sheetData>
  <autoFilter ref="A1:N359" xr:uid="{D1BD0F84-301E-4C1F-9F5F-D6FE45716E44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3BC7-211D-4BB8-8C1A-F09C9A7B1011}">
  <dimension ref="A1:W426"/>
  <sheetViews>
    <sheetView zoomScale="90" zoomScaleNormal="90" workbookViewId="0">
      <pane ySplit="1" topLeftCell="A303" activePane="bottomLeft" state="frozen"/>
      <selection pane="bottomLeft" activeCell="F330" sqref="F330:L334"/>
    </sheetView>
  </sheetViews>
  <sheetFormatPr defaultColWidth="9.140625" defaultRowHeight="14.25"/>
  <cols>
    <col min="1" max="1" width="20.5703125" bestFit="1" customWidth="1"/>
    <col min="2" max="2" width="29.42578125" bestFit="1" customWidth="1"/>
    <col min="3" max="3" width="54" customWidth="1"/>
    <col min="4" max="4" width="16.5703125" customWidth="1"/>
    <col min="5" max="5" width="7" customWidth="1"/>
    <col min="6" max="6" width="18.42578125" style="3" bestFit="1" customWidth="1"/>
    <col min="7" max="7" width="31.140625" style="3" bestFit="1" customWidth="1"/>
    <col min="8" max="8" width="14.85546875" style="3" bestFit="1" customWidth="1"/>
    <col min="9" max="9" width="15.140625" style="3" bestFit="1" customWidth="1"/>
    <col min="10" max="10" width="14.5703125" style="3" bestFit="1" customWidth="1"/>
    <col min="11" max="11" width="7.85546875" style="3" bestFit="1" customWidth="1"/>
    <col min="12" max="13" width="13.5703125" style="3" bestFit="1" customWidth="1"/>
    <col min="14" max="17" width="9.5703125" customWidth="1"/>
    <col min="18" max="19" width="9.42578125" customWidth="1"/>
    <col min="20" max="20" width="4.42578125" bestFit="1" customWidth="1"/>
    <col min="21" max="21" width="5" bestFit="1" customWidth="1"/>
    <col min="22" max="22" width="8.42578125" bestFit="1" customWidth="1"/>
    <col min="23" max="23" width="8.140625" bestFit="1" customWidth="1"/>
  </cols>
  <sheetData>
    <row r="1" spans="1:17">
      <c r="A1" s="24" t="s">
        <v>149</v>
      </c>
      <c r="B1" s="24" t="s">
        <v>150</v>
      </c>
      <c r="C1" s="28" t="s">
        <v>151</v>
      </c>
      <c r="D1" s="28" t="s">
        <v>477</v>
      </c>
      <c r="F1" s="303" t="s">
        <v>1016</v>
      </c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5"/>
    </row>
    <row r="2" spans="1:17">
      <c r="E2" s="4"/>
      <c r="F2" s="130" t="s">
        <v>1017</v>
      </c>
      <c r="G2" s="130" t="s">
        <v>1018</v>
      </c>
    </row>
    <row r="3" spans="1:17">
      <c r="A3" s="7" t="s">
        <v>134</v>
      </c>
      <c r="B3" s="7" t="s">
        <v>134</v>
      </c>
      <c r="C3" s="25" t="s">
        <v>152</v>
      </c>
      <c r="D3" s="1"/>
      <c r="E3" s="6"/>
      <c r="F3" s="67" t="s">
        <v>153</v>
      </c>
      <c r="G3" s="67" t="s">
        <v>154</v>
      </c>
    </row>
    <row r="5" spans="1:17">
      <c r="E5" s="4"/>
      <c r="F5" s="23" t="s">
        <v>155</v>
      </c>
      <c r="G5" s="23" t="s">
        <v>156</v>
      </c>
    </row>
    <row r="6" spans="1:17">
      <c r="A6" s="7" t="s">
        <v>157</v>
      </c>
      <c r="B6" s="7" t="s">
        <v>157</v>
      </c>
      <c r="C6" s="25" t="s">
        <v>158</v>
      </c>
      <c r="D6" s="1"/>
      <c r="E6" s="6"/>
      <c r="F6" s="67" t="s">
        <v>153</v>
      </c>
      <c r="G6" s="67" t="s">
        <v>154</v>
      </c>
    </row>
    <row r="8" spans="1:17">
      <c r="F8" s="44" t="s">
        <v>47</v>
      </c>
      <c r="G8" s="44" t="s">
        <v>48</v>
      </c>
      <c r="H8" s="44" t="s">
        <v>49</v>
      </c>
      <c r="I8" s="44" t="s">
        <v>50</v>
      </c>
      <c r="J8" s="44" t="s">
        <v>51</v>
      </c>
      <c r="K8" s="44" t="s">
        <v>52</v>
      </c>
      <c r="L8" s="44" t="s">
        <v>53</v>
      </c>
      <c r="M8" s="44" t="s">
        <v>54</v>
      </c>
    </row>
    <row r="9" spans="1:17">
      <c r="A9" s="284" t="s">
        <v>159</v>
      </c>
      <c r="B9" s="7" t="s">
        <v>160</v>
      </c>
      <c r="C9" s="26" t="s">
        <v>161</v>
      </c>
      <c r="D9" s="34"/>
      <c r="F9" s="2" t="s">
        <v>153</v>
      </c>
      <c r="L9" s="2" t="s">
        <v>162</v>
      </c>
    </row>
    <row r="10" spans="1:17">
      <c r="A10" s="284"/>
      <c r="B10" s="7" t="s">
        <v>163</v>
      </c>
      <c r="C10" s="26" t="s">
        <v>164</v>
      </c>
      <c r="D10" s="34"/>
      <c r="F10" s="2" t="s">
        <v>153</v>
      </c>
      <c r="I10" s="2" t="s">
        <v>162</v>
      </c>
    </row>
    <row r="11" spans="1:17">
      <c r="A11" s="284"/>
      <c r="B11" s="7" t="s">
        <v>165</v>
      </c>
      <c r="C11" s="26" t="s">
        <v>166</v>
      </c>
      <c r="D11" s="34"/>
      <c r="I11" s="2" t="s">
        <v>162</v>
      </c>
      <c r="L11" s="2" t="s">
        <v>153</v>
      </c>
    </row>
    <row r="12" spans="1:17">
      <c r="A12" s="284" t="s">
        <v>167</v>
      </c>
      <c r="B12" s="7" t="s">
        <v>168</v>
      </c>
      <c r="C12" s="26" t="s">
        <v>169</v>
      </c>
      <c r="D12" s="34"/>
      <c r="H12" s="2" t="s">
        <v>153</v>
      </c>
      <c r="J12" s="2" t="s">
        <v>162</v>
      </c>
    </row>
    <row r="13" spans="1:17">
      <c r="A13" s="284"/>
      <c r="B13" s="7" t="s">
        <v>170</v>
      </c>
      <c r="C13" s="26" t="s">
        <v>171</v>
      </c>
      <c r="D13" s="34"/>
      <c r="F13" s="2" t="s">
        <v>162</v>
      </c>
      <c r="H13" s="2" t="s">
        <v>153</v>
      </c>
    </row>
    <row r="14" spans="1:17">
      <c r="A14" s="284"/>
      <c r="B14" s="7" t="s">
        <v>172</v>
      </c>
      <c r="C14" s="26" t="s">
        <v>173</v>
      </c>
      <c r="D14" s="34"/>
      <c r="F14" s="2" t="s">
        <v>162</v>
      </c>
      <c r="J14" s="2" t="s">
        <v>153</v>
      </c>
    </row>
    <row r="15" spans="1:17">
      <c r="A15" s="284" t="s">
        <v>174</v>
      </c>
      <c r="B15" s="7" t="s">
        <v>175</v>
      </c>
      <c r="C15" s="26" t="s">
        <v>176</v>
      </c>
      <c r="D15" s="34"/>
      <c r="F15" s="2" t="s">
        <v>162</v>
      </c>
      <c r="M15" s="2" t="s">
        <v>153</v>
      </c>
    </row>
    <row r="16" spans="1:17">
      <c r="A16" s="284"/>
      <c r="B16" s="7" t="s">
        <v>177</v>
      </c>
      <c r="C16" s="26" t="s">
        <v>178</v>
      </c>
      <c r="D16" s="34"/>
      <c r="I16" s="2" t="s">
        <v>162</v>
      </c>
      <c r="M16" s="2" t="s">
        <v>153</v>
      </c>
    </row>
    <row r="17" spans="1:23">
      <c r="A17" s="284"/>
      <c r="B17" s="7" t="s">
        <v>179</v>
      </c>
      <c r="C17" s="26" t="s">
        <v>180</v>
      </c>
      <c r="D17" s="34"/>
      <c r="F17" s="2" t="s">
        <v>153</v>
      </c>
      <c r="I17" s="2" t="s">
        <v>162</v>
      </c>
    </row>
    <row r="19" spans="1:23">
      <c r="E19" s="4"/>
      <c r="F19" s="23" t="s">
        <v>9</v>
      </c>
      <c r="G19" s="23" t="s">
        <v>25</v>
      </c>
    </row>
    <row r="20" spans="1:23">
      <c r="A20" s="7" t="s">
        <v>181</v>
      </c>
      <c r="B20" s="7" t="s">
        <v>181</v>
      </c>
      <c r="C20" s="25" t="s">
        <v>182</v>
      </c>
      <c r="D20" s="1"/>
      <c r="E20" s="6"/>
      <c r="F20" s="67" t="s">
        <v>153</v>
      </c>
      <c r="G20" s="67" t="s">
        <v>154</v>
      </c>
    </row>
    <row r="22" spans="1:23">
      <c r="E22" s="4"/>
      <c r="F22" s="23" t="s">
        <v>49</v>
      </c>
      <c r="G22" s="23" t="s">
        <v>48</v>
      </c>
    </row>
    <row r="23" spans="1:23">
      <c r="A23" s="7" t="s">
        <v>183</v>
      </c>
      <c r="B23" s="7" t="s">
        <v>183</v>
      </c>
      <c r="C23" s="25" t="s">
        <v>182</v>
      </c>
      <c r="D23" s="1"/>
      <c r="E23" s="6"/>
      <c r="F23" s="67" t="s">
        <v>153</v>
      </c>
      <c r="G23" s="67" t="s">
        <v>154</v>
      </c>
    </row>
    <row r="25" spans="1:23">
      <c r="E25" s="4"/>
      <c r="F25" s="44" t="s">
        <v>184</v>
      </c>
      <c r="G25" s="23" t="s">
        <v>93</v>
      </c>
    </row>
    <row r="26" spans="1:23">
      <c r="A26" s="7" t="s">
        <v>185</v>
      </c>
      <c r="B26" s="7" t="s">
        <v>185</v>
      </c>
      <c r="C26" s="25" t="s">
        <v>158</v>
      </c>
      <c r="D26" s="1"/>
      <c r="E26" s="6"/>
      <c r="F26" s="67" t="s">
        <v>153</v>
      </c>
      <c r="G26" s="67" t="s">
        <v>154</v>
      </c>
    </row>
    <row r="28" spans="1:23" s="3" customFormat="1">
      <c r="A28"/>
      <c r="B28"/>
      <c r="C28"/>
      <c r="D28"/>
      <c r="E28" s="4"/>
      <c r="F28" s="23" t="s">
        <v>10</v>
      </c>
      <c r="G28" s="23" t="s">
        <v>9</v>
      </c>
      <c r="H28" s="23" t="s">
        <v>88</v>
      </c>
      <c r="N28"/>
      <c r="O28"/>
      <c r="P28"/>
      <c r="Q28"/>
      <c r="R28"/>
      <c r="S28"/>
      <c r="T28"/>
      <c r="U28"/>
      <c r="V28"/>
      <c r="W28"/>
    </row>
    <row r="29" spans="1:23" s="3" customFormat="1">
      <c r="A29" s="7" t="s">
        <v>186</v>
      </c>
      <c r="B29" s="7" t="s">
        <v>186</v>
      </c>
      <c r="C29" s="25" t="s">
        <v>187</v>
      </c>
      <c r="D29" s="1"/>
      <c r="E29" s="6"/>
      <c r="F29" s="67" t="s">
        <v>153</v>
      </c>
      <c r="G29" s="67" t="s">
        <v>154</v>
      </c>
      <c r="H29" s="67" t="s">
        <v>188</v>
      </c>
      <c r="N29"/>
      <c r="O29"/>
      <c r="P29"/>
      <c r="Q29"/>
      <c r="R29"/>
      <c r="S29"/>
      <c r="T29"/>
      <c r="U29"/>
      <c r="V29"/>
      <c r="W29"/>
    </row>
    <row r="31" spans="1:23" s="3" customFormat="1">
      <c r="A31"/>
      <c r="B31"/>
      <c r="C31"/>
      <c r="D31"/>
      <c r="E31" s="4"/>
      <c r="F31" s="23" t="s">
        <v>155</v>
      </c>
      <c r="G31" s="23" t="s">
        <v>156</v>
      </c>
      <c r="H31" s="23" t="s">
        <v>24</v>
      </c>
      <c r="I31" s="23" t="s">
        <v>25</v>
      </c>
      <c r="N31"/>
      <c r="O31"/>
      <c r="P31"/>
      <c r="Q31"/>
      <c r="R31"/>
      <c r="S31"/>
      <c r="T31"/>
      <c r="U31"/>
      <c r="V31"/>
      <c r="W31"/>
    </row>
    <row r="32" spans="1:23" s="3" customFormat="1">
      <c r="A32" s="7" t="s">
        <v>189</v>
      </c>
      <c r="B32" s="7" t="s">
        <v>189</v>
      </c>
      <c r="C32" s="25" t="s">
        <v>190</v>
      </c>
      <c r="D32" s="1"/>
      <c r="E32" s="5"/>
      <c r="F32" s="2" t="s">
        <v>191</v>
      </c>
      <c r="G32" s="2" t="s">
        <v>192</v>
      </c>
      <c r="H32" s="2" t="s">
        <v>193</v>
      </c>
      <c r="I32" s="2" t="s">
        <v>162</v>
      </c>
      <c r="N32"/>
      <c r="O32"/>
      <c r="P32"/>
      <c r="Q32"/>
      <c r="R32"/>
      <c r="S32"/>
      <c r="T32"/>
      <c r="U32"/>
      <c r="V32"/>
      <c r="W32"/>
    </row>
    <row r="34" spans="1:23" s="3" customFormat="1">
      <c r="A34"/>
      <c r="B34"/>
      <c r="C34"/>
      <c r="D34"/>
      <c r="E34" s="4"/>
      <c r="F34" s="23" t="s">
        <v>10</v>
      </c>
      <c r="G34" s="23" t="s">
        <v>24</v>
      </c>
      <c r="H34" s="23" t="s">
        <v>9</v>
      </c>
      <c r="I34" s="23" t="s">
        <v>25</v>
      </c>
      <c r="N34"/>
      <c r="O34"/>
      <c r="P34"/>
      <c r="Q34"/>
      <c r="R34"/>
      <c r="S34"/>
      <c r="T34"/>
      <c r="U34"/>
      <c r="V34"/>
      <c r="W34"/>
    </row>
    <row r="35" spans="1:23" s="3" customFormat="1">
      <c r="A35" s="7" t="s">
        <v>194</v>
      </c>
      <c r="B35" s="7" t="s">
        <v>194</v>
      </c>
      <c r="C35" s="25" t="s">
        <v>190</v>
      </c>
      <c r="D35" s="1"/>
      <c r="E35" s="5"/>
      <c r="F35" s="2" t="s">
        <v>191</v>
      </c>
      <c r="G35" s="2" t="s">
        <v>192</v>
      </c>
      <c r="H35" s="2" t="s">
        <v>193</v>
      </c>
      <c r="I35" s="2" t="s">
        <v>162</v>
      </c>
      <c r="N35"/>
      <c r="O35"/>
      <c r="P35"/>
      <c r="Q35"/>
      <c r="R35"/>
      <c r="S35"/>
      <c r="T35"/>
      <c r="U35"/>
      <c r="V35"/>
      <c r="W35"/>
    </row>
    <row r="37" spans="1:23" s="3" customFormat="1">
      <c r="A37"/>
      <c r="B37"/>
      <c r="C37"/>
      <c r="D37"/>
      <c r="E37" s="4"/>
      <c r="F37" s="23" t="s">
        <v>155</v>
      </c>
      <c r="G37" s="23" t="s">
        <v>156</v>
      </c>
      <c r="H37" s="23" t="s">
        <v>24</v>
      </c>
      <c r="I37" s="23" t="s">
        <v>25</v>
      </c>
      <c r="J37" s="23" t="s">
        <v>83</v>
      </c>
      <c r="N37"/>
      <c r="O37"/>
      <c r="P37"/>
      <c r="Q37"/>
      <c r="R37"/>
      <c r="S37"/>
      <c r="T37"/>
      <c r="U37"/>
      <c r="V37"/>
      <c r="W37"/>
    </row>
    <row r="38" spans="1:23" s="3" customFormat="1">
      <c r="A38" s="7" t="s">
        <v>195</v>
      </c>
      <c r="B38" s="7" t="s">
        <v>195</v>
      </c>
      <c r="C38" s="25" t="s">
        <v>196</v>
      </c>
      <c r="D38" s="1"/>
      <c r="E38" s="5"/>
      <c r="F38" s="2" t="s">
        <v>191</v>
      </c>
      <c r="G38" s="2" t="s">
        <v>192</v>
      </c>
      <c r="H38" s="2" t="s">
        <v>193</v>
      </c>
      <c r="I38" s="2" t="s">
        <v>162</v>
      </c>
      <c r="J38" s="2" t="s">
        <v>188</v>
      </c>
      <c r="N38"/>
      <c r="O38"/>
      <c r="P38"/>
      <c r="Q38"/>
      <c r="R38"/>
      <c r="S38"/>
      <c r="T38"/>
      <c r="U38"/>
      <c r="V38"/>
      <c r="W38"/>
    </row>
    <row r="40" spans="1:23">
      <c r="F40" s="44" t="s">
        <v>47</v>
      </c>
      <c r="G40" s="44" t="s">
        <v>48</v>
      </c>
      <c r="H40" s="44" t="s">
        <v>49</v>
      </c>
      <c r="I40" s="44" t="s">
        <v>50</v>
      </c>
      <c r="J40" s="44" t="s">
        <v>51</v>
      </c>
      <c r="K40" s="44" t="s">
        <v>52</v>
      </c>
      <c r="L40" s="44" t="s">
        <v>53</v>
      </c>
      <c r="M40" s="44" t="s">
        <v>54</v>
      </c>
    </row>
    <row r="41" spans="1:23">
      <c r="A41" s="7" t="s">
        <v>197</v>
      </c>
      <c r="B41" s="7" t="s">
        <v>197</v>
      </c>
      <c r="C41" s="25" t="s">
        <v>190</v>
      </c>
      <c r="D41" s="1"/>
      <c r="E41" s="5"/>
      <c r="F41" s="2" t="s">
        <v>162</v>
      </c>
      <c r="G41" s="2" t="s">
        <v>192</v>
      </c>
      <c r="H41" s="2" t="s">
        <v>191</v>
      </c>
      <c r="I41" s="2" t="s">
        <v>193</v>
      </c>
    </row>
    <row r="43" spans="1:23">
      <c r="F43" s="44" t="s">
        <v>47</v>
      </c>
      <c r="G43" s="44" t="s">
        <v>48</v>
      </c>
      <c r="H43" s="44" t="s">
        <v>49</v>
      </c>
      <c r="I43" s="44" t="s">
        <v>50</v>
      </c>
      <c r="J43" s="44" t="s">
        <v>1019</v>
      </c>
      <c r="K43" s="44" t="s">
        <v>1020</v>
      </c>
    </row>
    <row r="44" spans="1:23">
      <c r="A44" s="301" t="s">
        <v>1021</v>
      </c>
      <c r="B44" s="301" t="s">
        <v>1021</v>
      </c>
      <c r="C44" s="25" t="s">
        <v>1022</v>
      </c>
      <c r="D44" s="60" t="s">
        <v>1023</v>
      </c>
      <c r="F44" s="2" t="s">
        <v>1024</v>
      </c>
      <c r="G44" s="2" t="s">
        <v>193</v>
      </c>
      <c r="H44" s="2" t="s">
        <v>162</v>
      </c>
      <c r="I44" s="2"/>
      <c r="J44" s="2" t="s">
        <v>1025</v>
      </c>
      <c r="K44" s="2" t="s">
        <v>1025</v>
      </c>
    </row>
    <row r="45" spans="1:23">
      <c r="A45" s="301"/>
      <c r="B45" s="301"/>
      <c r="C45" s="25" t="s">
        <v>1026</v>
      </c>
      <c r="D45" s="60" t="s">
        <v>1027</v>
      </c>
    </row>
    <row r="46" spans="1:23">
      <c r="A46" s="301" t="s">
        <v>1028</v>
      </c>
      <c r="B46" s="301" t="s">
        <v>1028</v>
      </c>
      <c r="C46" s="25" t="s">
        <v>1022</v>
      </c>
      <c r="D46" s="60" t="s">
        <v>1029</v>
      </c>
      <c r="F46" s="2"/>
      <c r="G46" s="2" t="s">
        <v>193</v>
      </c>
      <c r="H46" s="2" t="s">
        <v>162</v>
      </c>
      <c r="I46" s="2" t="s">
        <v>1024</v>
      </c>
      <c r="J46" s="2" t="s">
        <v>1025</v>
      </c>
      <c r="K46" s="2" t="s">
        <v>1025</v>
      </c>
    </row>
    <row r="47" spans="1:23">
      <c r="A47" s="301"/>
      <c r="B47" s="301"/>
      <c r="C47" s="25" t="s">
        <v>1026</v>
      </c>
      <c r="D47" s="60" t="s">
        <v>1030</v>
      </c>
    </row>
    <row r="48" spans="1:23">
      <c r="A48" s="15"/>
      <c r="B48" s="15"/>
      <c r="C48" s="1"/>
      <c r="D48" s="60"/>
    </row>
    <row r="49" spans="1:17">
      <c r="F49" s="44" t="s">
        <v>199</v>
      </c>
      <c r="G49" s="44" t="s">
        <v>200</v>
      </c>
      <c r="H49" s="44" t="s">
        <v>201</v>
      </c>
      <c r="I49" s="44" t="s">
        <v>202</v>
      </c>
      <c r="N49" s="3"/>
      <c r="O49" s="3"/>
      <c r="P49" s="3"/>
      <c r="Q49" s="3"/>
    </row>
    <row r="50" spans="1:17">
      <c r="A50" s="37" t="s">
        <v>203</v>
      </c>
      <c r="B50" s="37" t="s">
        <v>203</v>
      </c>
      <c r="C50" s="17" t="s">
        <v>204</v>
      </c>
      <c r="D50" s="36" t="s">
        <v>205</v>
      </c>
      <c r="F50" s="2" t="s">
        <v>193</v>
      </c>
      <c r="G50" s="39" t="s">
        <v>162</v>
      </c>
      <c r="H50" s="2" t="s">
        <v>191</v>
      </c>
      <c r="I50" s="2" t="s">
        <v>206</v>
      </c>
      <c r="N50" s="3"/>
      <c r="O50" s="3"/>
      <c r="P50" s="3"/>
      <c r="Q50" s="3"/>
    </row>
    <row r="52" spans="1:17">
      <c r="F52" s="44" t="s">
        <v>47</v>
      </c>
      <c r="G52" s="44" t="s">
        <v>48</v>
      </c>
      <c r="H52" s="44" t="s">
        <v>49</v>
      </c>
      <c r="I52" s="44" t="s">
        <v>50</v>
      </c>
      <c r="J52" s="44" t="s">
        <v>51</v>
      </c>
      <c r="K52" s="44" t="s">
        <v>52</v>
      </c>
      <c r="L52" s="44" t="s">
        <v>53</v>
      </c>
      <c r="M52" s="44" t="s">
        <v>54</v>
      </c>
    </row>
    <row r="53" spans="1:17">
      <c r="A53" s="284" t="s">
        <v>207</v>
      </c>
      <c r="B53" s="7" t="s">
        <v>208</v>
      </c>
      <c r="C53" s="25" t="s">
        <v>209</v>
      </c>
      <c r="D53" s="1"/>
      <c r="E53" s="5"/>
      <c r="F53" s="2" t="s">
        <v>162</v>
      </c>
      <c r="I53" s="2" t="s">
        <v>193</v>
      </c>
      <c r="J53" s="2" t="s">
        <v>191</v>
      </c>
      <c r="M53" s="2" t="s">
        <v>192</v>
      </c>
    </row>
    <row r="54" spans="1:17">
      <c r="A54" s="284"/>
      <c r="B54" s="7" t="s">
        <v>210</v>
      </c>
      <c r="C54" s="25" t="s">
        <v>211</v>
      </c>
      <c r="D54" s="1"/>
      <c r="E54" s="5"/>
      <c r="G54" s="2" t="s">
        <v>162</v>
      </c>
      <c r="H54" s="2" t="s">
        <v>193</v>
      </c>
      <c r="K54" s="2" t="s">
        <v>191</v>
      </c>
      <c r="L54" s="2" t="s">
        <v>192</v>
      </c>
    </row>
    <row r="55" spans="1:17">
      <c r="A55" s="284" t="s">
        <v>212</v>
      </c>
      <c r="B55" s="7" t="s">
        <v>213</v>
      </c>
      <c r="C55" s="26" t="s">
        <v>214</v>
      </c>
      <c r="D55" s="34"/>
      <c r="F55" s="2" t="s">
        <v>193</v>
      </c>
      <c r="G55" s="2" t="s">
        <v>192</v>
      </c>
      <c r="L55" s="2" t="s">
        <v>162</v>
      </c>
      <c r="M55" s="2" t="s">
        <v>191</v>
      </c>
    </row>
    <row r="56" spans="1:17">
      <c r="A56" s="284"/>
      <c r="B56" s="7" t="s">
        <v>215</v>
      </c>
      <c r="C56" s="26" t="s">
        <v>216</v>
      </c>
      <c r="D56" s="34"/>
      <c r="F56" s="2" t="s">
        <v>193</v>
      </c>
      <c r="H56" s="2" t="s">
        <v>192</v>
      </c>
      <c r="I56" s="2" t="s">
        <v>162</v>
      </c>
      <c r="M56" s="2" t="s">
        <v>191</v>
      </c>
    </row>
    <row r="57" spans="1:17">
      <c r="A57" s="284"/>
      <c r="B57" s="7" t="s">
        <v>217</v>
      </c>
      <c r="C57" s="26" t="s">
        <v>218</v>
      </c>
      <c r="D57" s="34"/>
      <c r="G57" s="2" t="s">
        <v>191</v>
      </c>
      <c r="H57" s="2" t="s">
        <v>192</v>
      </c>
      <c r="I57" s="2" t="s">
        <v>162</v>
      </c>
      <c r="L57" s="2" t="s">
        <v>193</v>
      </c>
    </row>
    <row r="58" spans="1:17">
      <c r="A58" s="284" t="s">
        <v>219</v>
      </c>
      <c r="B58" s="7" t="s">
        <v>220</v>
      </c>
      <c r="C58" s="26" t="s">
        <v>221</v>
      </c>
      <c r="D58" s="34"/>
      <c r="H58" s="2" t="s">
        <v>193</v>
      </c>
      <c r="I58" s="2" t="s">
        <v>192</v>
      </c>
      <c r="J58" s="2" t="s">
        <v>162</v>
      </c>
      <c r="K58" s="2" t="s">
        <v>191</v>
      </c>
    </row>
    <row r="59" spans="1:17">
      <c r="A59" s="284"/>
      <c r="B59" s="7" t="s">
        <v>222</v>
      </c>
      <c r="C59" s="26" t="s">
        <v>223</v>
      </c>
      <c r="D59" s="34"/>
      <c r="F59" s="2" t="s">
        <v>162</v>
      </c>
      <c r="G59" s="2" t="s">
        <v>192</v>
      </c>
      <c r="H59" s="2" t="s">
        <v>193</v>
      </c>
      <c r="K59" s="2" t="s">
        <v>191</v>
      </c>
    </row>
    <row r="60" spans="1:17">
      <c r="A60" s="284"/>
      <c r="B60" s="7" t="s">
        <v>224</v>
      </c>
      <c r="C60" s="26" t="s">
        <v>225</v>
      </c>
      <c r="D60" s="34"/>
      <c r="F60" s="2" t="s">
        <v>162</v>
      </c>
      <c r="G60" s="2" t="s">
        <v>192</v>
      </c>
      <c r="I60" s="2" t="s">
        <v>191</v>
      </c>
      <c r="J60" s="2" t="s">
        <v>193</v>
      </c>
    </row>
    <row r="61" spans="1:17">
      <c r="A61" s="284" t="s">
        <v>226</v>
      </c>
      <c r="B61" s="7" t="s">
        <v>227</v>
      </c>
      <c r="C61" s="26" t="s">
        <v>228</v>
      </c>
      <c r="D61" s="34"/>
      <c r="F61" s="2" t="s">
        <v>162</v>
      </c>
      <c r="G61" s="2" t="s">
        <v>192</v>
      </c>
      <c r="L61" s="2" t="s">
        <v>191</v>
      </c>
      <c r="M61" s="2" t="s">
        <v>193</v>
      </c>
    </row>
    <row r="62" spans="1:17">
      <c r="A62" s="284"/>
      <c r="B62" s="7" t="s">
        <v>229</v>
      </c>
      <c r="C62" s="26" t="s">
        <v>230</v>
      </c>
      <c r="D62" s="34"/>
      <c r="H62" s="2" t="s">
        <v>192</v>
      </c>
      <c r="I62" s="2" t="s">
        <v>162</v>
      </c>
      <c r="L62" s="2" t="s">
        <v>191</v>
      </c>
      <c r="M62" s="2" t="s">
        <v>193</v>
      </c>
    </row>
    <row r="63" spans="1:17">
      <c r="A63" s="284"/>
      <c r="B63" s="7" t="s">
        <v>231</v>
      </c>
      <c r="C63" s="26" t="s">
        <v>232</v>
      </c>
      <c r="D63" s="34"/>
      <c r="F63" s="2" t="s">
        <v>193</v>
      </c>
      <c r="G63" s="2" t="s">
        <v>191</v>
      </c>
      <c r="H63" s="2" t="s">
        <v>192</v>
      </c>
      <c r="I63" s="2" t="s">
        <v>162</v>
      </c>
    </row>
    <row r="65" spans="1:23">
      <c r="F65" s="30" t="s">
        <v>10</v>
      </c>
      <c r="G65" s="30" t="s">
        <v>9</v>
      </c>
      <c r="H65" s="30" t="s">
        <v>233</v>
      </c>
      <c r="I65" s="30" t="s">
        <v>234</v>
      </c>
      <c r="J65" s="23" t="s">
        <v>16</v>
      </c>
      <c r="K65" s="23" t="s">
        <v>17</v>
      </c>
      <c r="L65" s="15"/>
      <c r="M65" s="15"/>
      <c r="N65" s="1"/>
      <c r="O65" s="1"/>
      <c r="P65" s="1"/>
      <c r="Q65" s="1"/>
      <c r="R65" s="1"/>
    </row>
    <row r="66" spans="1:23">
      <c r="A66" s="284" t="s">
        <v>235</v>
      </c>
      <c r="B66" s="65" t="s">
        <v>236</v>
      </c>
      <c r="C66" s="29" t="s">
        <v>237</v>
      </c>
      <c r="D66" s="35"/>
      <c r="F66" s="67" t="s">
        <v>238</v>
      </c>
      <c r="G66" s="67" t="s">
        <v>238</v>
      </c>
      <c r="H66" s="2" t="s">
        <v>239</v>
      </c>
      <c r="I66" s="2" t="s">
        <v>239</v>
      </c>
      <c r="J66" s="2" t="s">
        <v>239</v>
      </c>
      <c r="K66" s="2" t="s">
        <v>239</v>
      </c>
      <c r="L66" s="15"/>
      <c r="M66" s="15"/>
      <c r="N66" s="1"/>
      <c r="O66" s="1"/>
      <c r="P66" s="1"/>
      <c r="Q66" s="1"/>
      <c r="R66" s="1"/>
    </row>
    <row r="67" spans="1:23">
      <c r="A67" s="284"/>
      <c r="B67" s="8" t="s">
        <v>240</v>
      </c>
      <c r="C67" s="29" t="s">
        <v>241</v>
      </c>
      <c r="D67" s="35"/>
      <c r="F67" s="67" t="s">
        <v>238</v>
      </c>
      <c r="G67" s="67" t="s">
        <v>238</v>
      </c>
      <c r="H67" s="2" t="s">
        <v>242</v>
      </c>
      <c r="I67" s="2" t="s">
        <v>242</v>
      </c>
      <c r="J67" s="2" t="s">
        <v>242</v>
      </c>
      <c r="K67" s="2" t="s">
        <v>239</v>
      </c>
      <c r="L67" s="15"/>
      <c r="M67" s="15"/>
      <c r="N67" s="1"/>
      <c r="O67" s="1"/>
      <c r="P67" s="1"/>
      <c r="Q67" s="1"/>
      <c r="R67" s="1"/>
    </row>
    <row r="68" spans="1:23">
      <c r="A68" s="284"/>
      <c r="B68" s="8" t="s">
        <v>243</v>
      </c>
      <c r="C68" s="29" t="s">
        <v>244</v>
      </c>
      <c r="D68" s="35"/>
      <c r="F68" s="67" t="s">
        <v>238</v>
      </c>
      <c r="G68" s="67" t="s">
        <v>238</v>
      </c>
      <c r="H68" s="2" t="s">
        <v>239</v>
      </c>
      <c r="I68" s="2" t="s">
        <v>239</v>
      </c>
      <c r="J68" s="2" t="s">
        <v>242</v>
      </c>
      <c r="K68" s="2" t="s">
        <v>242</v>
      </c>
      <c r="L68" s="15"/>
      <c r="M68" s="15"/>
      <c r="N68" s="1"/>
      <c r="O68" s="1"/>
      <c r="P68" s="1"/>
      <c r="Q68" s="1"/>
      <c r="R68" s="1"/>
    </row>
    <row r="69" spans="1:23">
      <c r="A69" s="284"/>
      <c r="B69" s="8" t="s">
        <v>245</v>
      </c>
      <c r="C69" s="29" t="s">
        <v>246</v>
      </c>
      <c r="D69" s="35"/>
      <c r="F69" s="67" t="s">
        <v>238</v>
      </c>
      <c r="G69" s="67" t="s">
        <v>238</v>
      </c>
      <c r="H69" s="2" t="s">
        <v>239</v>
      </c>
      <c r="I69" s="2" t="s">
        <v>242</v>
      </c>
      <c r="J69" s="2" t="s">
        <v>242</v>
      </c>
      <c r="K69" s="2" t="s">
        <v>242</v>
      </c>
      <c r="L69" s="15"/>
      <c r="M69" s="15"/>
      <c r="N69" s="1"/>
      <c r="O69" s="1"/>
      <c r="P69" s="1"/>
      <c r="Q69" s="1"/>
      <c r="R69" s="1"/>
    </row>
    <row r="70" spans="1:23">
      <c r="A70" s="284"/>
      <c r="B70" s="8" t="s">
        <v>247</v>
      </c>
      <c r="C70" s="29" t="s">
        <v>248</v>
      </c>
      <c r="D70" s="35"/>
      <c r="F70" s="67" t="s">
        <v>238</v>
      </c>
      <c r="G70" s="67" t="s">
        <v>238</v>
      </c>
      <c r="H70" s="2" t="s">
        <v>242</v>
      </c>
      <c r="I70" s="2" t="s">
        <v>239</v>
      </c>
      <c r="J70" s="2" t="s">
        <v>242</v>
      </c>
      <c r="K70" s="2" t="s">
        <v>242</v>
      </c>
      <c r="L70" s="15"/>
      <c r="M70" s="15"/>
      <c r="N70" s="1"/>
      <c r="O70" s="1"/>
      <c r="P70" s="1"/>
      <c r="Q70" s="1"/>
      <c r="R70" s="1"/>
    </row>
    <row r="71" spans="1:23">
      <c r="A71" s="284"/>
      <c r="B71" s="8" t="s">
        <v>249</v>
      </c>
      <c r="C71" s="29" t="s">
        <v>250</v>
      </c>
      <c r="D71" s="35"/>
      <c r="F71" s="67" t="s">
        <v>238</v>
      </c>
      <c r="G71" s="67" t="s">
        <v>238</v>
      </c>
      <c r="H71" s="2" t="s">
        <v>242</v>
      </c>
      <c r="I71" s="2" t="s">
        <v>242</v>
      </c>
      <c r="J71" s="2" t="s">
        <v>239</v>
      </c>
      <c r="K71" s="2" t="s">
        <v>242</v>
      </c>
      <c r="L71" s="15"/>
      <c r="M71" s="15"/>
      <c r="N71" s="1"/>
      <c r="O71" s="1"/>
      <c r="P71" s="1"/>
      <c r="Q71" s="1"/>
      <c r="R71" s="1"/>
    </row>
    <row r="72" spans="1:23">
      <c r="A72" s="284" t="s">
        <v>251</v>
      </c>
      <c r="B72" s="8" t="s">
        <v>252</v>
      </c>
      <c r="C72" s="29" t="s">
        <v>253</v>
      </c>
      <c r="D72" s="35"/>
      <c r="F72" s="2" t="s">
        <v>153</v>
      </c>
      <c r="G72" s="2"/>
      <c r="H72" s="2" t="s">
        <v>242</v>
      </c>
      <c r="I72" s="2" t="s">
        <v>242</v>
      </c>
      <c r="J72" s="2" t="s">
        <v>242</v>
      </c>
      <c r="K72" s="2" t="s">
        <v>242</v>
      </c>
      <c r="L72" s="15"/>
      <c r="M72" s="15"/>
      <c r="N72" s="1"/>
      <c r="O72" s="1"/>
      <c r="P72" s="1"/>
      <c r="Q72" s="1"/>
      <c r="R72" s="1"/>
      <c r="S72" s="3"/>
      <c r="T72" s="3"/>
      <c r="U72" s="3"/>
      <c r="V72" s="3"/>
      <c r="W72" s="3"/>
    </row>
    <row r="73" spans="1:23">
      <c r="A73" s="284"/>
      <c r="B73" s="8" t="s">
        <v>254</v>
      </c>
      <c r="C73" s="29" t="s">
        <v>255</v>
      </c>
      <c r="D73" s="35"/>
      <c r="F73" s="2" t="s">
        <v>153</v>
      </c>
      <c r="G73" s="2"/>
      <c r="H73" s="2"/>
      <c r="I73" s="2"/>
      <c r="J73" s="2"/>
      <c r="K73" s="2" t="s">
        <v>242</v>
      </c>
      <c r="L73" s="15"/>
      <c r="M73" s="15"/>
      <c r="N73" s="1"/>
      <c r="O73" s="1"/>
      <c r="P73" s="1"/>
      <c r="Q73" s="1"/>
      <c r="R73" s="1"/>
      <c r="S73" s="3"/>
      <c r="T73" s="3"/>
      <c r="U73" s="3"/>
      <c r="V73" s="3"/>
      <c r="W73" s="3"/>
    </row>
    <row r="74" spans="1:23">
      <c r="A74" s="284"/>
      <c r="B74" s="8" t="s">
        <v>256</v>
      </c>
      <c r="C74" s="29" t="s">
        <v>257</v>
      </c>
      <c r="D74" s="35"/>
      <c r="F74" s="2" t="s">
        <v>153</v>
      </c>
      <c r="G74" s="2"/>
      <c r="H74" s="2" t="s">
        <v>242</v>
      </c>
      <c r="I74" s="2" t="s">
        <v>242</v>
      </c>
      <c r="J74" s="2"/>
      <c r="K74" s="2"/>
      <c r="L74" s="15"/>
      <c r="M74" s="15"/>
      <c r="N74" s="1"/>
      <c r="O74" s="1"/>
      <c r="P74" s="1"/>
      <c r="Q74" s="1"/>
      <c r="R74" s="1"/>
      <c r="S74" s="3"/>
      <c r="T74" s="3"/>
      <c r="U74" s="3"/>
      <c r="V74" s="3"/>
      <c r="W74" s="3"/>
    </row>
    <row r="75" spans="1:23">
      <c r="A75" s="284"/>
      <c r="B75" s="8" t="s">
        <v>258</v>
      </c>
      <c r="C75" s="29" t="s">
        <v>259</v>
      </c>
      <c r="D75" s="35"/>
      <c r="F75" s="2" t="s">
        <v>153</v>
      </c>
      <c r="G75" s="2"/>
      <c r="H75" s="2" t="s">
        <v>242</v>
      </c>
      <c r="I75" s="2"/>
      <c r="J75" s="2"/>
      <c r="K75" s="2"/>
      <c r="L75" s="15"/>
      <c r="M75" s="15"/>
      <c r="N75" s="1"/>
      <c r="O75" s="1"/>
      <c r="P75" s="1"/>
      <c r="Q75" s="1"/>
      <c r="R75" s="1"/>
      <c r="S75" s="3"/>
      <c r="T75" s="3"/>
      <c r="U75" s="3"/>
      <c r="V75" s="3"/>
      <c r="W75" s="3"/>
    </row>
    <row r="76" spans="1:23">
      <c r="A76" s="284"/>
      <c r="B76" s="8" t="s">
        <v>260</v>
      </c>
      <c r="C76" s="29" t="s">
        <v>261</v>
      </c>
      <c r="D76" s="35"/>
      <c r="F76" s="2" t="s">
        <v>153</v>
      </c>
      <c r="G76" s="2"/>
      <c r="H76" s="2"/>
      <c r="I76" s="2" t="s">
        <v>242</v>
      </c>
      <c r="J76" s="2"/>
      <c r="K76" s="2"/>
      <c r="L76" s="15"/>
      <c r="M76" s="15"/>
      <c r="N76" s="1"/>
      <c r="O76" s="1"/>
      <c r="P76" s="1"/>
      <c r="Q76" s="1"/>
      <c r="R76" s="1"/>
      <c r="S76" s="3"/>
      <c r="T76" s="3"/>
      <c r="U76" s="3"/>
      <c r="V76" s="3"/>
      <c r="W76" s="3"/>
    </row>
    <row r="77" spans="1:23">
      <c r="A77" s="284"/>
      <c r="B77" s="8" t="s">
        <v>262</v>
      </c>
      <c r="C77" s="29" t="s">
        <v>263</v>
      </c>
      <c r="D77" s="35"/>
      <c r="F77" s="2" t="s">
        <v>153</v>
      </c>
      <c r="G77" s="2"/>
      <c r="H77" s="2"/>
      <c r="I77" s="2"/>
      <c r="J77" s="2" t="s">
        <v>242</v>
      </c>
      <c r="K77" s="2"/>
      <c r="L77" s="15"/>
      <c r="M77" s="15"/>
      <c r="N77" s="1"/>
      <c r="O77" s="1"/>
      <c r="P77" s="1"/>
      <c r="Q77" s="1"/>
      <c r="R77" s="1"/>
      <c r="S77" s="3"/>
      <c r="T77" s="3"/>
      <c r="U77" s="3"/>
      <c r="V77" s="3"/>
      <c r="W77" s="3"/>
    </row>
    <row r="78" spans="1:23">
      <c r="A78" s="284"/>
      <c r="B78" s="8" t="s">
        <v>264</v>
      </c>
      <c r="C78" s="29" t="s">
        <v>265</v>
      </c>
      <c r="D78" s="35"/>
      <c r="F78" s="2"/>
      <c r="G78" s="2"/>
      <c r="H78" s="2"/>
      <c r="I78" s="2"/>
      <c r="J78" s="2" t="s">
        <v>153</v>
      </c>
      <c r="K78" s="2" t="s">
        <v>242</v>
      </c>
      <c r="L78" s="15"/>
      <c r="M78" s="15"/>
      <c r="N78" s="1"/>
      <c r="O78" s="1"/>
      <c r="P78" s="1"/>
      <c r="Q78" s="1"/>
      <c r="R78" s="1"/>
      <c r="S78" s="3"/>
      <c r="T78" s="3"/>
      <c r="U78" s="3"/>
      <c r="V78" s="3"/>
      <c r="W78" s="3"/>
    </row>
    <row r="80" spans="1:23">
      <c r="F80" s="30" t="s">
        <v>10</v>
      </c>
      <c r="G80" s="30" t="s">
        <v>9</v>
      </c>
      <c r="H80" s="30" t="s">
        <v>233</v>
      </c>
      <c r="I80" s="30" t="s">
        <v>234</v>
      </c>
      <c r="J80" s="23" t="s">
        <v>17</v>
      </c>
      <c r="L80" s="15"/>
      <c r="M80" s="15"/>
      <c r="N80" s="1"/>
      <c r="O80" s="1"/>
      <c r="P80" s="1"/>
      <c r="Q80" s="1"/>
      <c r="R80" s="1"/>
    </row>
    <row r="81" spans="1:23" ht="15.75" customHeight="1">
      <c r="A81" s="284" t="s">
        <v>266</v>
      </c>
      <c r="B81" s="65" t="s">
        <v>267</v>
      </c>
      <c r="C81" s="29" t="s">
        <v>237</v>
      </c>
      <c r="D81" s="35"/>
      <c r="F81" s="67" t="s">
        <v>238</v>
      </c>
      <c r="G81" s="67" t="s">
        <v>238</v>
      </c>
      <c r="H81" s="2" t="s">
        <v>239</v>
      </c>
      <c r="I81" s="2" t="s">
        <v>239</v>
      </c>
      <c r="J81" s="2" t="s">
        <v>239</v>
      </c>
      <c r="L81" s="15"/>
      <c r="M81" s="15"/>
      <c r="N81" s="1"/>
      <c r="O81" s="1"/>
      <c r="P81" s="1"/>
      <c r="Q81" s="1"/>
      <c r="R81" s="1"/>
    </row>
    <row r="82" spans="1:23">
      <c r="A82" s="284"/>
      <c r="B82" s="8" t="s">
        <v>268</v>
      </c>
      <c r="C82" s="29" t="s">
        <v>241</v>
      </c>
      <c r="D82" s="35"/>
      <c r="F82" s="67" t="s">
        <v>238</v>
      </c>
      <c r="G82" s="67" t="s">
        <v>238</v>
      </c>
      <c r="H82" s="2" t="s">
        <v>242</v>
      </c>
      <c r="I82" s="2" t="s">
        <v>242</v>
      </c>
      <c r="J82" s="2" t="s">
        <v>239</v>
      </c>
      <c r="L82" s="15"/>
      <c r="M82" s="15"/>
      <c r="N82" s="1"/>
      <c r="O82" s="1"/>
      <c r="P82" s="1"/>
      <c r="Q82" s="1"/>
      <c r="R82" s="1"/>
    </row>
    <row r="83" spans="1:23">
      <c r="A83" s="284"/>
      <c r="B83" s="8" t="s">
        <v>269</v>
      </c>
      <c r="C83" s="29" t="s">
        <v>244</v>
      </c>
      <c r="D83" s="35"/>
      <c r="F83" s="67" t="s">
        <v>238</v>
      </c>
      <c r="G83" s="67" t="s">
        <v>238</v>
      </c>
      <c r="H83" s="2" t="s">
        <v>239</v>
      </c>
      <c r="I83" s="2" t="s">
        <v>239</v>
      </c>
      <c r="J83" s="2" t="s">
        <v>242</v>
      </c>
      <c r="L83" s="15"/>
      <c r="M83" s="15"/>
      <c r="N83" s="1"/>
      <c r="O83" s="1"/>
      <c r="P83" s="1"/>
      <c r="Q83" s="1"/>
      <c r="R83" s="1"/>
    </row>
    <row r="84" spans="1:23">
      <c r="A84" s="284"/>
      <c r="B84" s="8" t="s">
        <v>270</v>
      </c>
      <c r="C84" s="29" t="s">
        <v>246</v>
      </c>
      <c r="D84" s="35"/>
      <c r="F84" s="67" t="s">
        <v>238</v>
      </c>
      <c r="G84" s="67" t="s">
        <v>238</v>
      </c>
      <c r="H84" s="2" t="s">
        <v>239</v>
      </c>
      <c r="I84" s="2" t="s">
        <v>242</v>
      </c>
      <c r="J84" s="2" t="s">
        <v>242</v>
      </c>
      <c r="L84" s="15"/>
      <c r="M84" s="15"/>
      <c r="N84" s="1"/>
      <c r="O84" s="1"/>
      <c r="P84" s="1"/>
      <c r="Q84" s="1"/>
      <c r="R84" s="1"/>
    </row>
    <row r="85" spans="1:23">
      <c r="A85" s="284"/>
      <c r="B85" s="8" t="s">
        <v>271</v>
      </c>
      <c r="C85" s="29" t="s">
        <v>248</v>
      </c>
      <c r="D85" s="35"/>
      <c r="F85" s="67" t="s">
        <v>238</v>
      </c>
      <c r="G85" s="67" t="s">
        <v>238</v>
      </c>
      <c r="H85" s="2" t="s">
        <v>242</v>
      </c>
      <c r="I85" s="2" t="s">
        <v>239</v>
      </c>
      <c r="J85" s="2" t="s">
        <v>242</v>
      </c>
      <c r="L85" s="15"/>
      <c r="M85" s="15"/>
      <c r="N85" s="1"/>
      <c r="O85" s="1"/>
      <c r="P85" s="1"/>
      <c r="Q85" s="1"/>
      <c r="R85" s="1"/>
    </row>
    <row r="86" spans="1:23">
      <c r="A86" s="284" t="s">
        <v>272</v>
      </c>
      <c r="B86" s="8" t="s">
        <v>273</v>
      </c>
      <c r="C86" s="29" t="s">
        <v>253</v>
      </c>
      <c r="D86" s="35"/>
      <c r="F86" s="2" t="s">
        <v>153</v>
      </c>
      <c r="G86" s="2"/>
      <c r="H86" s="2" t="s">
        <v>242</v>
      </c>
      <c r="I86" s="2" t="s">
        <v>242</v>
      </c>
      <c r="J86" s="2" t="s">
        <v>242</v>
      </c>
      <c r="L86" s="15"/>
      <c r="M86" s="15"/>
      <c r="N86" s="1"/>
      <c r="O86" s="1"/>
      <c r="P86" s="1"/>
      <c r="Q86" s="1"/>
      <c r="R86" s="1"/>
      <c r="S86" s="3"/>
      <c r="T86" s="3"/>
      <c r="U86" s="3"/>
      <c r="V86" s="3"/>
      <c r="W86" s="3"/>
    </row>
    <row r="87" spans="1:23">
      <c r="A87" s="284"/>
      <c r="B87" s="8" t="s">
        <v>254</v>
      </c>
      <c r="C87" s="29" t="s">
        <v>255</v>
      </c>
      <c r="D87" s="35"/>
      <c r="F87" s="2" t="s">
        <v>153</v>
      </c>
      <c r="G87" s="2"/>
      <c r="H87" s="2"/>
      <c r="I87" s="2"/>
      <c r="J87" s="2" t="s">
        <v>242</v>
      </c>
      <c r="L87" s="15"/>
      <c r="M87" s="15"/>
      <c r="N87" s="1"/>
      <c r="O87" s="1"/>
      <c r="P87" s="1"/>
      <c r="Q87" s="1"/>
      <c r="R87" s="1"/>
      <c r="S87" s="3"/>
      <c r="T87" s="3"/>
      <c r="U87" s="3"/>
      <c r="V87" s="3"/>
      <c r="W87" s="3"/>
    </row>
    <row r="88" spans="1:23">
      <c r="A88" s="284"/>
      <c r="B88" s="8" t="s">
        <v>256</v>
      </c>
      <c r="C88" s="29" t="s">
        <v>257</v>
      </c>
      <c r="D88" s="35"/>
      <c r="F88" s="2" t="s">
        <v>153</v>
      </c>
      <c r="G88" s="2"/>
      <c r="H88" s="2" t="s">
        <v>242</v>
      </c>
      <c r="I88" s="2" t="s">
        <v>242</v>
      </c>
      <c r="J88" s="2"/>
      <c r="L88" s="15"/>
      <c r="M88" s="15"/>
      <c r="N88" s="1"/>
      <c r="O88" s="1"/>
      <c r="P88" s="1"/>
      <c r="Q88" s="1"/>
      <c r="R88" s="1"/>
      <c r="S88" s="3"/>
      <c r="T88" s="3"/>
      <c r="U88" s="3"/>
      <c r="V88" s="3"/>
      <c r="W88" s="3"/>
    </row>
    <row r="89" spans="1:23">
      <c r="A89" s="284"/>
      <c r="B89" s="8" t="s">
        <v>258</v>
      </c>
      <c r="C89" s="29" t="s">
        <v>259</v>
      </c>
      <c r="D89" s="35"/>
      <c r="F89" s="2" t="s">
        <v>153</v>
      </c>
      <c r="G89" s="2"/>
      <c r="H89" s="2" t="s">
        <v>242</v>
      </c>
      <c r="I89" s="2"/>
      <c r="J89" s="2"/>
      <c r="L89" s="15"/>
      <c r="M89" s="15"/>
      <c r="N89" s="1"/>
      <c r="O89" s="1"/>
      <c r="P89" s="1"/>
      <c r="Q89" s="1"/>
      <c r="R89" s="1"/>
      <c r="S89" s="3"/>
      <c r="T89" s="3"/>
      <c r="U89" s="3"/>
      <c r="V89" s="3"/>
      <c r="W89" s="3"/>
    </row>
    <row r="90" spans="1:23">
      <c r="A90" s="284"/>
      <c r="B90" s="8" t="s">
        <v>260</v>
      </c>
      <c r="C90" s="29" t="s">
        <v>261</v>
      </c>
      <c r="D90" s="35"/>
      <c r="F90" s="2" t="s">
        <v>153</v>
      </c>
      <c r="G90" s="2"/>
      <c r="H90" s="2"/>
      <c r="I90" s="2" t="s">
        <v>242</v>
      </c>
      <c r="J90" s="2"/>
      <c r="L90" s="15"/>
      <c r="M90" s="15"/>
      <c r="N90" s="1"/>
      <c r="O90" s="1"/>
      <c r="P90" s="1"/>
      <c r="Q90" s="1"/>
      <c r="R90" s="1"/>
      <c r="S90" s="3"/>
      <c r="T90" s="3"/>
      <c r="U90" s="3"/>
      <c r="V90" s="3"/>
      <c r="W90" s="3"/>
    </row>
    <row r="92" spans="1:23">
      <c r="F92" s="30" t="s">
        <v>10</v>
      </c>
      <c r="G92" s="30" t="s">
        <v>9</v>
      </c>
      <c r="H92" s="30" t="s">
        <v>233</v>
      </c>
      <c r="I92" s="30" t="s">
        <v>234</v>
      </c>
      <c r="J92" s="23" t="s">
        <v>16</v>
      </c>
      <c r="K92" s="15"/>
      <c r="L92" s="15"/>
      <c r="M92" s="15"/>
      <c r="N92" s="1"/>
      <c r="O92" s="1"/>
      <c r="P92" s="1"/>
      <c r="Q92" s="1"/>
      <c r="R92" s="1"/>
    </row>
    <row r="93" spans="1:23">
      <c r="A93" s="285" t="s">
        <v>274</v>
      </c>
      <c r="B93" s="65" t="s">
        <v>275</v>
      </c>
      <c r="C93" s="29" t="s">
        <v>237</v>
      </c>
      <c r="D93" s="35"/>
      <c r="F93" s="67" t="s">
        <v>238</v>
      </c>
      <c r="G93" s="67" t="s">
        <v>238</v>
      </c>
      <c r="H93" s="2" t="s">
        <v>239</v>
      </c>
      <c r="I93" s="2" t="s">
        <v>239</v>
      </c>
      <c r="J93" s="2" t="s">
        <v>239</v>
      </c>
      <c r="K93" s="15"/>
      <c r="L93" s="15"/>
      <c r="M93" s="15"/>
      <c r="N93" s="1"/>
      <c r="O93" s="1"/>
      <c r="P93" s="1"/>
      <c r="Q93" s="1"/>
      <c r="R93" s="1"/>
    </row>
    <row r="94" spans="1:23">
      <c r="A94" s="286"/>
      <c r="B94" s="8" t="s">
        <v>276</v>
      </c>
      <c r="C94" s="29" t="s">
        <v>244</v>
      </c>
      <c r="D94" s="35"/>
      <c r="F94" s="67" t="s">
        <v>238</v>
      </c>
      <c r="G94" s="67" t="s">
        <v>238</v>
      </c>
      <c r="H94" s="2" t="s">
        <v>239</v>
      </c>
      <c r="I94" s="2" t="s">
        <v>239</v>
      </c>
      <c r="J94" s="2" t="s">
        <v>242</v>
      </c>
      <c r="K94" s="15"/>
      <c r="L94" s="15"/>
      <c r="M94" s="15"/>
      <c r="N94" s="1"/>
      <c r="O94" s="1"/>
      <c r="P94" s="1"/>
      <c r="Q94" s="1"/>
      <c r="R94" s="1"/>
    </row>
    <row r="95" spans="1:23">
      <c r="A95" s="286"/>
      <c r="B95" s="8" t="s">
        <v>277</v>
      </c>
      <c r="C95" s="29" t="s">
        <v>246</v>
      </c>
      <c r="D95" s="35"/>
      <c r="F95" s="67" t="s">
        <v>238</v>
      </c>
      <c r="G95" s="67" t="s">
        <v>238</v>
      </c>
      <c r="H95" s="2" t="s">
        <v>239</v>
      </c>
      <c r="I95" s="2" t="s">
        <v>242</v>
      </c>
      <c r="J95" s="2" t="s">
        <v>242</v>
      </c>
      <c r="K95" s="15"/>
      <c r="L95" s="15"/>
      <c r="M95" s="15"/>
      <c r="N95" s="1"/>
      <c r="O95" s="1"/>
      <c r="P95" s="1"/>
      <c r="Q95" s="1"/>
      <c r="R95" s="1"/>
    </row>
    <row r="96" spans="1:23">
      <c r="A96" s="286"/>
      <c r="B96" s="8" t="s">
        <v>278</v>
      </c>
      <c r="C96" s="29" t="s">
        <v>248</v>
      </c>
      <c r="D96" s="35"/>
      <c r="F96" s="67" t="s">
        <v>238</v>
      </c>
      <c r="G96" s="67" t="s">
        <v>238</v>
      </c>
      <c r="H96" s="2" t="s">
        <v>242</v>
      </c>
      <c r="I96" s="2" t="s">
        <v>239</v>
      </c>
      <c r="J96" s="2" t="s">
        <v>242</v>
      </c>
      <c r="K96" s="15"/>
      <c r="L96" s="15"/>
      <c r="M96" s="15"/>
      <c r="N96" s="1"/>
      <c r="O96" s="1"/>
      <c r="P96" s="1"/>
      <c r="Q96" s="1"/>
      <c r="R96" s="1"/>
    </row>
    <row r="97" spans="1:23">
      <c r="A97" s="287"/>
      <c r="B97" s="8" t="s">
        <v>279</v>
      </c>
      <c r="C97" s="29" t="s">
        <v>250</v>
      </c>
      <c r="D97" s="35"/>
      <c r="F97" s="67" t="s">
        <v>238</v>
      </c>
      <c r="G97" s="67" t="s">
        <v>238</v>
      </c>
      <c r="H97" s="2" t="s">
        <v>242</v>
      </c>
      <c r="I97" s="2" t="s">
        <v>242</v>
      </c>
      <c r="J97" s="2" t="s">
        <v>239</v>
      </c>
      <c r="K97" s="15"/>
      <c r="L97" s="15"/>
      <c r="M97" s="15"/>
      <c r="N97" s="1"/>
      <c r="O97" s="1"/>
      <c r="P97" s="1"/>
      <c r="Q97" s="1"/>
      <c r="R97" s="1"/>
    </row>
    <row r="98" spans="1:23">
      <c r="A98" s="285" t="s">
        <v>280</v>
      </c>
      <c r="B98" s="8" t="s">
        <v>281</v>
      </c>
      <c r="C98" s="29" t="s">
        <v>253</v>
      </c>
      <c r="D98" s="35"/>
      <c r="F98" s="2" t="s">
        <v>153</v>
      </c>
      <c r="G98" s="2"/>
      <c r="H98" s="2" t="s">
        <v>242</v>
      </c>
      <c r="I98" s="2" t="s">
        <v>242</v>
      </c>
      <c r="J98" s="2" t="s">
        <v>242</v>
      </c>
      <c r="K98" s="15"/>
      <c r="L98" s="15"/>
      <c r="M98" s="15"/>
      <c r="N98" s="1"/>
      <c r="O98" s="1"/>
      <c r="P98" s="1"/>
      <c r="Q98" s="1"/>
      <c r="R98" s="1"/>
      <c r="S98" s="3"/>
      <c r="T98" s="3"/>
      <c r="U98" s="3"/>
      <c r="V98" s="3"/>
      <c r="W98" s="3"/>
    </row>
    <row r="99" spans="1:23">
      <c r="A99" s="286"/>
      <c r="B99" s="8" t="s">
        <v>256</v>
      </c>
      <c r="C99" s="29" t="s">
        <v>257</v>
      </c>
      <c r="D99" s="35"/>
      <c r="F99" s="2" t="s">
        <v>153</v>
      </c>
      <c r="G99" s="2"/>
      <c r="H99" s="2" t="s">
        <v>242</v>
      </c>
      <c r="I99" s="2" t="s">
        <v>242</v>
      </c>
      <c r="J99" s="2"/>
      <c r="K99" s="15"/>
      <c r="L99" s="15"/>
      <c r="M99" s="15"/>
      <c r="N99" s="1"/>
      <c r="O99" s="1"/>
      <c r="P99" s="1"/>
      <c r="Q99" s="1"/>
      <c r="R99" s="1"/>
      <c r="S99" s="3"/>
      <c r="T99" s="3"/>
      <c r="U99" s="3"/>
      <c r="V99" s="3"/>
      <c r="W99" s="3"/>
    </row>
    <row r="100" spans="1:23">
      <c r="A100" s="286"/>
      <c r="B100" s="8" t="s">
        <v>258</v>
      </c>
      <c r="C100" s="29" t="s">
        <v>259</v>
      </c>
      <c r="D100" s="35"/>
      <c r="F100" s="2" t="s">
        <v>153</v>
      </c>
      <c r="G100" s="2"/>
      <c r="H100" s="2" t="s">
        <v>242</v>
      </c>
      <c r="I100" s="2"/>
      <c r="J100" s="2"/>
      <c r="K100" s="15"/>
      <c r="L100" s="15"/>
      <c r="M100" s="15"/>
      <c r="N100" s="1"/>
      <c r="O100" s="1"/>
      <c r="P100" s="1"/>
      <c r="Q100" s="1"/>
      <c r="R100" s="1"/>
      <c r="S100" s="3"/>
      <c r="T100" s="3"/>
      <c r="U100" s="3"/>
      <c r="V100" s="3"/>
      <c r="W100" s="3"/>
    </row>
    <row r="101" spans="1:23">
      <c r="A101" s="286"/>
      <c r="B101" s="8" t="s">
        <v>260</v>
      </c>
      <c r="C101" s="29" t="s">
        <v>261</v>
      </c>
      <c r="D101" s="35"/>
      <c r="F101" s="2" t="s">
        <v>153</v>
      </c>
      <c r="G101" s="2"/>
      <c r="H101" s="2"/>
      <c r="I101" s="2" t="s">
        <v>242</v>
      </c>
      <c r="J101" s="2"/>
      <c r="K101" s="15"/>
      <c r="L101" s="15"/>
      <c r="M101" s="15"/>
      <c r="N101" s="1"/>
      <c r="O101" s="1"/>
      <c r="P101" s="1"/>
      <c r="Q101" s="1"/>
      <c r="R101" s="1"/>
      <c r="S101" s="3"/>
      <c r="T101" s="3"/>
      <c r="U101" s="3"/>
      <c r="V101" s="3"/>
      <c r="W101" s="3"/>
    </row>
    <row r="102" spans="1:23">
      <c r="A102" s="287"/>
      <c r="B102" s="8" t="s">
        <v>262</v>
      </c>
      <c r="C102" s="29" t="s">
        <v>263</v>
      </c>
      <c r="D102" s="35"/>
      <c r="F102" s="2" t="s">
        <v>153</v>
      </c>
      <c r="G102" s="2"/>
      <c r="H102" s="2"/>
      <c r="I102" s="2"/>
      <c r="J102" s="2" t="s">
        <v>242</v>
      </c>
      <c r="K102" s="15"/>
      <c r="L102" s="15"/>
      <c r="M102" s="15"/>
      <c r="N102" s="1"/>
      <c r="O102" s="1"/>
      <c r="P102" s="1"/>
      <c r="Q102" s="1"/>
      <c r="R102" s="1"/>
      <c r="S102" s="3"/>
      <c r="T102" s="3"/>
      <c r="U102" s="3"/>
      <c r="V102" s="3"/>
      <c r="W102" s="3"/>
    </row>
    <row r="104" spans="1:23">
      <c r="E104" s="4"/>
      <c r="F104" s="23" t="s">
        <v>101</v>
      </c>
      <c r="G104" s="23" t="s">
        <v>102</v>
      </c>
      <c r="H104" s="23" t="s">
        <v>100</v>
      </c>
    </row>
    <row r="105" spans="1:23">
      <c r="A105" s="7" t="s">
        <v>282</v>
      </c>
      <c r="B105" s="7" t="s">
        <v>282</v>
      </c>
      <c r="C105" s="25" t="s">
        <v>283</v>
      </c>
      <c r="D105" s="1"/>
      <c r="E105" s="6"/>
      <c r="F105" s="67" t="s">
        <v>153</v>
      </c>
      <c r="G105" s="67" t="s">
        <v>154</v>
      </c>
      <c r="H105" s="67" t="s">
        <v>154</v>
      </c>
    </row>
    <row r="106" spans="1:23">
      <c r="A106" s="7" t="s">
        <v>284</v>
      </c>
      <c r="B106" s="7" t="s">
        <v>284</v>
      </c>
      <c r="C106" s="25" t="s">
        <v>285</v>
      </c>
      <c r="D106" s="1"/>
      <c r="E106" s="6"/>
      <c r="F106" s="67" t="s">
        <v>238</v>
      </c>
      <c r="G106" s="67" t="s">
        <v>239</v>
      </c>
      <c r="H106" s="67" t="s">
        <v>239</v>
      </c>
    </row>
    <row r="107" spans="1:23">
      <c r="A107" s="7" t="s">
        <v>286</v>
      </c>
      <c r="B107" s="7" t="s">
        <v>286</v>
      </c>
      <c r="C107" s="25" t="s">
        <v>287</v>
      </c>
      <c r="D107" s="1"/>
      <c r="E107" s="6"/>
      <c r="F107" s="67" t="s">
        <v>288</v>
      </c>
      <c r="G107" s="67" t="s">
        <v>242</v>
      </c>
      <c r="H107" s="67" t="s">
        <v>242</v>
      </c>
    </row>
    <row r="109" spans="1:23">
      <c r="F109" s="30" t="s">
        <v>10</v>
      </c>
      <c r="G109" s="30" t="s">
        <v>9</v>
      </c>
      <c r="H109" s="30" t="s">
        <v>233</v>
      </c>
      <c r="I109" s="30" t="s">
        <v>234</v>
      </c>
      <c r="L109" s="15"/>
      <c r="M109" s="15"/>
      <c r="N109" s="1"/>
      <c r="O109" s="1"/>
      <c r="P109" s="1"/>
      <c r="Q109" s="1"/>
      <c r="R109" s="1"/>
    </row>
    <row r="110" spans="1:23">
      <c r="A110" s="296" t="s">
        <v>289</v>
      </c>
      <c r="B110" s="8" t="s">
        <v>258</v>
      </c>
      <c r="C110" s="29" t="s">
        <v>259</v>
      </c>
      <c r="D110" s="35"/>
      <c r="F110" s="2" t="s">
        <v>153</v>
      </c>
      <c r="G110" s="2"/>
      <c r="H110" s="2" t="s">
        <v>242</v>
      </c>
      <c r="I110" s="2"/>
    </row>
    <row r="111" spans="1:23">
      <c r="A111" s="297"/>
      <c r="B111" s="8" t="s">
        <v>260</v>
      </c>
      <c r="C111" s="29" t="s">
        <v>261</v>
      </c>
      <c r="D111" s="35"/>
      <c r="F111" s="2" t="s">
        <v>153</v>
      </c>
      <c r="G111" s="2"/>
      <c r="H111" s="2"/>
      <c r="I111" s="2" t="s">
        <v>242</v>
      </c>
    </row>
    <row r="113" spans="1:17">
      <c r="F113" s="44" t="s">
        <v>32</v>
      </c>
      <c r="G113" s="44" t="s">
        <v>33</v>
      </c>
      <c r="H113" s="44" t="s">
        <v>34</v>
      </c>
      <c r="I113" s="44" t="s">
        <v>35</v>
      </c>
      <c r="J113" s="44" t="s">
        <v>36</v>
      </c>
      <c r="K113" s="44" t="s">
        <v>37</v>
      </c>
    </row>
    <row r="114" spans="1:17">
      <c r="A114" s="33" t="s">
        <v>290</v>
      </c>
      <c r="B114" s="33" t="s">
        <v>290</v>
      </c>
      <c r="C114" s="25" t="s">
        <v>158</v>
      </c>
      <c r="D114" s="1"/>
      <c r="F114" s="2"/>
      <c r="G114" s="2" t="s">
        <v>153</v>
      </c>
      <c r="H114" s="2" t="s">
        <v>162</v>
      </c>
      <c r="I114" s="2"/>
      <c r="J114" s="2"/>
      <c r="K114" s="2"/>
    </row>
    <row r="116" spans="1:17">
      <c r="D116" s="4"/>
      <c r="F116" s="44" t="s">
        <v>33</v>
      </c>
      <c r="G116" s="44" t="s">
        <v>39</v>
      </c>
      <c r="H116" s="44" t="s">
        <v>40</v>
      </c>
      <c r="I116" s="44" t="s">
        <v>41</v>
      </c>
      <c r="J116" s="44" t="s">
        <v>38</v>
      </c>
      <c r="K116" s="44" t="s">
        <v>42</v>
      </c>
      <c r="L116" s="44" t="s">
        <v>45</v>
      </c>
      <c r="M116" s="44" t="s">
        <v>44</v>
      </c>
      <c r="N116" s="44" t="s">
        <v>43</v>
      </c>
      <c r="O116" s="44" t="s">
        <v>32</v>
      </c>
      <c r="P116" s="44" t="s">
        <v>34</v>
      </c>
      <c r="Q116" s="44" t="s">
        <v>35</v>
      </c>
    </row>
    <row r="117" spans="1:17">
      <c r="A117" s="7" t="s">
        <v>291</v>
      </c>
      <c r="B117" s="7" t="s">
        <v>291</v>
      </c>
      <c r="C117" s="17" t="s">
        <v>292</v>
      </c>
      <c r="F117" s="2"/>
      <c r="G117" s="2" t="s">
        <v>153</v>
      </c>
      <c r="H117" s="2"/>
      <c r="I117" s="2"/>
      <c r="J117" s="2" t="s">
        <v>154</v>
      </c>
      <c r="K117" s="2"/>
      <c r="L117" s="2"/>
      <c r="M117" s="2"/>
      <c r="N117" s="17"/>
      <c r="O117" s="17"/>
      <c r="P117" s="17"/>
      <c r="Q117" s="17"/>
    </row>
    <row r="119" spans="1:17">
      <c r="F119" s="44" t="s">
        <v>33</v>
      </c>
      <c r="G119" s="44" t="s">
        <v>39</v>
      </c>
      <c r="H119" s="44" t="s">
        <v>40</v>
      </c>
      <c r="I119" s="44" t="s">
        <v>41</v>
      </c>
      <c r="J119" s="44" t="s">
        <v>38</v>
      </c>
      <c r="K119" s="44" t="s">
        <v>42</v>
      </c>
      <c r="L119" s="44" t="s">
        <v>45</v>
      </c>
      <c r="M119" s="44" t="s">
        <v>44</v>
      </c>
      <c r="N119" s="44" t="s">
        <v>43</v>
      </c>
      <c r="O119" s="44" t="s">
        <v>32</v>
      </c>
      <c r="P119" s="44" t="s">
        <v>34</v>
      </c>
      <c r="Q119" s="44" t="s">
        <v>35</v>
      </c>
    </row>
    <row r="120" spans="1:17">
      <c r="A120" s="37" t="s">
        <v>293</v>
      </c>
      <c r="B120" s="37" t="s">
        <v>293</v>
      </c>
      <c r="C120" s="17" t="s">
        <v>294</v>
      </c>
      <c r="D120" s="36" t="s">
        <v>295</v>
      </c>
      <c r="F120" s="2" t="s">
        <v>206</v>
      </c>
      <c r="G120" s="2" t="s">
        <v>193</v>
      </c>
      <c r="H120" s="2"/>
      <c r="I120" s="2"/>
      <c r="J120" s="39" t="s">
        <v>162</v>
      </c>
      <c r="K120" s="2"/>
      <c r="L120" s="2"/>
      <c r="M120" s="2"/>
      <c r="N120" s="2" t="s">
        <v>191</v>
      </c>
      <c r="O120" s="2"/>
      <c r="P120" s="17"/>
      <c r="Q120" s="17"/>
    </row>
    <row r="122" spans="1:17">
      <c r="D122" s="14"/>
      <c r="E122" s="4"/>
      <c r="F122" s="23" t="s">
        <v>10</v>
      </c>
      <c r="G122" s="23" t="s">
        <v>9</v>
      </c>
    </row>
    <row r="123" spans="1:17">
      <c r="A123" s="7" t="s">
        <v>297</v>
      </c>
      <c r="B123" s="7" t="s">
        <v>297</v>
      </c>
      <c r="C123" s="17" t="s">
        <v>287</v>
      </c>
      <c r="F123" s="2" t="s">
        <v>298</v>
      </c>
      <c r="G123" s="2" t="s">
        <v>154</v>
      </c>
    </row>
    <row r="125" spans="1:17">
      <c r="D125" s="4"/>
      <c r="F125" s="44" t="s">
        <v>33</v>
      </c>
      <c r="G125" s="44" t="s">
        <v>39</v>
      </c>
      <c r="H125" s="44" t="s">
        <v>40</v>
      </c>
      <c r="I125" s="44" t="s">
        <v>41</v>
      </c>
      <c r="J125" s="44" t="s">
        <v>38</v>
      </c>
      <c r="K125" s="44" t="s">
        <v>42</v>
      </c>
      <c r="L125" s="44" t="s">
        <v>45</v>
      </c>
      <c r="M125" s="44" t="s">
        <v>44</v>
      </c>
      <c r="N125" s="44" t="s">
        <v>43</v>
      </c>
      <c r="O125" s="44" t="s">
        <v>32</v>
      </c>
      <c r="P125" s="44" t="s">
        <v>34</v>
      </c>
      <c r="Q125" s="44" t="s">
        <v>35</v>
      </c>
    </row>
    <row r="126" spans="1:17">
      <c r="A126" s="296" t="s">
        <v>299</v>
      </c>
      <c r="B126" s="33" t="s">
        <v>300</v>
      </c>
      <c r="C126" s="25" t="s">
        <v>301</v>
      </c>
      <c r="D126" s="1"/>
      <c r="F126" s="2" t="s">
        <v>302</v>
      </c>
      <c r="G126" s="2"/>
      <c r="H126" s="2"/>
      <c r="I126" s="2"/>
      <c r="J126" s="2"/>
      <c r="K126" s="2"/>
      <c r="L126" s="2"/>
      <c r="M126" s="2"/>
      <c r="N126" s="2"/>
      <c r="O126" s="2"/>
      <c r="P126" s="2" t="s">
        <v>162</v>
      </c>
      <c r="Q126" s="2"/>
    </row>
    <row r="127" spans="1:17">
      <c r="A127" s="298"/>
      <c r="B127" s="33" t="s">
        <v>303</v>
      </c>
      <c r="C127" s="25" t="s">
        <v>304</v>
      </c>
      <c r="D127" s="1"/>
      <c r="F127" s="2"/>
      <c r="G127" s="2" t="s">
        <v>302</v>
      </c>
      <c r="H127" s="2"/>
      <c r="I127" s="2"/>
      <c r="J127" s="2"/>
      <c r="K127" s="2"/>
      <c r="L127" s="2"/>
      <c r="M127" s="2"/>
      <c r="N127" s="2"/>
      <c r="O127" s="2"/>
      <c r="P127" s="2" t="s">
        <v>162</v>
      </c>
      <c r="Q127" s="2"/>
    </row>
    <row r="128" spans="1:17">
      <c r="A128" s="298"/>
      <c r="B128" s="33" t="s">
        <v>305</v>
      </c>
      <c r="C128" s="25" t="s">
        <v>306</v>
      </c>
      <c r="D128" s="1"/>
      <c r="F128" s="2"/>
      <c r="G128" s="2"/>
      <c r="H128" s="2" t="s">
        <v>302</v>
      </c>
      <c r="I128" s="2"/>
      <c r="J128" s="2"/>
      <c r="K128" s="2"/>
      <c r="L128" s="2"/>
      <c r="M128" s="2"/>
      <c r="N128" s="2"/>
      <c r="O128" s="2"/>
      <c r="P128" s="2" t="s">
        <v>162</v>
      </c>
      <c r="Q128" s="2"/>
    </row>
    <row r="129" spans="1:17">
      <c r="A129" s="298"/>
      <c r="B129" s="33" t="s">
        <v>307</v>
      </c>
      <c r="C129" s="25" t="s">
        <v>308</v>
      </c>
      <c r="D129" s="1"/>
      <c r="F129" s="2"/>
      <c r="G129" s="2"/>
      <c r="H129" s="2"/>
      <c r="I129" s="2" t="s">
        <v>302</v>
      </c>
      <c r="J129" s="2"/>
      <c r="K129" s="2"/>
      <c r="L129" s="2"/>
      <c r="M129" s="2"/>
      <c r="N129" s="2"/>
      <c r="O129" s="2"/>
      <c r="P129" s="2" t="s">
        <v>162</v>
      </c>
      <c r="Q129" s="2"/>
    </row>
    <row r="130" spans="1:17">
      <c r="A130" s="297"/>
      <c r="B130" s="33" t="s">
        <v>309</v>
      </c>
      <c r="C130" s="25" t="s">
        <v>310</v>
      </c>
      <c r="D130" s="1"/>
      <c r="F130" s="2"/>
      <c r="G130" s="2"/>
      <c r="H130" s="2"/>
      <c r="I130" s="2"/>
      <c r="J130" s="2" t="s">
        <v>302</v>
      </c>
      <c r="K130" s="2"/>
      <c r="L130" s="2"/>
      <c r="M130" s="2"/>
      <c r="N130" s="2"/>
      <c r="O130" s="2"/>
      <c r="P130" s="2" t="s">
        <v>162</v>
      </c>
      <c r="Q130" s="2"/>
    </row>
    <row r="132" spans="1:17">
      <c r="F132" s="44" t="s">
        <v>32</v>
      </c>
      <c r="G132" s="44" t="s">
        <v>33</v>
      </c>
      <c r="H132" s="44" t="s">
        <v>34</v>
      </c>
      <c r="I132" s="44" t="s">
        <v>35</v>
      </c>
      <c r="J132" s="44" t="s">
        <v>36</v>
      </c>
      <c r="K132" s="44" t="s">
        <v>37</v>
      </c>
    </row>
    <row r="133" spans="1:17">
      <c r="A133" s="33" t="s">
        <v>311</v>
      </c>
      <c r="B133" s="33" t="s">
        <v>311</v>
      </c>
      <c r="C133" s="25" t="s">
        <v>312</v>
      </c>
      <c r="D133" s="1"/>
      <c r="F133" s="2" t="s">
        <v>191</v>
      </c>
      <c r="G133" s="2" t="s">
        <v>193</v>
      </c>
      <c r="H133" s="2" t="s">
        <v>162</v>
      </c>
      <c r="I133" s="2" t="s">
        <v>206</v>
      </c>
      <c r="J133" s="2"/>
      <c r="K133" s="2"/>
    </row>
    <row r="134" spans="1:17">
      <c r="A134" s="33" t="s">
        <v>313</v>
      </c>
      <c r="B134" s="33" t="s">
        <v>313</v>
      </c>
      <c r="C134" s="25" t="s">
        <v>314</v>
      </c>
      <c r="D134" s="1"/>
      <c r="F134" s="2"/>
      <c r="G134" s="2" t="s">
        <v>193</v>
      </c>
      <c r="H134" s="2" t="s">
        <v>162</v>
      </c>
      <c r="I134" s="2" t="s">
        <v>206</v>
      </c>
      <c r="J134" s="2" t="s">
        <v>191</v>
      </c>
      <c r="K134" s="2"/>
    </row>
    <row r="135" spans="1:17">
      <c r="A135" s="33" t="s">
        <v>315</v>
      </c>
      <c r="B135" s="33" t="s">
        <v>315</v>
      </c>
      <c r="C135" s="25" t="s">
        <v>316</v>
      </c>
      <c r="D135" s="1"/>
      <c r="F135" s="2" t="s">
        <v>191</v>
      </c>
      <c r="G135" s="2" t="s">
        <v>193</v>
      </c>
      <c r="H135" s="2" t="s">
        <v>162</v>
      </c>
      <c r="I135" s="2"/>
      <c r="J135" s="2"/>
      <c r="K135" s="2" t="s">
        <v>206</v>
      </c>
    </row>
    <row r="137" spans="1:17">
      <c r="F137" s="44" t="s">
        <v>33</v>
      </c>
      <c r="G137" s="44" t="s">
        <v>39</v>
      </c>
      <c r="H137" s="44" t="s">
        <v>40</v>
      </c>
      <c r="I137" s="44" t="s">
        <v>41</v>
      </c>
      <c r="J137" s="44" t="s">
        <v>38</v>
      </c>
      <c r="K137" s="44" t="s">
        <v>42</v>
      </c>
      <c r="L137" s="44" t="s">
        <v>45</v>
      </c>
      <c r="M137" s="44" t="s">
        <v>44</v>
      </c>
      <c r="N137" s="44" t="s">
        <v>43</v>
      </c>
      <c r="O137" s="44" t="s">
        <v>32</v>
      </c>
      <c r="P137" s="44" t="s">
        <v>34</v>
      </c>
      <c r="Q137" s="44" t="s">
        <v>35</v>
      </c>
    </row>
    <row r="138" spans="1:17">
      <c r="A138" s="302" t="s">
        <v>317</v>
      </c>
      <c r="B138" s="37" t="s">
        <v>318</v>
      </c>
      <c r="C138" s="17" t="s">
        <v>319</v>
      </c>
      <c r="D138" s="36" t="s">
        <v>320</v>
      </c>
      <c r="F138" s="2" t="s">
        <v>193</v>
      </c>
      <c r="G138" s="2"/>
      <c r="H138" s="2"/>
      <c r="I138" s="2"/>
      <c r="J138" s="2"/>
      <c r="K138" s="2" t="s">
        <v>191</v>
      </c>
      <c r="L138" s="2"/>
      <c r="M138" s="2"/>
      <c r="N138" s="2"/>
      <c r="O138" s="2"/>
      <c r="P138" s="2" t="s">
        <v>162</v>
      </c>
      <c r="Q138" s="2" t="s">
        <v>206</v>
      </c>
    </row>
    <row r="139" spans="1:17">
      <c r="A139" s="302"/>
      <c r="B139" s="37" t="s">
        <v>321</v>
      </c>
      <c r="C139" s="17" t="s">
        <v>322</v>
      </c>
      <c r="D139" s="36" t="s">
        <v>323</v>
      </c>
      <c r="F139" s="2" t="s">
        <v>324</v>
      </c>
      <c r="G139" s="2" t="s">
        <v>193</v>
      </c>
      <c r="H139" s="2"/>
      <c r="I139" s="2"/>
      <c r="J139" s="2"/>
      <c r="K139" s="2"/>
      <c r="L139" s="2" t="s">
        <v>191</v>
      </c>
      <c r="M139" s="2"/>
      <c r="N139" s="2"/>
      <c r="O139" s="2"/>
      <c r="P139" s="2" t="s">
        <v>162</v>
      </c>
      <c r="Q139" s="2" t="s">
        <v>206</v>
      </c>
    </row>
    <row r="140" spans="1:17">
      <c r="A140" s="302"/>
      <c r="B140" s="37" t="s">
        <v>325</v>
      </c>
      <c r="C140" s="17" t="s">
        <v>326</v>
      </c>
      <c r="D140" s="36" t="s">
        <v>327</v>
      </c>
      <c r="F140" s="2" t="s">
        <v>324</v>
      </c>
      <c r="G140" s="2"/>
      <c r="H140" s="2" t="s">
        <v>193</v>
      </c>
      <c r="I140" s="2"/>
      <c r="J140" s="2"/>
      <c r="K140" s="2"/>
      <c r="L140" s="2"/>
      <c r="M140" s="2" t="s">
        <v>191</v>
      </c>
      <c r="N140" s="2"/>
      <c r="O140" s="2"/>
      <c r="P140" s="2" t="s">
        <v>162</v>
      </c>
      <c r="Q140" s="2" t="s">
        <v>206</v>
      </c>
    </row>
    <row r="141" spans="1:17">
      <c r="A141" s="302"/>
      <c r="B141" s="290" t="s">
        <v>328</v>
      </c>
      <c r="C141" s="17" t="s">
        <v>329</v>
      </c>
      <c r="D141" s="36" t="s">
        <v>320</v>
      </c>
      <c r="F141" s="288" t="s">
        <v>193</v>
      </c>
      <c r="G141" s="288" t="s">
        <v>193</v>
      </c>
      <c r="H141" s="2"/>
      <c r="I141" s="2"/>
      <c r="J141" s="2"/>
      <c r="K141" s="2" t="s">
        <v>191</v>
      </c>
      <c r="L141" s="2"/>
      <c r="M141" s="2"/>
      <c r="N141" s="2"/>
      <c r="O141" s="2"/>
      <c r="P141" s="288" t="s">
        <v>162</v>
      </c>
      <c r="Q141" s="288" t="s">
        <v>206</v>
      </c>
    </row>
    <row r="142" spans="1:17">
      <c r="A142" s="302"/>
      <c r="B142" s="291"/>
      <c r="C142" s="17" t="s">
        <v>330</v>
      </c>
      <c r="D142" s="36" t="s">
        <v>323</v>
      </c>
      <c r="F142" s="289"/>
      <c r="G142" s="289"/>
      <c r="H142" s="2"/>
      <c r="I142" s="2"/>
      <c r="J142" s="2"/>
      <c r="K142" s="2"/>
      <c r="L142" s="2" t="s">
        <v>191</v>
      </c>
      <c r="M142" s="2"/>
      <c r="N142" s="2"/>
      <c r="O142" s="2"/>
      <c r="P142" s="289"/>
      <c r="Q142" s="289"/>
    </row>
    <row r="143" spans="1:17">
      <c r="A143" s="302"/>
      <c r="B143" s="290" t="s">
        <v>331</v>
      </c>
      <c r="C143" s="17" t="s">
        <v>332</v>
      </c>
      <c r="D143" s="36" t="s">
        <v>320</v>
      </c>
      <c r="F143" s="288" t="s">
        <v>193</v>
      </c>
      <c r="G143" s="2"/>
      <c r="H143" s="288" t="s">
        <v>193</v>
      </c>
      <c r="I143" s="2"/>
      <c r="J143" s="2"/>
      <c r="K143" s="2" t="s">
        <v>191</v>
      </c>
      <c r="L143" s="2"/>
      <c r="M143" s="2"/>
      <c r="N143" s="2"/>
      <c r="O143" s="2"/>
      <c r="P143" s="288" t="s">
        <v>162</v>
      </c>
      <c r="Q143" s="288" t="s">
        <v>206</v>
      </c>
    </row>
    <row r="144" spans="1:17">
      <c r="A144" s="302"/>
      <c r="B144" s="291"/>
      <c r="C144" s="17" t="s">
        <v>333</v>
      </c>
      <c r="D144" s="36" t="s">
        <v>327</v>
      </c>
      <c r="F144" s="289"/>
      <c r="G144" s="2"/>
      <c r="H144" s="289"/>
      <c r="I144" s="2"/>
      <c r="J144" s="2"/>
      <c r="K144" s="2"/>
      <c r="L144" s="2"/>
      <c r="M144" s="2" t="s">
        <v>191</v>
      </c>
      <c r="N144" s="2"/>
      <c r="O144" s="2"/>
      <c r="P144" s="289"/>
      <c r="Q144" s="289"/>
    </row>
    <row r="145" spans="1:17">
      <c r="A145" s="302"/>
      <c r="B145" s="290" t="s">
        <v>334</v>
      </c>
      <c r="C145" s="17" t="s">
        <v>335</v>
      </c>
      <c r="D145" s="36" t="s">
        <v>323</v>
      </c>
      <c r="F145" s="2" t="s">
        <v>324</v>
      </c>
      <c r="G145" s="288" t="s">
        <v>193</v>
      </c>
      <c r="H145" s="288" t="s">
        <v>193</v>
      </c>
      <c r="I145" s="2"/>
      <c r="J145" s="2"/>
      <c r="K145" s="2"/>
      <c r="L145" s="2" t="s">
        <v>191</v>
      </c>
      <c r="M145" s="2"/>
      <c r="N145" s="2"/>
      <c r="O145" s="2"/>
      <c r="P145" s="288" t="s">
        <v>162</v>
      </c>
      <c r="Q145" s="288" t="s">
        <v>206</v>
      </c>
    </row>
    <row r="146" spans="1:17">
      <c r="A146" s="302"/>
      <c r="B146" s="291"/>
      <c r="C146" s="17" t="s">
        <v>336</v>
      </c>
      <c r="D146" s="36" t="s">
        <v>327</v>
      </c>
      <c r="F146" s="2" t="s">
        <v>324</v>
      </c>
      <c r="G146" s="289"/>
      <c r="H146" s="289"/>
      <c r="I146" s="2"/>
      <c r="J146" s="2"/>
      <c r="K146" s="2"/>
      <c r="L146" s="2"/>
      <c r="M146" s="2" t="s">
        <v>191</v>
      </c>
      <c r="N146" s="2"/>
      <c r="O146" s="2"/>
      <c r="P146" s="289"/>
      <c r="Q146" s="289"/>
    </row>
    <row r="147" spans="1:17">
      <c r="A147" s="302"/>
      <c r="B147" s="290" t="s">
        <v>337</v>
      </c>
      <c r="C147" s="17" t="s">
        <v>338</v>
      </c>
      <c r="D147" s="36" t="s">
        <v>323</v>
      </c>
      <c r="F147" s="2" t="s">
        <v>324</v>
      </c>
      <c r="G147" s="288" t="s">
        <v>193</v>
      </c>
      <c r="H147" s="288" t="s">
        <v>193</v>
      </c>
      <c r="I147" s="288" t="s">
        <v>193</v>
      </c>
      <c r="J147" s="2"/>
      <c r="K147" s="2"/>
      <c r="L147" s="2" t="s">
        <v>191</v>
      </c>
      <c r="M147" s="2"/>
      <c r="N147" s="2"/>
      <c r="O147" s="2"/>
      <c r="P147" s="288" t="s">
        <v>162</v>
      </c>
      <c r="Q147" s="288" t="s">
        <v>206</v>
      </c>
    </row>
    <row r="148" spans="1:17">
      <c r="A148" s="302"/>
      <c r="B148" s="293"/>
      <c r="C148" s="17" t="s">
        <v>339</v>
      </c>
      <c r="D148" s="36" t="s">
        <v>327</v>
      </c>
      <c r="F148" s="2" t="s">
        <v>324</v>
      </c>
      <c r="G148" s="292"/>
      <c r="H148" s="292"/>
      <c r="I148" s="292"/>
      <c r="J148" s="2"/>
      <c r="K148" s="2"/>
      <c r="L148" s="2"/>
      <c r="M148" s="2" t="s">
        <v>191</v>
      </c>
      <c r="N148" s="2"/>
      <c r="O148" s="2"/>
      <c r="P148" s="292"/>
      <c r="Q148" s="292"/>
    </row>
    <row r="149" spans="1:17">
      <c r="A149" s="302"/>
      <c r="B149" s="291"/>
      <c r="C149" s="17" t="s">
        <v>340</v>
      </c>
      <c r="D149" s="36" t="s">
        <v>341</v>
      </c>
      <c r="F149" s="2" t="s">
        <v>324</v>
      </c>
      <c r="G149" s="289"/>
      <c r="H149" s="289"/>
      <c r="I149" s="289"/>
      <c r="J149" s="2"/>
      <c r="K149" s="2"/>
      <c r="L149" s="2"/>
      <c r="M149" s="2"/>
      <c r="N149" s="2" t="s">
        <v>191</v>
      </c>
      <c r="O149" s="2"/>
      <c r="P149" s="289"/>
      <c r="Q149" s="289"/>
    </row>
    <row r="150" spans="1:17">
      <c r="A150" s="302"/>
      <c r="B150" s="290" t="s">
        <v>342</v>
      </c>
      <c r="C150" s="17" t="s">
        <v>343</v>
      </c>
      <c r="D150" s="36" t="s">
        <v>320</v>
      </c>
      <c r="F150" s="288" t="s">
        <v>193</v>
      </c>
      <c r="G150" s="2"/>
      <c r="H150" s="288" t="s">
        <v>193</v>
      </c>
      <c r="I150" s="2"/>
      <c r="J150" s="288" t="s">
        <v>193</v>
      </c>
      <c r="K150" s="2" t="s">
        <v>191</v>
      </c>
      <c r="L150" s="2"/>
      <c r="M150" s="2"/>
      <c r="N150" s="2"/>
      <c r="O150" s="2"/>
      <c r="P150" s="288" t="s">
        <v>162</v>
      </c>
      <c r="Q150" s="288" t="s">
        <v>206</v>
      </c>
    </row>
    <row r="151" spans="1:17">
      <c r="A151" s="302"/>
      <c r="B151" s="293"/>
      <c r="C151" s="17" t="s">
        <v>344</v>
      </c>
      <c r="D151" s="36" t="s">
        <v>327</v>
      </c>
      <c r="F151" s="292"/>
      <c r="G151" s="2"/>
      <c r="H151" s="292"/>
      <c r="I151" s="2"/>
      <c r="J151" s="292"/>
      <c r="K151" s="2"/>
      <c r="L151" s="2"/>
      <c r="M151" s="2" t="s">
        <v>191</v>
      </c>
      <c r="N151" s="2"/>
      <c r="O151" s="2"/>
      <c r="P151" s="292"/>
      <c r="Q151" s="292"/>
    </row>
    <row r="152" spans="1:17">
      <c r="A152" s="302"/>
      <c r="B152" s="291"/>
      <c r="C152" s="17" t="s">
        <v>345</v>
      </c>
      <c r="D152" s="36" t="s">
        <v>346</v>
      </c>
      <c r="F152" s="289"/>
      <c r="G152" s="2"/>
      <c r="H152" s="289"/>
      <c r="I152" s="2"/>
      <c r="J152" s="289"/>
      <c r="K152" s="2"/>
      <c r="L152" s="2"/>
      <c r="M152" s="2"/>
      <c r="N152" s="2"/>
      <c r="O152" s="2" t="s">
        <v>191</v>
      </c>
      <c r="P152" s="289"/>
      <c r="Q152" s="289"/>
    </row>
    <row r="153" spans="1:17">
      <c r="A153" s="302"/>
      <c r="B153" s="290" t="s">
        <v>347</v>
      </c>
      <c r="C153" s="17" t="s">
        <v>348</v>
      </c>
      <c r="D153" s="36" t="s">
        <v>320</v>
      </c>
      <c r="F153" s="288" t="s">
        <v>193</v>
      </c>
      <c r="G153" s="288" t="s">
        <v>193</v>
      </c>
      <c r="H153" s="288" t="s">
        <v>193</v>
      </c>
      <c r="I153" s="288" t="s">
        <v>193</v>
      </c>
      <c r="J153" s="2"/>
      <c r="K153" s="2" t="s">
        <v>191</v>
      </c>
      <c r="L153" s="2"/>
      <c r="M153" s="17"/>
      <c r="N153" s="17"/>
      <c r="O153" s="2"/>
      <c r="P153" s="288" t="s">
        <v>162</v>
      </c>
      <c r="Q153" s="288" t="s">
        <v>206</v>
      </c>
    </row>
    <row r="154" spans="1:17">
      <c r="A154" s="302"/>
      <c r="B154" s="293"/>
      <c r="C154" s="17" t="s">
        <v>349</v>
      </c>
      <c r="D154" s="36" t="s">
        <v>323</v>
      </c>
      <c r="F154" s="292"/>
      <c r="G154" s="292"/>
      <c r="H154" s="292"/>
      <c r="I154" s="292"/>
      <c r="J154" s="2"/>
      <c r="K154" s="2"/>
      <c r="L154" s="2" t="s">
        <v>191</v>
      </c>
      <c r="M154" s="17"/>
      <c r="N154" s="17"/>
      <c r="O154" s="2"/>
      <c r="P154" s="292"/>
      <c r="Q154" s="292"/>
    </row>
    <row r="155" spans="1:17">
      <c r="A155" s="302"/>
      <c r="B155" s="293"/>
      <c r="C155" s="17" t="s">
        <v>350</v>
      </c>
      <c r="D155" s="36" t="s">
        <v>327</v>
      </c>
      <c r="F155" s="292"/>
      <c r="G155" s="292"/>
      <c r="H155" s="292"/>
      <c r="I155" s="292"/>
      <c r="J155" s="2"/>
      <c r="K155" s="2"/>
      <c r="L155" s="2"/>
      <c r="M155" s="2" t="s">
        <v>191</v>
      </c>
      <c r="N155" s="17"/>
      <c r="O155" s="2"/>
      <c r="P155" s="292"/>
      <c r="Q155" s="292"/>
    </row>
    <row r="156" spans="1:17">
      <c r="A156" s="302"/>
      <c r="B156" s="291"/>
      <c r="C156" s="17" t="s">
        <v>351</v>
      </c>
      <c r="D156" s="36" t="s">
        <v>341</v>
      </c>
      <c r="F156" s="289"/>
      <c r="G156" s="289"/>
      <c r="H156" s="289"/>
      <c r="I156" s="289"/>
      <c r="J156" s="2"/>
      <c r="K156" s="2"/>
      <c r="L156" s="2"/>
      <c r="M156" s="2"/>
      <c r="N156" s="2" t="s">
        <v>191</v>
      </c>
      <c r="O156" s="2"/>
      <c r="P156" s="289"/>
      <c r="Q156" s="289"/>
    </row>
    <row r="157" spans="1:17">
      <c r="A157" s="302"/>
      <c r="B157" s="290" t="s">
        <v>352</v>
      </c>
      <c r="C157" s="17" t="s">
        <v>353</v>
      </c>
      <c r="D157" s="36" t="s">
        <v>320</v>
      </c>
      <c r="F157" s="288" t="s">
        <v>193</v>
      </c>
      <c r="G157" s="288" t="s">
        <v>193</v>
      </c>
      <c r="H157" s="288" t="s">
        <v>193</v>
      </c>
      <c r="I157" s="288" t="s">
        <v>193</v>
      </c>
      <c r="J157" s="288" t="s">
        <v>193</v>
      </c>
      <c r="K157" s="2" t="s">
        <v>191</v>
      </c>
      <c r="L157" s="2"/>
      <c r="M157" s="17"/>
      <c r="N157" s="17"/>
      <c r="O157" s="17"/>
      <c r="P157" s="288" t="s">
        <v>162</v>
      </c>
      <c r="Q157" s="288" t="s">
        <v>206</v>
      </c>
    </row>
    <row r="158" spans="1:17">
      <c r="A158" s="302"/>
      <c r="B158" s="293"/>
      <c r="C158" s="17" t="s">
        <v>354</v>
      </c>
      <c r="D158" s="36" t="s">
        <v>323</v>
      </c>
      <c r="F158" s="292"/>
      <c r="G158" s="292"/>
      <c r="H158" s="292"/>
      <c r="I158" s="292"/>
      <c r="J158" s="292"/>
      <c r="K158" s="2"/>
      <c r="L158" s="2" t="s">
        <v>191</v>
      </c>
      <c r="M158" s="17"/>
      <c r="N158" s="17"/>
      <c r="O158" s="17"/>
      <c r="P158" s="292"/>
      <c r="Q158" s="292"/>
    </row>
    <row r="159" spans="1:17">
      <c r="A159" s="302"/>
      <c r="B159" s="293"/>
      <c r="C159" s="17" t="s">
        <v>355</v>
      </c>
      <c r="D159" s="36" t="s">
        <v>327</v>
      </c>
      <c r="F159" s="292"/>
      <c r="G159" s="292"/>
      <c r="H159" s="292"/>
      <c r="I159" s="292"/>
      <c r="J159" s="292"/>
      <c r="K159" s="2"/>
      <c r="L159" s="2"/>
      <c r="M159" s="2" t="s">
        <v>191</v>
      </c>
      <c r="N159" s="17"/>
      <c r="O159" s="17"/>
      <c r="P159" s="292"/>
      <c r="Q159" s="292"/>
    </row>
    <row r="160" spans="1:17">
      <c r="A160" s="302"/>
      <c r="B160" s="293"/>
      <c r="C160" s="17" t="s">
        <v>356</v>
      </c>
      <c r="D160" s="36" t="s">
        <v>341</v>
      </c>
      <c r="F160" s="292"/>
      <c r="G160" s="292"/>
      <c r="H160" s="292"/>
      <c r="I160" s="292"/>
      <c r="J160" s="292"/>
      <c r="K160" s="2"/>
      <c r="L160" s="2"/>
      <c r="M160" s="2"/>
      <c r="N160" s="2" t="s">
        <v>191</v>
      </c>
      <c r="O160" s="17"/>
      <c r="P160" s="292"/>
      <c r="Q160" s="292"/>
    </row>
    <row r="161" spans="1:17">
      <c r="A161" s="302"/>
      <c r="B161" s="291"/>
      <c r="C161" s="17" t="s">
        <v>357</v>
      </c>
      <c r="D161" s="36" t="s">
        <v>346</v>
      </c>
      <c r="F161" s="289"/>
      <c r="G161" s="289"/>
      <c r="H161" s="289"/>
      <c r="I161" s="289"/>
      <c r="J161" s="289"/>
      <c r="K161" s="2"/>
      <c r="L161" s="2"/>
      <c r="M161" s="2"/>
      <c r="N161" s="2"/>
      <c r="O161" s="2" t="s">
        <v>191</v>
      </c>
      <c r="P161" s="289"/>
      <c r="Q161" s="289"/>
    </row>
    <row r="162" spans="1:17">
      <c r="A162" s="302"/>
      <c r="B162" s="10" t="s">
        <v>1031</v>
      </c>
      <c r="C162" s="17" t="s">
        <v>1032</v>
      </c>
      <c r="D162" s="60"/>
      <c r="F162" s="15"/>
      <c r="G162" s="15"/>
      <c r="H162" s="15"/>
      <c r="I162" s="15"/>
      <c r="J162" s="15"/>
      <c r="N162" s="3"/>
      <c r="O162" s="3"/>
      <c r="P162" s="15"/>
      <c r="Q162" s="15"/>
    </row>
    <row r="163" spans="1:17">
      <c r="A163" s="302"/>
      <c r="B163" s="10" t="s">
        <v>1033</v>
      </c>
      <c r="C163" s="17" t="s">
        <v>1034</v>
      </c>
      <c r="D163" s="60"/>
      <c r="F163" s="15"/>
      <c r="G163" s="15"/>
      <c r="H163" s="15"/>
      <c r="I163" s="15"/>
      <c r="J163" s="15"/>
      <c r="N163" s="3"/>
      <c r="O163" s="3"/>
      <c r="P163" s="15"/>
      <c r="Q163" s="15"/>
    </row>
    <row r="164" spans="1:17">
      <c r="A164" s="302"/>
      <c r="B164" s="10" t="s">
        <v>1035</v>
      </c>
      <c r="C164" s="17" t="s">
        <v>1036</v>
      </c>
      <c r="D164" s="60"/>
      <c r="F164" s="15"/>
      <c r="G164" s="15"/>
      <c r="H164" s="15"/>
      <c r="I164" s="15"/>
      <c r="J164" s="15"/>
      <c r="N164" s="3"/>
      <c r="O164" s="3"/>
      <c r="P164" s="15"/>
      <c r="Q164" s="15"/>
    </row>
    <row r="165" spans="1:17">
      <c r="A165" s="302"/>
      <c r="B165" s="10" t="s">
        <v>1037</v>
      </c>
      <c r="C165" s="17" t="s">
        <v>1038</v>
      </c>
      <c r="D165" s="60"/>
      <c r="F165" s="15"/>
      <c r="G165" s="15"/>
      <c r="H165" s="15"/>
      <c r="I165" s="15"/>
      <c r="J165" s="15"/>
      <c r="N165" s="3"/>
      <c r="O165" s="3"/>
      <c r="P165" s="15"/>
      <c r="Q165" s="15"/>
    </row>
    <row r="166" spans="1:17">
      <c r="A166" s="302"/>
      <c r="B166" s="10" t="s">
        <v>1039</v>
      </c>
      <c r="C166" s="17" t="s">
        <v>1040</v>
      </c>
      <c r="D166" s="60"/>
      <c r="F166" s="15"/>
      <c r="G166" s="15"/>
      <c r="H166" s="15"/>
      <c r="I166" s="15"/>
      <c r="J166" s="15"/>
      <c r="N166" s="3"/>
      <c r="O166" s="3"/>
      <c r="P166" s="15"/>
      <c r="Q166" s="15"/>
    </row>
    <row r="167" spans="1:17">
      <c r="A167" s="302"/>
      <c r="B167" s="7" t="s">
        <v>1041</v>
      </c>
      <c r="C167" s="17" t="s">
        <v>1042</v>
      </c>
      <c r="D167" s="60"/>
      <c r="F167" s="15"/>
      <c r="G167" s="15"/>
      <c r="H167" s="15"/>
      <c r="I167" s="15"/>
      <c r="J167" s="15"/>
      <c r="N167" s="3"/>
      <c r="O167" s="3"/>
      <c r="P167" s="15"/>
      <c r="Q167" s="15"/>
    </row>
    <row r="168" spans="1:17">
      <c r="A168" s="302"/>
      <c r="B168" s="7" t="s">
        <v>1043</v>
      </c>
      <c r="C168" s="17" t="s">
        <v>1044</v>
      </c>
      <c r="D168" s="60"/>
      <c r="F168" s="15"/>
      <c r="G168" s="15"/>
      <c r="H168" s="15"/>
      <c r="I168" s="15"/>
      <c r="J168" s="15"/>
      <c r="N168" s="3"/>
      <c r="O168" s="3"/>
      <c r="P168" s="15"/>
      <c r="Q168" s="15"/>
    </row>
    <row r="169" spans="1:17">
      <c r="A169" s="302"/>
      <c r="B169" s="7" t="s">
        <v>1045</v>
      </c>
      <c r="C169" s="17" t="s">
        <v>1046</v>
      </c>
      <c r="D169" s="60"/>
      <c r="F169" s="15"/>
      <c r="G169" s="15"/>
      <c r="H169" s="15"/>
      <c r="I169" s="15"/>
      <c r="J169" s="15"/>
      <c r="N169" s="3"/>
      <c r="O169" s="3"/>
      <c r="P169" s="15"/>
      <c r="Q169" s="15"/>
    </row>
    <row r="170" spans="1:17">
      <c r="A170" s="302"/>
      <c r="B170" s="7" t="s">
        <v>1047</v>
      </c>
      <c r="C170" s="17" t="s">
        <v>1048</v>
      </c>
      <c r="D170" s="60"/>
      <c r="F170" s="15"/>
      <c r="G170" s="15"/>
      <c r="H170" s="15"/>
      <c r="I170" s="15"/>
      <c r="J170" s="15"/>
      <c r="N170" s="3"/>
      <c r="O170" s="3"/>
      <c r="P170" s="15"/>
      <c r="Q170" s="15"/>
    </row>
    <row r="171" spans="1:17">
      <c r="A171" s="302"/>
      <c r="B171" s="7" t="s">
        <v>1049</v>
      </c>
      <c r="C171" s="17" t="s">
        <v>1050</v>
      </c>
      <c r="D171" s="60"/>
      <c r="F171" s="15"/>
      <c r="G171" s="15"/>
      <c r="H171" s="15"/>
      <c r="I171" s="15"/>
      <c r="J171" s="15"/>
      <c r="N171" s="3"/>
      <c r="O171" s="3"/>
      <c r="P171" s="15"/>
      <c r="Q171" s="15"/>
    </row>
    <row r="172" spans="1:17">
      <c r="A172" s="302"/>
      <c r="B172" s="7" t="s">
        <v>1051</v>
      </c>
      <c r="C172" s="17" t="s">
        <v>1052</v>
      </c>
      <c r="D172" s="60"/>
      <c r="F172" s="15"/>
      <c r="G172" s="15"/>
      <c r="H172" s="15"/>
      <c r="I172" s="15"/>
      <c r="J172" s="15"/>
      <c r="N172" s="3"/>
      <c r="O172" s="3"/>
      <c r="P172" s="15"/>
      <c r="Q172" s="15"/>
    </row>
    <row r="173" spans="1:17">
      <c r="A173" s="302"/>
      <c r="B173" s="7" t="s">
        <v>1053</v>
      </c>
      <c r="C173" s="17" t="s">
        <v>1054</v>
      </c>
      <c r="D173" s="60"/>
      <c r="F173" s="15"/>
      <c r="G173" s="15"/>
      <c r="H173" s="15"/>
      <c r="I173" s="15"/>
      <c r="J173" s="15"/>
      <c r="N173" s="3"/>
      <c r="O173" s="3"/>
      <c r="P173" s="15"/>
      <c r="Q173" s="15"/>
    </row>
    <row r="175" spans="1:17">
      <c r="D175" s="14"/>
      <c r="E175" s="4"/>
      <c r="F175" s="23" t="s">
        <v>83</v>
      </c>
      <c r="G175" s="23" t="s">
        <v>82</v>
      </c>
      <c r="H175" s="23" t="s">
        <v>84</v>
      </c>
      <c r="I175" s="23" t="s">
        <v>358</v>
      </c>
      <c r="J175" s="23" t="s">
        <v>359</v>
      </c>
      <c r="K175"/>
      <c r="L175"/>
      <c r="M175"/>
    </row>
    <row r="176" spans="1:17">
      <c r="A176" s="285" t="s">
        <v>360</v>
      </c>
      <c r="B176" s="7" t="s">
        <v>361</v>
      </c>
      <c r="C176" s="25"/>
      <c r="D176" s="1"/>
      <c r="E176" s="6"/>
      <c r="F176" s="67"/>
      <c r="G176" s="67"/>
      <c r="H176" s="67"/>
      <c r="I176" s="67"/>
      <c r="J176" s="67"/>
      <c r="K176"/>
      <c r="L176"/>
      <c r="M176"/>
    </row>
    <row r="177" spans="1:18">
      <c r="A177" s="286"/>
      <c r="B177" s="7" t="s">
        <v>362</v>
      </c>
      <c r="C177" s="25"/>
      <c r="D177" s="1"/>
      <c r="F177" s="67"/>
      <c r="G177" s="67"/>
      <c r="H177" s="67"/>
      <c r="I177" s="67"/>
      <c r="J177" s="67"/>
      <c r="K177"/>
      <c r="L177"/>
      <c r="M177"/>
    </row>
    <row r="178" spans="1:18">
      <c r="A178" s="286"/>
      <c r="B178" s="7" t="s">
        <v>363</v>
      </c>
      <c r="C178" s="25"/>
      <c r="D178" s="1"/>
      <c r="F178" s="67"/>
      <c r="G178" s="67"/>
      <c r="H178" s="67"/>
      <c r="I178" s="67"/>
      <c r="J178" s="67"/>
      <c r="K178"/>
      <c r="L178"/>
      <c r="M178"/>
    </row>
    <row r="179" spans="1:18">
      <c r="A179" s="286"/>
      <c r="B179" s="7" t="s">
        <v>364</v>
      </c>
      <c r="C179" s="25"/>
      <c r="D179" s="1"/>
      <c r="F179" s="67"/>
      <c r="G179" s="67"/>
      <c r="H179" s="67"/>
      <c r="I179" s="67"/>
      <c r="J179" s="67"/>
      <c r="K179"/>
      <c r="L179"/>
      <c r="M179"/>
    </row>
    <row r="180" spans="1:18">
      <c r="A180" s="286"/>
      <c r="B180" s="7" t="s">
        <v>365</v>
      </c>
      <c r="C180" s="25"/>
      <c r="D180" s="1"/>
      <c r="F180" s="67"/>
      <c r="G180" s="67"/>
      <c r="H180" s="67"/>
      <c r="I180" s="67"/>
      <c r="J180" s="67"/>
      <c r="K180"/>
      <c r="L180"/>
      <c r="M180"/>
    </row>
    <row r="181" spans="1:18">
      <c r="A181" s="286"/>
      <c r="B181" s="7" t="s">
        <v>366</v>
      </c>
      <c r="C181" s="25"/>
      <c r="D181" s="1"/>
      <c r="F181" s="67"/>
      <c r="G181" s="67"/>
      <c r="H181" s="67"/>
      <c r="I181" s="67"/>
      <c r="J181" s="67"/>
      <c r="K181"/>
      <c r="L181"/>
      <c r="M181"/>
    </row>
    <row r="182" spans="1:18">
      <c r="A182" s="286"/>
      <c r="B182" s="7" t="s">
        <v>367</v>
      </c>
      <c r="C182" s="25"/>
      <c r="D182" s="1"/>
      <c r="F182" s="67"/>
      <c r="G182" s="67"/>
      <c r="H182" s="67"/>
      <c r="I182" s="67"/>
      <c r="J182" s="67"/>
      <c r="K182"/>
      <c r="L182"/>
      <c r="M182"/>
    </row>
    <row r="183" spans="1:18">
      <c r="A183" s="286"/>
      <c r="B183" s="7" t="s">
        <v>368</v>
      </c>
      <c r="C183" s="25"/>
      <c r="D183" s="1"/>
      <c r="F183" s="67"/>
      <c r="G183" s="67"/>
      <c r="H183" s="67"/>
      <c r="I183" s="67"/>
      <c r="J183" s="67"/>
      <c r="K183"/>
      <c r="L183"/>
      <c r="M183"/>
    </row>
    <row r="184" spans="1:18">
      <c r="A184" s="287"/>
      <c r="B184" s="7" t="s">
        <v>360</v>
      </c>
      <c r="C184" s="25"/>
      <c r="D184" s="1"/>
      <c r="F184" s="67"/>
      <c r="G184" s="67"/>
      <c r="H184" s="67"/>
      <c r="I184" s="67"/>
      <c r="J184" s="67"/>
      <c r="K184"/>
      <c r="L184"/>
      <c r="M184"/>
    </row>
    <row r="185" spans="1:18">
      <c r="A185" s="7" t="s">
        <v>369</v>
      </c>
      <c r="B185" s="7" t="s">
        <v>369</v>
      </c>
      <c r="C185" s="25"/>
      <c r="D185" s="1"/>
      <c r="F185" s="67"/>
      <c r="G185" s="67"/>
      <c r="H185" s="67"/>
      <c r="I185" s="67"/>
      <c r="J185" s="67"/>
      <c r="K185"/>
      <c r="L185"/>
      <c r="M185"/>
    </row>
    <row r="186" spans="1:18">
      <c r="A186" s="7" t="s">
        <v>370</v>
      </c>
      <c r="B186" s="7" t="s">
        <v>370</v>
      </c>
      <c r="C186" s="25"/>
      <c r="D186" s="1"/>
      <c r="F186" s="67"/>
      <c r="G186" s="67"/>
      <c r="H186" s="67"/>
      <c r="I186" s="67"/>
      <c r="J186" s="67"/>
      <c r="K186"/>
      <c r="L186"/>
      <c r="M186"/>
    </row>
    <row r="187" spans="1:18">
      <c r="F187"/>
      <c r="G187"/>
      <c r="H187"/>
      <c r="I187"/>
      <c r="J187"/>
      <c r="K187"/>
      <c r="L187"/>
      <c r="M187"/>
    </row>
    <row r="188" spans="1:18">
      <c r="D188" s="14"/>
      <c r="E188" s="4"/>
      <c r="F188" s="23" t="s">
        <v>83</v>
      </c>
      <c r="G188" s="23" t="s">
        <v>82</v>
      </c>
      <c r="H188" s="23" t="s">
        <v>84</v>
      </c>
      <c r="I188" s="23" t="s">
        <v>79</v>
      </c>
      <c r="J188" s="23" t="s">
        <v>78</v>
      </c>
      <c r="K188" s="23" t="s">
        <v>75</v>
      </c>
      <c r="L188" s="23" t="s">
        <v>372</v>
      </c>
      <c r="M188" s="23" t="s">
        <v>373</v>
      </c>
      <c r="N188" s="23" t="s">
        <v>81</v>
      </c>
      <c r="O188" s="23" t="s">
        <v>80</v>
      </c>
      <c r="P188" s="4"/>
      <c r="R188" s="4"/>
    </row>
    <row r="189" spans="1:18">
      <c r="A189" s="285" t="s">
        <v>374</v>
      </c>
      <c r="B189" s="7" t="s">
        <v>375</v>
      </c>
      <c r="C189" s="25"/>
      <c r="D189" s="1"/>
      <c r="E189" s="6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"/>
      <c r="R189" s="6"/>
    </row>
    <row r="190" spans="1:18">
      <c r="A190" s="286"/>
      <c r="B190" s="7" t="s">
        <v>376</v>
      </c>
      <c r="C190" s="25"/>
      <c r="D190" s="1"/>
      <c r="E190" s="6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"/>
      <c r="R190" s="6"/>
    </row>
    <row r="191" spans="1:18">
      <c r="A191" s="286"/>
      <c r="B191" s="7" t="s">
        <v>377</v>
      </c>
      <c r="C191" s="25"/>
      <c r="D191" s="1"/>
      <c r="E191" s="6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"/>
      <c r="R191" s="6"/>
    </row>
    <row r="192" spans="1:18">
      <c r="A192" s="286"/>
      <c r="B192" s="7" t="s">
        <v>378</v>
      </c>
      <c r="C192" s="25"/>
      <c r="D192" s="1"/>
      <c r="E192" s="6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"/>
      <c r="R192" s="6"/>
    </row>
    <row r="193" spans="1:18">
      <c r="A193" s="286"/>
      <c r="B193" s="7" t="s">
        <v>379</v>
      </c>
      <c r="C193" s="25"/>
      <c r="D193" s="1"/>
      <c r="E193" s="6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"/>
      <c r="R193" s="6"/>
    </row>
    <row r="194" spans="1:18">
      <c r="A194" s="286"/>
      <c r="B194" s="7" t="s">
        <v>380</v>
      </c>
      <c r="C194" s="25"/>
      <c r="D194" s="1"/>
      <c r="E194" s="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"/>
      <c r="R194" s="6"/>
    </row>
    <row r="195" spans="1:18">
      <c r="A195" s="286"/>
      <c r="B195" s="7" t="s">
        <v>381</v>
      </c>
      <c r="C195" s="25"/>
      <c r="D195" s="1"/>
      <c r="E195" s="6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"/>
      <c r="R195" s="6"/>
    </row>
    <row r="196" spans="1:18">
      <c r="A196" s="286"/>
      <c r="B196" s="7" t="s">
        <v>382</v>
      </c>
      <c r="C196" s="25"/>
      <c r="D196" s="1"/>
      <c r="E196" s="6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"/>
      <c r="R196" s="6"/>
    </row>
    <row r="197" spans="1:18">
      <c r="A197" s="287"/>
      <c r="B197" s="7" t="s">
        <v>374</v>
      </c>
      <c r="C197" s="25"/>
      <c r="D197" s="1"/>
      <c r="E197" s="6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"/>
      <c r="R197" s="6"/>
    </row>
    <row r="199" spans="1:18">
      <c r="D199" s="14"/>
      <c r="E199" s="4"/>
      <c r="F199" s="23" t="s">
        <v>83</v>
      </c>
      <c r="G199" s="23" t="s">
        <v>82</v>
      </c>
      <c r="H199" s="23" t="s">
        <v>84</v>
      </c>
      <c r="I199" s="23" t="s">
        <v>79</v>
      </c>
      <c r="J199" s="23" t="s">
        <v>78</v>
      </c>
      <c r="K199" s="23" t="s">
        <v>75</v>
      </c>
      <c r="L199" s="23" t="s">
        <v>372</v>
      </c>
      <c r="M199" s="23" t="s">
        <v>373</v>
      </c>
      <c r="R199" s="4"/>
    </row>
    <row r="200" spans="1:18">
      <c r="A200" s="285" t="s">
        <v>383</v>
      </c>
      <c r="B200" s="7" t="s">
        <v>384</v>
      </c>
      <c r="C200" s="25"/>
      <c r="D200" s="1"/>
      <c r="E200" s="6"/>
      <c r="F200" s="67"/>
      <c r="G200" s="67"/>
      <c r="H200" s="67"/>
      <c r="I200" s="67"/>
      <c r="J200" s="67"/>
      <c r="K200" s="67"/>
      <c r="L200" s="67"/>
      <c r="M200" s="67"/>
      <c r="R200" s="6"/>
    </row>
    <row r="201" spans="1:18">
      <c r="A201" s="286"/>
      <c r="B201" s="7" t="s">
        <v>385</v>
      </c>
      <c r="C201" s="25"/>
      <c r="D201" s="1"/>
      <c r="E201" s="6"/>
      <c r="F201" s="67"/>
      <c r="G201" s="67"/>
      <c r="H201" s="67"/>
      <c r="I201" s="67"/>
      <c r="J201" s="67"/>
      <c r="K201" s="67"/>
      <c r="L201" s="67"/>
      <c r="M201" s="67"/>
      <c r="R201" s="6"/>
    </row>
    <row r="202" spans="1:18">
      <c r="A202" s="286"/>
      <c r="B202" s="7" t="s">
        <v>386</v>
      </c>
      <c r="C202" s="25"/>
      <c r="D202" s="1"/>
      <c r="E202" s="6"/>
      <c r="F202" s="67"/>
      <c r="G202" s="67"/>
      <c r="H202" s="67"/>
      <c r="I202" s="67"/>
      <c r="J202" s="67"/>
      <c r="K202" s="67"/>
      <c r="L202" s="67"/>
      <c r="M202" s="67"/>
      <c r="R202" s="6"/>
    </row>
    <row r="203" spans="1:18">
      <c r="A203" s="286"/>
      <c r="B203" s="7" t="s">
        <v>387</v>
      </c>
      <c r="C203" s="25"/>
      <c r="D203" s="1"/>
      <c r="E203" s="6"/>
      <c r="F203" s="67"/>
      <c r="G203" s="67"/>
      <c r="H203" s="67"/>
      <c r="I203" s="67"/>
      <c r="J203" s="67"/>
      <c r="K203" s="67"/>
      <c r="L203" s="67"/>
      <c r="M203" s="67"/>
      <c r="R203" s="6"/>
    </row>
    <row r="204" spans="1:18">
      <c r="A204" s="286"/>
      <c r="B204" s="7" t="s">
        <v>388</v>
      </c>
      <c r="C204" s="25"/>
      <c r="D204" s="1"/>
      <c r="E204" s="6"/>
      <c r="F204" s="67"/>
      <c r="G204" s="67"/>
      <c r="H204" s="67"/>
      <c r="I204" s="67"/>
      <c r="J204" s="67"/>
      <c r="K204" s="67"/>
      <c r="L204" s="67"/>
      <c r="M204" s="67"/>
      <c r="R204" s="6"/>
    </row>
    <row r="205" spans="1:18">
      <c r="A205" s="286"/>
      <c r="B205" s="7" t="s">
        <v>389</v>
      </c>
      <c r="C205" s="25"/>
      <c r="D205" s="1"/>
      <c r="E205" s="6"/>
      <c r="F205" s="67"/>
      <c r="G205" s="67"/>
      <c r="H205" s="67"/>
      <c r="I205" s="67"/>
      <c r="J205" s="67"/>
      <c r="K205" s="67"/>
      <c r="L205" s="67"/>
      <c r="M205" s="67"/>
      <c r="R205" s="6"/>
    </row>
    <row r="206" spans="1:18">
      <c r="A206" s="286"/>
      <c r="B206" s="7" t="s">
        <v>390</v>
      </c>
      <c r="C206" s="25"/>
      <c r="D206" s="1"/>
      <c r="E206" s="6"/>
      <c r="F206" s="67"/>
      <c r="G206" s="67"/>
      <c r="H206" s="67"/>
      <c r="I206" s="67"/>
      <c r="J206" s="67"/>
      <c r="K206" s="67"/>
      <c r="L206" s="67"/>
      <c r="M206" s="67"/>
      <c r="R206" s="6"/>
    </row>
    <row r="207" spans="1:18">
      <c r="A207" s="286"/>
      <c r="B207" s="7" t="s">
        <v>391</v>
      </c>
      <c r="C207" s="25"/>
      <c r="D207" s="1"/>
      <c r="E207" s="6"/>
      <c r="F207" s="67"/>
      <c r="G207" s="67"/>
      <c r="H207" s="67"/>
      <c r="I207" s="67"/>
      <c r="J207" s="67"/>
      <c r="K207" s="67"/>
      <c r="L207" s="67"/>
      <c r="M207" s="67"/>
      <c r="R207" s="6"/>
    </row>
    <row r="208" spans="1:18">
      <c r="A208" s="287"/>
      <c r="B208" s="7" t="s">
        <v>383</v>
      </c>
      <c r="C208" s="25"/>
      <c r="D208" s="1"/>
      <c r="E208" s="6"/>
      <c r="F208" s="67"/>
      <c r="G208" s="67"/>
      <c r="H208" s="67"/>
      <c r="I208" s="67"/>
      <c r="J208" s="67"/>
      <c r="K208" s="67"/>
      <c r="L208" s="67"/>
      <c r="M208" s="67"/>
      <c r="R208" s="6"/>
    </row>
    <row r="210" spans="1:23">
      <c r="A210" s="24" t="s">
        <v>149</v>
      </c>
      <c r="B210" s="24" t="s">
        <v>150</v>
      </c>
      <c r="C210" s="28" t="s">
        <v>151</v>
      </c>
      <c r="F210" s="44" t="s">
        <v>113</v>
      </c>
      <c r="G210" s="44" t="s">
        <v>392</v>
      </c>
    </row>
    <row r="211" spans="1:23">
      <c r="A211" s="296" t="s">
        <v>393</v>
      </c>
      <c r="B211" s="33" t="s">
        <v>394</v>
      </c>
      <c r="C211" s="25" t="s">
        <v>1055</v>
      </c>
      <c r="D211" s="1"/>
      <c r="F211" s="67" t="s">
        <v>238</v>
      </c>
      <c r="G211" s="2" t="s">
        <v>239</v>
      </c>
    </row>
    <row r="212" spans="1:23">
      <c r="A212" s="297"/>
      <c r="B212" s="33" t="s">
        <v>396</v>
      </c>
      <c r="C212" s="25" t="s">
        <v>397</v>
      </c>
      <c r="D212" s="1"/>
      <c r="F212" s="67" t="s">
        <v>238</v>
      </c>
      <c r="G212" s="2" t="s">
        <v>239</v>
      </c>
    </row>
    <row r="213" spans="1:23">
      <c r="A213" s="285" t="s">
        <v>398</v>
      </c>
      <c r="B213" s="33" t="s">
        <v>399</v>
      </c>
      <c r="C213" s="25" t="s">
        <v>400</v>
      </c>
      <c r="D213" s="1"/>
      <c r="F213" s="67" t="s">
        <v>153</v>
      </c>
      <c r="G213" s="2" t="s">
        <v>154</v>
      </c>
    </row>
    <row r="214" spans="1:23">
      <c r="A214" s="287"/>
      <c r="B214" s="33" t="s">
        <v>401</v>
      </c>
      <c r="C214" s="25" t="s">
        <v>402</v>
      </c>
      <c r="D214" s="1"/>
      <c r="F214" s="2" t="s">
        <v>154</v>
      </c>
      <c r="G214" s="67" t="s">
        <v>153</v>
      </c>
    </row>
    <row r="215" spans="1:23">
      <c r="A215" s="64" t="s">
        <v>403</v>
      </c>
      <c r="B215" s="64" t="s">
        <v>403</v>
      </c>
      <c r="C215" s="25" t="s">
        <v>404</v>
      </c>
      <c r="D215" s="1"/>
      <c r="F215" s="67" t="s">
        <v>405</v>
      </c>
      <c r="G215" s="67" t="s">
        <v>154</v>
      </c>
    </row>
    <row r="216" spans="1:23" s="3" customFormat="1">
      <c r="A216" s="7" t="s">
        <v>406</v>
      </c>
      <c r="B216" s="7" t="s">
        <v>406</v>
      </c>
      <c r="C216" s="25" t="s">
        <v>287</v>
      </c>
      <c r="D216" s="1"/>
      <c r="E216"/>
      <c r="F216" s="67" t="s">
        <v>407</v>
      </c>
      <c r="G216" s="67" t="s">
        <v>154</v>
      </c>
      <c r="N216"/>
      <c r="O216"/>
      <c r="P216"/>
      <c r="Q216"/>
      <c r="R216"/>
      <c r="S216"/>
      <c r="T216"/>
      <c r="U216"/>
      <c r="V216"/>
      <c r="W216"/>
    </row>
    <row r="217" spans="1:23" s="3" customFormat="1">
      <c r="A217" s="64" t="s">
        <v>408</v>
      </c>
      <c r="B217" s="64" t="s">
        <v>408</v>
      </c>
      <c r="C217" s="25" t="s">
        <v>409</v>
      </c>
      <c r="D217" s="1"/>
      <c r="E217"/>
      <c r="F217" s="67" t="s">
        <v>405</v>
      </c>
      <c r="G217" s="67" t="s">
        <v>154</v>
      </c>
      <c r="N217"/>
      <c r="O217"/>
      <c r="P217"/>
      <c r="Q217"/>
      <c r="R217"/>
      <c r="S217"/>
      <c r="T217"/>
      <c r="U217"/>
      <c r="V217"/>
      <c r="W217"/>
    </row>
    <row r="219" spans="1:23" s="3" customFormat="1">
      <c r="A219"/>
      <c r="B219"/>
      <c r="C219"/>
      <c r="D219"/>
      <c r="E219"/>
      <c r="F219" s="44" t="s">
        <v>113</v>
      </c>
      <c r="G219" s="44" t="s">
        <v>392</v>
      </c>
      <c r="H219" s="44" t="s">
        <v>58</v>
      </c>
      <c r="N219"/>
      <c r="O219"/>
      <c r="P219"/>
      <c r="Q219"/>
      <c r="R219"/>
      <c r="S219"/>
      <c r="T219"/>
      <c r="U219"/>
      <c r="V219"/>
      <c r="W219"/>
    </row>
    <row r="220" spans="1:23" s="3" customFormat="1">
      <c r="A220" s="7" t="s">
        <v>410</v>
      </c>
      <c r="B220" s="7" t="s">
        <v>410</v>
      </c>
      <c r="C220" s="25" t="s">
        <v>287</v>
      </c>
      <c r="D220" s="1"/>
      <c r="E220"/>
      <c r="F220" s="67" t="s">
        <v>407</v>
      </c>
      <c r="G220" s="67" t="s">
        <v>154</v>
      </c>
      <c r="H220" s="67" t="s">
        <v>154</v>
      </c>
      <c r="N220"/>
      <c r="O220"/>
      <c r="P220"/>
      <c r="Q220"/>
      <c r="R220"/>
      <c r="S220"/>
      <c r="T220"/>
      <c r="U220"/>
      <c r="V220"/>
      <c r="W220"/>
    </row>
    <row r="222" spans="1:23" s="3" customFormat="1">
      <c r="A222"/>
      <c r="B222"/>
      <c r="C222"/>
      <c r="D222"/>
      <c r="E222"/>
      <c r="F222" s="44" t="s">
        <v>113</v>
      </c>
      <c r="G222" s="44" t="s">
        <v>392</v>
      </c>
      <c r="H222" s="44" t="s">
        <v>114</v>
      </c>
      <c r="N222"/>
      <c r="O222"/>
      <c r="P222"/>
      <c r="Q222"/>
      <c r="R222"/>
      <c r="S222"/>
      <c r="T222"/>
      <c r="U222"/>
      <c r="V222"/>
      <c r="W222"/>
    </row>
    <row r="223" spans="1:23" s="3" customFormat="1">
      <c r="A223" s="7" t="s">
        <v>411</v>
      </c>
      <c r="B223" s="7" t="s">
        <v>411</v>
      </c>
      <c r="C223" s="25" t="s">
        <v>287</v>
      </c>
      <c r="D223" s="1"/>
      <c r="E223"/>
      <c r="F223" s="67" t="s">
        <v>407</v>
      </c>
      <c r="G223" s="67" t="s">
        <v>154</v>
      </c>
      <c r="H223" s="67" t="s">
        <v>154</v>
      </c>
      <c r="N223"/>
      <c r="O223"/>
      <c r="P223"/>
      <c r="Q223"/>
      <c r="R223"/>
      <c r="S223"/>
      <c r="T223"/>
      <c r="U223"/>
      <c r="V223"/>
      <c r="W223"/>
    </row>
    <row r="225" spans="1:23" s="3" customFormat="1">
      <c r="A225" s="24" t="s">
        <v>149</v>
      </c>
      <c r="B225" s="24" t="s">
        <v>150</v>
      </c>
      <c r="C225" s="28" t="s">
        <v>151</v>
      </c>
      <c r="D225"/>
      <c r="E225"/>
      <c r="F225" s="44" t="s">
        <v>113</v>
      </c>
      <c r="G225" s="44" t="s">
        <v>82</v>
      </c>
      <c r="H225" s="44" t="s">
        <v>412</v>
      </c>
      <c r="N225"/>
      <c r="O225"/>
      <c r="P225"/>
      <c r="Q225"/>
      <c r="R225"/>
      <c r="S225"/>
      <c r="T225"/>
      <c r="U225"/>
      <c r="V225"/>
      <c r="W225"/>
    </row>
    <row r="226" spans="1:23" s="3" customFormat="1">
      <c r="A226" s="285" t="s">
        <v>413</v>
      </c>
      <c r="B226" s="33" t="s">
        <v>414</v>
      </c>
      <c r="C226" s="25" t="s">
        <v>1055</v>
      </c>
      <c r="D226" s="1"/>
      <c r="E226"/>
      <c r="F226" s="67" t="s">
        <v>238</v>
      </c>
      <c r="G226" s="2" t="s">
        <v>239</v>
      </c>
      <c r="H226" s="2" t="s">
        <v>239</v>
      </c>
      <c r="N226"/>
      <c r="O226"/>
      <c r="P226"/>
      <c r="Q226"/>
      <c r="R226"/>
      <c r="S226"/>
      <c r="T226"/>
      <c r="U226"/>
      <c r="V226"/>
      <c r="W226"/>
    </row>
    <row r="227" spans="1:23" s="3" customFormat="1">
      <c r="A227" s="286"/>
      <c r="B227" s="33" t="s">
        <v>415</v>
      </c>
      <c r="C227" s="25" t="s">
        <v>397</v>
      </c>
      <c r="D227" s="1"/>
      <c r="E227"/>
      <c r="F227" s="67" t="s">
        <v>238</v>
      </c>
      <c r="G227" s="2" t="s">
        <v>239</v>
      </c>
      <c r="H227" s="2" t="s">
        <v>239</v>
      </c>
      <c r="N227"/>
      <c r="O227"/>
      <c r="P227"/>
      <c r="Q227"/>
      <c r="R227"/>
      <c r="S227"/>
      <c r="T227"/>
      <c r="U227"/>
      <c r="V227"/>
      <c r="W227"/>
    </row>
    <row r="228" spans="1:23" s="3" customFormat="1">
      <c r="A228" s="286"/>
      <c r="B228" s="33" t="s">
        <v>416</v>
      </c>
      <c r="C228" s="25" t="s">
        <v>417</v>
      </c>
      <c r="D228" s="1"/>
      <c r="E228"/>
      <c r="F228" s="67" t="s">
        <v>238</v>
      </c>
      <c r="G228" s="2" t="s">
        <v>239</v>
      </c>
      <c r="H228" s="2" t="s">
        <v>242</v>
      </c>
      <c r="N228"/>
      <c r="O228"/>
      <c r="P228"/>
      <c r="Q228"/>
      <c r="R228"/>
      <c r="S228"/>
      <c r="T228"/>
      <c r="U228"/>
      <c r="V228"/>
      <c r="W228"/>
    </row>
    <row r="229" spans="1:23" s="3" customFormat="1">
      <c r="A229" s="287"/>
      <c r="B229" s="33" t="s">
        <v>418</v>
      </c>
      <c r="C229" s="25" t="s">
        <v>419</v>
      </c>
      <c r="D229" s="1"/>
      <c r="E229"/>
      <c r="F229" s="67" t="s">
        <v>238</v>
      </c>
      <c r="G229" s="2" t="s">
        <v>242</v>
      </c>
      <c r="H229" s="2" t="s">
        <v>239</v>
      </c>
      <c r="N229"/>
      <c r="O229"/>
      <c r="P229"/>
      <c r="Q229"/>
      <c r="R229"/>
      <c r="S229"/>
      <c r="T229"/>
      <c r="U229"/>
      <c r="V229"/>
      <c r="W229"/>
    </row>
    <row r="230" spans="1:23" s="3" customFormat="1">
      <c r="A230" s="302" t="s">
        <v>420</v>
      </c>
      <c r="B230" s="37" t="s">
        <v>421</v>
      </c>
      <c r="C230" s="25" t="s">
        <v>422</v>
      </c>
      <c r="D230" s="1"/>
      <c r="E230"/>
      <c r="F230" s="67" t="s">
        <v>153</v>
      </c>
      <c r="G230" s="2" t="s">
        <v>154</v>
      </c>
      <c r="H230" s="2" t="s">
        <v>154</v>
      </c>
      <c r="N230"/>
      <c r="O230"/>
      <c r="P230"/>
      <c r="Q230"/>
      <c r="R230"/>
      <c r="S230"/>
      <c r="T230"/>
      <c r="U230"/>
      <c r="V230"/>
      <c r="W230"/>
    </row>
    <row r="231" spans="1:23" s="3" customFormat="1" ht="42.75">
      <c r="A231" s="302"/>
      <c r="B231" s="10" t="s">
        <v>423</v>
      </c>
      <c r="C231" s="131" t="s">
        <v>1056</v>
      </c>
      <c r="D231" s="1"/>
      <c r="E231"/>
      <c r="F231" s="67" t="s">
        <v>162</v>
      </c>
      <c r="G231" s="67" t="s">
        <v>153</v>
      </c>
      <c r="H231" s="67" t="s">
        <v>162</v>
      </c>
      <c r="N231"/>
      <c r="O231"/>
      <c r="P231"/>
      <c r="Q231"/>
      <c r="R231"/>
      <c r="S231"/>
      <c r="T231"/>
      <c r="U231"/>
      <c r="V231"/>
      <c r="W231"/>
    </row>
    <row r="232" spans="1:23" s="3" customFormat="1">
      <c r="A232" s="64" t="s">
        <v>427</v>
      </c>
      <c r="B232" s="64" t="s">
        <v>427</v>
      </c>
      <c r="C232" s="25" t="s">
        <v>404</v>
      </c>
      <c r="D232" s="1"/>
      <c r="E232"/>
      <c r="F232" s="67" t="s">
        <v>405</v>
      </c>
      <c r="G232" s="67" t="s">
        <v>154</v>
      </c>
      <c r="H232" s="67" t="s">
        <v>154</v>
      </c>
      <c r="N232"/>
      <c r="O232"/>
      <c r="P232"/>
      <c r="Q232"/>
      <c r="R232"/>
      <c r="S232"/>
      <c r="T232"/>
      <c r="U232"/>
      <c r="V232"/>
      <c r="W232"/>
    </row>
    <row r="233" spans="1:23" s="3" customFormat="1">
      <c r="A233" s="7" t="s">
        <v>428</v>
      </c>
      <c r="B233" s="7" t="s">
        <v>428</v>
      </c>
      <c r="C233" s="25" t="s">
        <v>287</v>
      </c>
      <c r="D233" s="1"/>
      <c r="E233"/>
      <c r="F233" s="67" t="s">
        <v>407</v>
      </c>
      <c r="G233" s="67" t="s">
        <v>154</v>
      </c>
      <c r="H233" s="67" t="s">
        <v>154</v>
      </c>
      <c r="N233"/>
      <c r="O233"/>
      <c r="P233"/>
      <c r="Q233"/>
      <c r="R233"/>
      <c r="S233"/>
      <c r="T233"/>
      <c r="U233"/>
      <c r="V233"/>
      <c r="W233"/>
    </row>
    <row r="234" spans="1:23" s="3" customFormat="1">
      <c r="A234" s="64" t="s">
        <v>429</v>
      </c>
      <c r="B234" s="64" t="s">
        <v>429</v>
      </c>
      <c r="C234" s="25" t="s">
        <v>409</v>
      </c>
      <c r="D234" s="1"/>
      <c r="E234"/>
      <c r="F234" s="67" t="s">
        <v>405</v>
      </c>
      <c r="G234" s="67" t="s">
        <v>154</v>
      </c>
      <c r="H234" s="67" t="s">
        <v>154</v>
      </c>
      <c r="N234"/>
      <c r="O234"/>
      <c r="P234"/>
      <c r="Q234"/>
      <c r="R234"/>
      <c r="S234"/>
      <c r="T234"/>
      <c r="U234"/>
      <c r="V234"/>
      <c r="W234"/>
    </row>
    <row r="236" spans="1:23" s="3" customFormat="1">
      <c r="A236"/>
      <c r="B236"/>
      <c r="C236"/>
      <c r="D236"/>
      <c r="E236"/>
      <c r="F236" s="44" t="s">
        <v>113</v>
      </c>
      <c r="G236" s="44" t="s">
        <v>82</v>
      </c>
      <c r="H236" s="44" t="s">
        <v>412</v>
      </c>
      <c r="I236" s="44" t="s">
        <v>58</v>
      </c>
      <c r="N236"/>
      <c r="O236"/>
      <c r="P236"/>
      <c r="Q236"/>
      <c r="R236"/>
      <c r="S236"/>
      <c r="T236"/>
      <c r="U236"/>
      <c r="V236"/>
      <c r="W236"/>
    </row>
    <row r="237" spans="1:23" s="3" customFormat="1">
      <c r="A237" s="296" t="s">
        <v>430</v>
      </c>
      <c r="B237" s="33" t="s">
        <v>431</v>
      </c>
      <c r="C237" s="25" t="s">
        <v>1055</v>
      </c>
      <c r="D237" s="1"/>
      <c r="E237"/>
      <c r="F237" s="67" t="s">
        <v>238</v>
      </c>
      <c r="G237" s="2" t="s">
        <v>239</v>
      </c>
      <c r="H237" s="2" t="s">
        <v>239</v>
      </c>
      <c r="I237" s="2" t="s">
        <v>242</v>
      </c>
      <c r="N237"/>
      <c r="O237"/>
      <c r="P237"/>
      <c r="Q237"/>
      <c r="R237"/>
      <c r="S237"/>
      <c r="T237"/>
      <c r="U237"/>
      <c r="V237"/>
      <c r="W237"/>
    </row>
    <row r="238" spans="1:23" s="3" customFormat="1">
      <c r="A238" s="297"/>
      <c r="B238" s="33" t="s">
        <v>432</v>
      </c>
      <c r="C238" s="25" t="s">
        <v>397</v>
      </c>
      <c r="D238" s="1"/>
      <c r="E238"/>
      <c r="F238" s="67" t="s">
        <v>238</v>
      </c>
      <c r="G238" s="2" t="s">
        <v>239</v>
      </c>
      <c r="H238" s="2" t="s">
        <v>239</v>
      </c>
      <c r="I238" s="2" t="s">
        <v>242</v>
      </c>
      <c r="N238"/>
      <c r="O238"/>
      <c r="P238"/>
      <c r="Q238"/>
      <c r="R238"/>
      <c r="S238"/>
      <c r="T238"/>
      <c r="U238"/>
      <c r="V238"/>
      <c r="W238"/>
    </row>
    <row r="239" spans="1:23" s="3" customFormat="1">
      <c r="A239" s="302" t="s">
        <v>433</v>
      </c>
      <c r="B239" s="37" t="s">
        <v>434</v>
      </c>
      <c r="C239" s="25" t="s">
        <v>435</v>
      </c>
      <c r="D239" s="1"/>
      <c r="E239"/>
      <c r="F239" s="67" t="s">
        <v>153</v>
      </c>
      <c r="G239" s="67" t="s">
        <v>154</v>
      </c>
      <c r="H239" s="67" t="s">
        <v>154</v>
      </c>
      <c r="I239" s="67" t="s">
        <v>154</v>
      </c>
      <c r="N239"/>
      <c r="O239"/>
      <c r="P239"/>
      <c r="Q239"/>
      <c r="R239"/>
      <c r="S239"/>
      <c r="T239"/>
      <c r="U239"/>
      <c r="V239"/>
      <c r="W239"/>
    </row>
    <row r="240" spans="1:23" s="3" customFormat="1" ht="57.2">
      <c r="A240" s="302"/>
      <c r="B240" s="63" t="s">
        <v>436</v>
      </c>
      <c r="C240" s="131" t="s">
        <v>1057</v>
      </c>
      <c r="D240" s="1"/>
      <c r="E240"/>
      <c r="F240" s="67" t="s">
        <v>162</v>
      </c>
      <c r="G240" s="67" t="s">
        <v>153</v>
      </c>
      <c r="H240" s="67" t="s">
        <v>162</v>
      </c>
      <c r="I240" s="67" t="s">
        <v>162</v>
      </c>
      <c r="N240"/>
      <c r="O240"/>
      <c r="P240"/>
      <c r="Q240"/>
      <c r="R240"/>
      <c r="S240"/>
      <c r="T240"/>
      <c r="U240"/>
      <c r="V240"/>
      <c r="W240"/>
    </row>
    <row r="241" spans="1:23" s="3" customFormat="1">
      <c r="A241" s="302"/>
      <c r="B241" s="10" t="s">
        <v>1058</v>
      </c>
      <c r="C241" s="25" t="s">
        <v>400</v>
      </c>
      <c r="D241" s="1"/>
      <c r="E241"/>
      <c r="F241" s="67" t="s">
        <v>153</v>
      </c>
      <c r="G241" s="67" t="s">
        <v>154</v>
      </c>
      <c r="H241" s="67"/>
      <c r="I241" s="67"/>
      <c r="N241"/>
      <c r="O241"/>
      <c r="P241"/>
      <c r="Q241"/>
      <c r="R241"/>
      <c r="S241"/>
      <c r="T241"/>
      <c r="U241"/>
      <c r="V241"/>
      <c r="W241"/>
    </row>
    <row r="242" spans="1:23" s="3" customFormat="1">
      <c r="A242" s="302"/>
      <c r="B242" s="10" t="s">
        <v>438</v>
      </c>
      <c r="C242" s="25" t="s">
        <v>439</v>
      </c>
      <c r="D242" s="1"/>
      <c r="E242"/>
      <c r="F242" s="67"/>
      <c r="G242" s="67" t="s">
        <v>440</v>
      </c>
      <c r="H242" s="67" t="s">
        <v>440</v>
      </c>
      <c r="I242" s="67" t="s">
        <v>162</v>
      </c>
      <c r="N242"/>
      <c r="O242"/>
      <c r="P242"/>
      <c r="Q242"/>
      <c r="R242"/>
      <c r="S242"/>
      <c r="T242"/>
      <c r="U242"/>
      <c r="V242"/>
      <c r="W242"/>
    </row>
    <row r="243" spans="1:23" s="3" customFormat="1">
      <c r="A243" s="302"/>
      <c r="B243" s="10" t="s">
        <v>441</v>
      </c>
      <c r="C243" s="25" t="s">
        <v>442</v>
      </c>
      <c r="D243" s="1"/>
      <c r="E243"/>
      <c r="F243" s="67" t="s">
        <v>153</v>
      </c>
      <c r="G243" s="67"/>
      <c r="H243" s="67"/>
      <c r="I243" s="67" t="s">
        <v>154</v>
      </c>
      <c r="N243"/>
      <c r="O243"/>
      <c r="P243"/>
      <c r="Q243"/>
      <c r="R243"/>
      <c r="S243"/>
      <c r="T243"/>
      <c r="U243"/>
      <c r="V243"/>
      <c r="W243"/>
    </row>
    <row r="244" spans="1:23" s="3" customFormat="1">
      <c r="A244" s="64" t="s">
        <v>443</v>
      </c>
      <c r="B244" s="64" t="s">
        <v>443</v>
      </c>
      <c r="C244" s="25" t="s">
        <v>404</v>
      </c>
      <c r="D244" s="1"/>
      <c r="E244"/>
      <c r="F244" s="67" t="s">
        <v>405</v>
      </c>
      <c r="G244" s="67" t="s">
        <v>154</v>
      </c>
      <c r="H244" s="67" t="s">
        <v>154</v>
      </c>
      <c r="I244" s="67" t="s">
        <v>154</v>
      </c>
      <c r="N244"/>
      <c r="O244"/>
      <c r="P244"/>
      <c r="Q244"/>
      <c r="R244"/>
      <c r="S244"/>
      <c r="T244"/>
      <c r="U244"/>
      <c r="V244"/>
      <c r="W244"/>
    </row>
    <row r="245" spans="1:23" s="3" customFormat="1">
      <c r="A245" s="7" t="s">
        <v>444</v>
      </c>
      <c r="B245" s="7" t="s">
        <v>444</v>
      </c>
      <c r="C245" s="25" t="s">
        <v>287</v>
      </c>
      <c r="D245" s="1"/>
      <c r="E245"/>
      <c r="F245" s="67" t="s">
        <v>407</v>
      </c>
      <c r="G245" s="67" t="s">
        <v>154</v>
      </c>
      <c r="H245" s="67" t="s">
        <v>154</v>
      </c>
      <c r="I245" s="67" t="s">
        <v>154</v>
      </c>
      <c r="N245"/>
      <c r="O245"/>
      <c r="P245"/>
      <c r="Q245"/>
      <c r="R245"/>
      <c r="S245"/>
      <c r="T245"/>
      <c r="U245"/>
      <c r="V245"/>
      <c r="W245"/>
    </row>
    <row r="246" spans="1:23" s="3" customFormat="1">
      <c r="A246" s="64" t="s">
        <v>445</v>
      </c>
      <c r="B246" s="64" t="s">
        <v>445</v>
      </c>
      <c r="C246" s="25" t="s">
        <v>409</v>
      </c>
      <c r="D246" s="1"/>
      <c r="E246"/>
      <c r="F246" s="67" t="s">
        <v>405</v>
      </c>
      <c r="G246" s="67" t="s">
        <v>154</v>
      </c>
      <c r="H246" s="67" t="s">
        <v>154</v>
      </c>
      <c r="I246" s="67" t="s">
        <v>154</v>
      </c>
      <c r="N246"/>
      <c r="O246"/>
      <c r="P246"/>
      <c r="Q246"/>
      <c r="R246"/>
      <c r="S246"/>
      <c r="T246"/>
      <c r="U246"/>
      <c r="V246"/>
      <c r="W246"/>
    </row>
    <row r="248" spans="1:23" s="3" customFormat="1">
      <c r="A248"/>
      <c r="B248"/>
      <c r="C248"/>
      <c r="D248"/>
      <c r="E248"/>
      <c r="F248" s="44" t="s">
        <v>113</v>
      </c>
      <c r="G248" s="44" t="s">
        <v>392</v>
      </c>
      <c r="H248" s="44" t="s">
        <v>58</v>
      </c>
      <c r="N248"/>
      <c r="O248"/>
      <c r="P248"/>
      <c r="Q248"/>
      <c r="R248"/>
      <c r="S248"/>
      <c r="T248"/>
      <c r="U248"/>
      <c r="V248"/>
      <c r="W248"/>
    </row>
    <row r="249" spans="1:23" s="3" customFormat="1">
      <c r="A249" s="296" t="s">
        <v>446</v>
      </c>
      <c r="B249" s="33" t="s">
        <v>447</v>
      </c>
      <c r="C249" s="25" t="s">
        <v>1055</v>
      </c>
      <c r="D249" s="1"/>
      <c r="E249"/>
      <c r="F249" s="67" t="s">
        <v>238</v>
      </c>
      <c r="G249" s="2" t="s">
        <v>239</v>
      </c>
      <c r="H249" s="2" t="s">
        <v>242</v>
      </c>
      <c r="N249"/>
      <c r="O249"/>
      <c r="P249"/>
      <c r="Q249"/>
      <c r="R249"/>
      <c r="S249"/>
      <c r="T249"/>
      <c r="U249"/>
      <c r="V249"/>
      <c r="W249"/>
    </row>
    <row r="250" spans="1:23" s="3" customFormat="1">
      <c r="A250" s="297"/>
      <c r="B250" s="33" t="s">
        <v>448</v>
      </c>
      <c r="C250" s="25" t="s">
        <v>397</v>
      </c>
      <c r="D250" s="1"/>
      <c r="E250"/>
      <c r="F250" s="67" t="s">
        <v>238</v>
      </c>
      <c r="G250" s="2" t="s">
        <v>239</v>
      </c>
      <c r="H250" s="2" t="s">
        <v>242</v>
      </c>
      <c r="N250"/>
      <c r="O250"/>
      <c r="P250"/>
      <c r="Q250"/>
      <c r="R250"/>
      <c r="S250"/>
      <c r="T250"/>
      <c r="U250"/>
      <c r="V250"/>
      <c r="W250"/>
    </row>
    <row r="251" spans="1:23" s="3" customFormat="1">
      <c r="A251" s="285" t="s">
        <v>449</v>
      </c>
      <c r="B251" s="33" t="s">
        <v>450</v>
      </c>
      <c r="C251" s="25" t="s">
        <v>400</v>
      </c>
      <c r="D251" s="1"/>
      <c r="E251"/>
      <c r="F251" s="67" t="s">
        <v>153</v>
      </c>
      <c r="G251" s="2" t="s">
        <v>154</v>
      </c>
      <c r="H251" s="67" t="s">
        <v>154</v>
      </c>
      <c r="N251"/>
      <c r="O251"/>
      <c r="P251"/>
      <c r="Q251"/>
      <c r="R251"/>
      <c r="S251"/>
      <c r="T251"/>
      <c r="U251"/>
      <c r="V251"/>
      <c r="W251"/>
    </row>
    <row r="252" spans="1:23" s="3" customFormat="1">
      <c r="A252" s="287"/>
      <c r="B252" s="33" t="s">
        <v>451</v>
      </c>
      <c r="C252" s="25" t="s">
        <v>402</v>
      </c>
      <c r="D252" s="1"/>
      <c r="E252"/>
      <c r="F252" s="2" t="s">
        <v>154</v>
      </c>
      <c r="G252" s="67" t="s">
        <v>153</v>
      </c>
      <c r="H252" s="67" t="s">
        <v>154</v>
      </c>
      <c r="N252"/>
      <c r="O252"/>
      <c r="P252"/>
      <c r="Q252"/>
      <c r="R252"/>
      <c r="S252"/>
      <c r="T252"/>
      <c r="U252"/>
      <c r="V252"/>
      <c r="W252"/>
    </row>
    <row r="254" spans="1:23" s="3" customFormat="1">
      <c r="A254"/>
      <c r="B254"/>
      <c r="C254"/>
      <c r="D254"/>
      <c r="E254"/>
      <c r="F254" s="44" t="s">
        <v>82</v>
      </c>
      <c r="G254" s="44" t="s">
        <v>412</v>
      </c>
      <c r="N254"/>
      <c r="O254"/>
      <c r="P254"/>
      <c r="Q254"/>
      <c r="R254"/>
      <c r="S254"/>
      <c r="T254"/>
      <c r="U254"/>
      <c r="V254"/>
      <c r="W254"/>
    </row>
    <row r="255" spans="1:23" s="3" customFormat="1">
      <c r="A255" s="296" t="s">
        <v>452</v>
      </c>
      <c r="B255" s="33" t="s">
        <v>453</v>
      </c>
      <c r="C255" s="25" t="s">
        <v>454</v>
      </c>
      <c r="D255" s="1"/>
      <c r="E255"/>
      <c r="F255" s="2" t="s">
        <v>238</v>
      </c>
      <c r="G255" s="2" t="s">
        <v>239</v>
      </c>
      <c r="N255"/>
      <c r="O255"/>
      <c r="P255"/>
      <c r="Q255"/>
      <c r="R255"/>
      <c r="S255"/>
      <c r="T255"/>
      <c r="U255"/>
      <c r="V255"/>
      <c r="W255"/>
    </row>
    <row r="256" spans="1:23" s="3" customFormat="1">
      <c r="A256" s="297"/>
      <c r="B256" s="33" t="s">
        <v>455</v>
      </c>
      <c r="C256" s="25" t="s">
        <v>456</v>
      </c>
      <c r="D256" s="1"/>
      <c r="E256"/>
      <c r="F256" s="2" t="s">
        <v>239</v>
      </c>
      <c r="G256" s="2" t="s">
        <v>238</v>
      </c>
      <c r="N256"/>
      <c r="O256"/>
      <c r="P256"/>
      <c r="Q256"/>
      <c r="R256"/>
      <c r="S256"/>
      <c r="T256"/>
      <c r="U256"/>
      <c r="V256"/>
      <c r="W256"/>
    </row>
    <row r="257" spans="1:23" s="3" customFormat="1">
      <c r="A257" s="285" t="s">
        <v>457</v>
      </c>
      <c r="B257" s="37" t="s">
        <v>458</v>
      </c>
      <c r="C257" s="25" t="s">
        <v>459</v>
      </c>
      <c r="D257" s="1"/>
      <c r="E257"/>
      <c r="F257" s="2" t="s">
        <v>154</v>
      </c>
      <c r="G257" s="67" t="s">
        <v>153</v>
      </c>
      <c r="N257"/>
      <c r="O257"/>
      <c r="P257"/>
      <c r="Q257"/>
      <c r="R257"/>
      <c r="S257"/>
      <c r="T257"/>
      <c r="U257"/>
      <c r="V257"/>
      <c r="W257"/>
    </row>
    <row r="258" spans="1:23" s="3" customFormat="1">
      <c r="A258" s="287"/>
      <c r="B258" s="10" t="s">
        <v>460</v>
      </c>
      <c r="C258" s="25" t="s">
        <v>461</v>
      </c>
      <c r="D258" s="1"/>
      <c r="E258"/>
      <c r="F258" s="25" t="s">
        <v>153</v>
      </c>
      <c r="G258" s="2" t="s">
        <v>154</v>
      </c>
      <c r="N258"/>
      <c r="O258"/>
      <c r="P258"/>
      <c r="Q258"/>
      <c r="R258"/>
      <c r="S258"/>
      <c r="T258"/>
      <c r="U258"/>
      <c r="V258"/>
      <c r="W258"/>
    </row>
    <row r="260" spans="1:23" s="3" customFormat="1">
      <c r="A260"/>
      <c r="B260"/>
      <c r="C260"/>
      <c r="D260"/>
      <c r="E260"/>
      <c r="F260" s="44" t="s">
        <v>113</v>
      </c>
      <c r="G260" s="44" t="s">
        <v>412</v>
      </c>
      <c r="N260"/>
      <c r="O260"/>
      <c r="P260"/>
      <c r="Q260"/>
      <c r="R260"/>
      <c r="S260"/>
      <c r="T260"/>
      <c r="U260"/>
      <c r="V260"/>
      <c r="W260"/>
    </row>
    <row r="261" spans="1:23" s="3" customFormat="1">
      <c r="A261" s="296" t="s">
        <v>462</v>
      </c>
      <c r="B261" s="33" t="s">
        <v>463</v>
      </c>
      <c r="C261" s="25" t="s">
        <v>464</v>
      </c>
      <c r="D261" s="1"/>
      <c r="E261"/>
      <c r="F261" s="2" t="s">
        <v>238</v>
      </c>
      <c r="G261" s="2" t="s">
        <v>239</v>
      </c>
      <c r="N261"/>
      <c r="O261"/>
      <c r="P261"/>
      <c r="Q261"/>
      <c r="R261"/>
      <c r="S261"/>
      <c r="T261"/>
      <c r="U261"/>
      <c r="V261"/>
      <c r="W261"/>
    </row>
    <row r="262" spans="1:23" s="3" customFormat="1">
      <c r="A262" s="297"/>
      <c r="B262" s="33" t="s">
        <v>465</v>
      </c>
      <c r="C262" s="25" t="s">
        <v>456</v>
      </c>
      <c r="D262" s="1"/>
      <c r="E262"/>
      <c r="F262" s="2" t="s">
        <v>239</v>
      </c>
      <c r="G262" s="2" t="s">
        <v>238</v>
      </c>
      <c r="N262"/>
      <c r="O262"/>
      <c r="P262"/>
      <c r="Q262"/>
      <c r="R262"/>
      <c r="S262"/>
      <c r="T262"/>
      <c r="U262"/>
      <c r="V262"/>
      <c r="W262"/>
    </row>
    <row r="263" spans="1:23" s="3" customFormat="1">
      <c r="A263" s="285" t="s">
        <v>466</v>
      </c>
      <c r="B263" s="37" t="s">
        <v>467</v>
      </c>
      <c r="C263" s="25" t="s">
        <v>468</v>
      </c>
      <c r="D263" s="1"/>
      <c r="E263"/>
      <c r="F263" s="2" t="s">
        <v>154</v>
      </c>
      <c r="G263" s="67" t="s">
        <v>153</v>
      </c>
      <c r="N263"/>
      <c r="O263"/>
      <c r="P263"/>
      <c r="Q263"/>
      <c r="R263"/>
      <c r="S263"/>
      <c r="T263"/>
      <c r="U263"/>
      <c r="V263"/>
      <c r="W263"/>
    </row>
    <row r="264" spans="1:23" s="3" customFormat="1">
      <c r="A264" s="287"/>
      <c r="B264" s="10" t="s">
        <v>469</v>
      </c>
      <c r="C264" s="25" t="s">
        <v>470</v>
      </c>
      <c r="D264" s="1"/>
      <c r="E264"/>
      <c r="F264" s="25" t="s">
        <v>153</v>
      </c>
      <c r="G264" s="2" t="s">
        <v>154</v>
      </c>
      <c r="N264"/>
      <c r="O264"/>
      <c r="P264"/>
      <c r="Q264"/>
      <c r="R264"/>
      <c r="S264"/>
      <c r="T264"/>
      <c r="U264"/>
      <c r="V264"/>
      <c r="W264"/>
    </row>
    <row r="266" spans="1:23" s="3" customFormat="1">
      <c r="A266"/>
      <c r="B266"/>
      <c r="C266"/>
      <c r="D266"/>
      <c r="E266"/>
      <c r="F266" s="44" t="s">
        <v>113</v>
      </c>
      <c r="G266" s="44" t="s">
        <v>82</v>
      </c>
      <c r="N266"/>
      <c r="O266"/>
      <c r="P266"/>
      <c r="Q266"/>
      <c r="R266"/>
      <c r="S266"/>
      <c r="T266"/>
      <c r="U266"/>
      <c r="V266"/>
      <c r="W266"/>
    </row>
    <row r="267" spans="1:23" s="3" customFormat="1">
      <c r="A267" s="296" t="s">
        <v>471</v>
      </c>
      <c r="B267" s="33" t="s">
        <v>472</v>
      </c>
      <c r="C267" s="25" t="s">
        <v>464</v>
      </c>
      <c r="D267" s="1"/>
      <c r="E267"/>
      <c r="F267" s="2" t="s">
        <v>238</v>
      </c>
      <c r="G267" s="2" t="s">
        <v>239</v>
      </c>
      <c r="N267"/>
      <c r="O267"/>
      <c r="P267"/>
      <c r="Q267"/>
      <c r="R267"/>
      <c r="S267"/>
      <c r="T267"/>
      <c r="U267"/>
      <c r="V267"/>
      <c r="W267"/>
    </row>
    <row r="268" spans="1:23" s="3" customFormat="1">
      <c r="A268" s="297"/>
      <c r="B268" s="33" t="s">
        <v>473</v>
      </c>
      <c r="C268" s="25" t="s">
        <v>454</v>
      </c>
      <c r="D268" s="1"/>
      <c r="E268"/>
      <c r="F268" s="2" t="s">
        <v>239</v>
      </c>
      <c r="G268" s="2" t="s">
        <v>238</v>
      </c>
      <c r="N268"/>
      <c r="O268"/>
      <c r="P268"/>
      <c r="Q268"/>
      <c r="R268"/>
      <c r="S268"/>
      <c r="T268"/>
      <c r="U268"/>
      <c r="V268"/>
      <c r="W268"/>
    </row>
    <row r="269" spans="1:23" s="3" customFormat="1">
      <c r="A269" s="285" t="s">
        <v>474</v>
      </c>
      <c r="B269" s="37" t="s">
        <v>401</v>
      </c>
      <c r="C269" s="25" t="s">
        <v>402</v>
      </c>
      <c r="D269" s="1"/>
      <c r="E269"/>
      <c r="F269" s="2" t="s">
        <v>154</v>
      </c>
      <c r="G269" s="67" t="s">
        <v>153</v>
      </c>
      <c r="N269"/>
      <c r="O269"/>
      <c r="P269"/>
      <c r="Q269"/>
      <c r="R269"/>
      <c r="S269"/>
      <c r="T269"/>
      <c r="U269"/>
      <c r="V269"/>
      <c r="W269"/>
    </row>
    <row r="270" spans="1:23" s="3" customFormat="1">
      <c r="A270" s="287"/>
      <c r="B270" s="10" t="s">
        <v>475</v>
      </c>
      <c r="C270" s="25" t="s">
        <v>476</v>
      </c>
      <c r="D270" s="1"/>
      <c r="E270"/>
      <c r="F270" s="25" t="s">
        <v>153</v>
      </c>
      <c r="G270" s="2" t="s">
        <v>154</v>
      </c>
      <c r="N270"/>
      <c r="O270"/>
      <c r="P270"/>
      <c r="Q270"/>
      <c r="R270"/>
      <c r="S270"/>
      <c r="T270"/>
      <c r="U270"/>
      <c r="V270"/>
      <c r="W270"/>
    </row>
    <row r="272" spans="1:23" s="3" customFormat="1">
      <c r="A272"/>
      <c r="B272"/>
      <c r="C272"/>
      <c r="E272"/>
      <c r="F272" s="43" t="s">
        <v>478</v>
      </c>
      <c r="G272" s="44" t="s">
        <v>479</v>
      </c>
      <c r="H272" s="44" t="s">
        <v>480</v>
      </c>
      <c r="I272" s="44" t="s">
        <v>481</v>
      </c>
      <c r="N272"/>
      <c r="O272"/>
      <c r="P272"/>
      <c r="Q272"/>
      <c r="R272"/>
      <c r="S272"/>
      <c r="T272"/>
      <c r="U272"/>
      <c r="V272"/>
      <c r="W272"/>
    </row>
    <row r="273" spans="1:23" s="3" customFormat="1">
      <c r="A273" s="37" t="s">
        <v>482</v>
      </c>
      <c r="B273" s="37" t="s">
        <v>482</v>
      </c>
      <c r="C273" s="17" t="s">
        <v>312</v>
      </c>
      <c r="D273" s="17" t="s">
        <v>483</v>
      </c>
      <c r="E273"/>
      <c r="F273" s="2" t="s">
        <v>484</v>
      </c>
      <c r="G273" s="2" t="s">
        <v>485</v>
      </c>
      <c r="H273" s="2" t="s">
        <v>486</v>
      </c>
      <c r="I273" s="2" t="s">
        <v>162</v>
      </c>
      <c r="N273"/>
      <c r="O273"/>
      <c r="P273"/>
      <c r="Q273"/>
      <c r="R273"/>
      <c r="S273"/>
      <c r="T273"/>
      <c r="U273"/>
      <c r="V273"/>
      <c r="W273"/>
    </row>
    <row r="275" spans="1:23" s="3" customFormat="1">
      <c r="A275"/>
      <c r="B275"/>
      <c r="C275"/>
      <c r="E275"/>
      <c r="F275" s="44" t="s">
        <v>487</v>
      </c>
      <c r="G275" s="44" t="s">
        <v>488</v>
      </c>
      <c r="N275"/>
      <c r="O275"/>
      <c r="P275"/>
      <c r="Q275"/>
      <c r="R275"/>
      <c r="S275"/>
      <c r="T275"/>
      <c r="U275"/>
      <c r="V275"/>
      <c r="W275"/>
    </row>
    <row r="276" spans="1:23" s="3" customFormat="1">
      <c r="A276" s="37" t="s">
        <v>489</v>
      </c>
      <c r="B276" s="37" t="s">
        <v>489</v>
      </c>
      <c r="C276" s="17" t="s">
        <v>490</v>
      </c>
      <c r="D276" s="17" t="s">
        <v>491</v>
      </c>
      <c r="E276"/>
      <c r="F276" s="2" t="s">
        <v>492</v>
      </c>
      <c r="G276" s="2" t="s">
        <v>154</v>
      </c>
      <c r="N276"/>
      <c r="O276"/>
      <c r="P276"/>
      <c r="Q276"/>
      <c r="R276"/>
      <c r="S276"/>
      <c r="T276"/>
      <c r="U276"/>
      <c r="V276"/>
      <c r="W276"/>
    </row>
    <row r="277" spans="1:23" s="3" customFormat="1">
      <c r="A277" s="37" t="s">
        <v>493</v>
      </c>
      <c r="B277" s="37" t="s">
        <v>493</v>
      </c>
      <c r="C277" s="17" t="s">
        <v>152</v>
      </c>
      <c r="D277" s="17" t="s">
        <v>494</v>
      </c>
      <c r="E277"/>
      <c r="F277" s="2" t="s">
        <v>153</v>
      </c>
      <c r="G277" s="2" t="s">
        <v>154</v>
      </c>
      <c r="N277"/>
      <c r="O277"/>
      <c r="P277"/>
      <c r="Q277"/>
      <c r="R277"/>
      <c r="S277"/>
      <c r="T277"/>
      <c r="U277"/>
      <c r="V277"/>
      <c r="W277"/>
    </row>
    <row r="278" spans="1:23" s="3" customFormat="1">
      <c r="A278" s="37" t="s">
        <v>495</v>
      </c>
      <c r="B278" s="37" t="s">
        <v>495</v>
      </c>
      <c r="C278" s="17" t="s">
        <v>496</v>
      </c>
      <c r="D278" s="17" t="s">
        <v>494</v>
      </c>
      <c r="E278"/>
      <c r="F278" s="2" t="s">
        <v>497</v>
      </c>
      <c r="G278" s="2" t="s">
        <v>239</v>
      </c>
      <c r="N278"/>
      <c r="O278"/>
      <c r="P278"/>
      <c r="Q278"/>
      <c r="R278"/>
      <c r="S278"/>
      <c r="T278"/>
      <c r="U278"/>
      <c r="V278"/>
      <c r="W278"/>
    </row>
    <row r="279" spans="1:23" s="3" customFormat="1">
      <c r="A279" s="37" t="s">
        <v>498</v>
      </c>
      <c r="B279" s="37" t="s">
        <v>498</v>
      </c>
      <c r="C279" s="17" t="s">
        <v>499</v>
      </c>
      <c r="D279" s="17" t="s">
        <v>500</v>
      </c>
      <c r="E279"/>
      <c r="F279" s="2" t="s">
        <v>193</v>
      </c>
      <c r="G279" s="40" t="s">
        <v>162</v>
      </c>
      <c r="N279"/>
      <c r="O279"/>
      <c r="P279"/>
      <c r="Q279"/>
      <c r="R279"/>
      <c r="S279"/>
      <c r="T279"/>
      <c r="U279"/>
      <c r="V279"/>
      <c r="W279"/>
    </row>
    <row r="281" spans="1:23" s="3" customFormat="1">
      <c r="A281"/>
      <c r="B281"/>
      <c r="C281"/>
      <c r="E281"/>
      <c r="F281" s="44" t="s">
        <v>501</v>
      </c>
      <c r="G281" s="44" t="s">
        <v>502</v>
      </c>
      <c r="H281" s="44" t="s">
        <v>503</v>
      </c>
      <c r="N281"/>
      <c r="O281"/>
      <c r="P281"/>
      <c r="Q281"/>
      <c r="R281"/>
      <c r="S281"/>
      <c r="T281"/>
      <c r="U281"/>
      <c r="V281"/>
      <c r="W281"/>
    </row>
    <row r="282" spans="1:23" s="3" customFormat="1">
      <c r="A282" s="37" t="s">
        <v>504</v>
      </c>
      <c r="B282" s="37" t="s">
        <v>504</v>
      </c>
      <c r="C282" s="17" t="s">
        <v>499</v>
      </c>
      <c r="D282" s="17" t="s">
        <v>500</v>
      </c>
      <c r="E282"/>
      <c r="F282" s="40" t="s">
        <v>193</v>
      </c>
      <c r="G282" s="40" t="s">
        <v>162</v>
      </c>
      <c r="H282" s="40" t="s">
        <v>162</v>
      </c>
      <c r="N282"/>
      <c r="O282"/>
      <c r="P282"/>
      <c r="Q282"/>
      <c r="R282"/>
      <c r="S282"/>
      <c r="T282"/>
      <c r="U282"/>
      <c r="V282"/>
      <c r="W282"/>
    </row>
    <row r="283" spans="1:23" s="3" customFormat="1">
      <c r="A283" s="299" t="s">
        <v>505</v>
      </c>
      <c r="B283" s="296" t="s">
        <v>505</v>
      </c>
      <c r="C283" s="41" t="s">
        <v>506</v>
      </c>
      <c r="D283" s="17"/>
      <c r="E283"/>
      <c r="F283" s="42"/>
      <c r="G283" s="42" t="s">
        <v>154</v>
      </c>
      <c r="H283" s="42" t="s">
        <v>507</v>
      </c>
      <c r="N283"/>
      <c r="O283"/>
      <c r="P283"/>
      <c r="Q283"/>
      <c r="R283"/>
      <c r="S283"/>
      <c r="T283"/>
      <c r="U283"/>
      <c r="V283"/>
      <c r="W283"/>
    </row>
    <row r="284" spans="1:23">
      <c r="A284" s="300"/>
      <c r="B284" s="297"/>
      <c r="C284" s="41" t="s">
        <v>508</v>
      </c>
      <c r="D284" s="17"/>
      <c r="F284" s="42" t="s">
        <v>509</v>
      </c>
      <c r="G284" s="42" t="s">
        <v>154</v>
      </c>
      <c r="H284" s="42" t="s">
        <v>154</v>
      </c>
    </row>
    <row r="285" spans="1:23">
      <c r="A285" s="284" t="s">
        <v>510</v>
      </c>
      <c r="B285" s="284" t="s">
        <v>510</v>
      </c>
      <c r="C285" s="17" t="s">
        <v>511</v>
      </c>
      <c r="D285" s="17"/>
      <c r="F285" s="42" t="s">
        <v>512</v>
      </c>
      <c r="G285" s="42" t="s">
        <v>162</v>
      </c>
      <c r="H285" s="42" t="s">
        <v>162</v>
      </c>
    </row>
    <row r="286" spans="1:23">
      <c r="A286" s="284"/>
      <c r="B286" s="284"/>
      <c r="C286" s="17" t="s">
        <v>513</v>
      </c>
      <c r="D286" s="17"/>
      <c r="F286" s="42" t="s">
        <v>514</v>
      </c>
      <c r="G286" s="42" t="s">
        <v>162</v>
      </c>
      <c r="H286" s="42" t="s">
        <v>162</v>
      </c>
    </row>
    <row r="287" spans="1:23">
      <c r="A287" s="284"/>
      <c r="B287" s="284"/>
      <c r="C287" s="17" t="s">
        <v>515</v>
      </c>
      <c r="D287" s="17"/>
      <c r="F287" s="42" t="s">
        <v>516</v>
      </c>
      <c r="G287" s="42" t="s">
        <v>162</v>
      </c>
      <c r="H287" s="42" t="s">
        <v>162</v>
      </c>
    </row>
    <row r="288" spans="1:23">
      <c r="A288" s="284"/>
      <c r="B288" s="284"/>
      <c r="C288" s="17" t="s">
        <v>517</v>
      </c>
      <c r="D288" s="17"/>
      <c r="F288" s="42" t="s">
        <v>518</v>
      </c>
      <c r="G288" s="42" t="s">
        <v>162</v>
      </c>
      <c r="H288" s="42" t="s">
        <v>162</v>
      </c>
    </row>
    <row r="289" spans="1:18">
      <c r="A289" s="284"/>
      <c r="B289" s="284"/>
      <c r="C289" s="17" t="s">
        <v>519</v>
      </c>
      <c r="D289" s="17"/>
      <c r="F289" s="42" t="s">
        <v>520</v>
      </c>
      <c r="G289" s="42" t="s">
        <v>162</v>
      </c>
      <c r="H289" s="42" t="s">
        <v>162</v>
      </c>
    </row>
    <row r="290" spans="1:18">
      <c r="A290" s="284"/>
      <c r="B290" s="284"/>
      <c r="C290" s="17" t="s">
        <v>521</v>
      </c>
      <c r="D290" s="17"/>
      <c r="F290" s="42" t="s">
        <v>522</v>
      </c>
      <c r="G290" s="42" t="s">
        <v>162</v>
      </c>
      <c r="H290" s="42" t="s">
        <v>162</v>
      </c>
    </row>
    <row r="291" spans="1:18" ht="28.5">
      <c r="A291" s="10" t="s">
        <v>1059</v>
      </c>
      <c r="B291" s="10" t="s">
        <v>1059</v>
      </c>
      <c r="C291" s="41" t="s">
        <v>1060</v>
      </c>
    </row>
    <row r="293" spans="1:18">
      <c r="D293" s="14"/>
      <c r="E293" s="4"/>
      <c r="F293" s="23" t="s">
        <v>83</v>
      </c>
      <c r="G293" s="23" t="s">
        <v>82</v>
      </c>
      <c r="H293" s="23" t="s">
        <v>84</v>
      </c>
      <c r="I293" s="23" t="s">
        <v>79</v>
      </c>
      <c r="J293" s="23" t="s">
        <v>78</v>
      </c>
      <c r="K293" s="23" t="s">
        <v>75</v>
      </c>
      <c r="L293"/>
      <c r="M293"/>
      <c r="R293" s="4"/>
    </row>
    <row r="294" spans="1:18">
      <c r="A294" s="37" t="s">
        <v>523</v>
      </c>
      <c r="B294" s="37" t="s">
        <v>523</v>
      </c>
      <c r="C294" s="17"/>
      <c r="D294" s="36"/>
      <c r="F294" s="2" t="s">
        <v>524</v>
      </c>
      <c r="G294" s="2" t="s">
        <v>524</v>
      </c>
      <c r="H294" s="2" t="s">
        <v>524</v>
      </c>
      <c r="I294" s="2" t="s">
        <v>524</v>
      </c>
      <c r="J294" s="39" t="s">
        <v>524</v>
      </c>
      <c r="K294" s="2" t="s">
        <v>524</v>
      </c>
      <c r="L294"/>
      <c r="M294"/>
    </row>
    <row r="296" spans="1:18">
      <c r="D296" s="28"/>
      <c r="F296" s="44" t="s">
        <v>10</v>
      </c>
      <c r="G296" s="44" t="s">
        <v>9</v>
      </c>
      <c r="H296" s="44" t="s">
        <v>525</v>
      </c>
      <c r="I296" s="44" t="s">
        <v>526</v>
      </c>
    </row>
    <row r="297" spans="1:18">
      <c r="A297" s="37" t="s">
        <v>527</v>
      </c>
      <c r="B297" s="37" t="s">
        <v>527</v>
      </c>
      <c r="C297" s="17" t="s">
        <v>152</v>
      </c>
      <c r="D297" s="36"/>
      <c r="F297" s="2" t="s">
        <v>153</v>
      </c>
      <c r="G297" s="2" t="s">
        <v>154</v>
      </c>
      <c r="H297" s="2" t="s">
        <v>154</v>
      </c>
    </row>
    <row r="299" spans="1:18">
      <c r="F299" s="44" t="s">
        <v>501</v>
      </c>
      <c r="G299" s="44" t="s">
        <v>502</v>
      </c>
    </row>
    <row r="300" spans="1:18">
      <c r="A300" s="37" t="s">
        <v>528</v>
      </c>
      <c r="B300" s="37" t="s">
        <v>528</v>
      </c>
      <c r="C300" s="17" t="s">
        <v>499</v>
      </c>
      <c r="D300" s="17"/>
      <c r="F300" s="40" t="s">
        <v>193</v>
      </c>
      <c r="G300" s="40" t="s">
        <v>162</v>
      </c>
    </row>
    <row r="301" spans="1:18">
      <c r="A301" s="10" t="s">
        <v>529</v>
      </c>
      <c r="B301" s="10" t="s">
        <v>529</v>
      </c>
      <c r="C301" s="41" t="s">
        <v>508</v>
      </c>
      <c r="D301" s="17"/>
      <c r="F301" s="42" t="s">
        <v>509</v>
      </c>
      <c r="G301" s="42" t="s">
        <v>154</v>
      </c>
    </row>
    <row r="302" spans="1:18">
      <c r="A302" s="284" t="s">
        <v>530</v>
      </c>
      <c r="B302" s="284" t="s">
        <v>530</v>
      </c>
      <c r="C302" s="17" t="s">
        <v>531</v>
      </c>
      <c r="D302" s="17"/>
      <c r="F302" s="42" t="s">
        <v>512</v>
      </c>
      <c r="G302" s="42" t="s">
        <v>162</v>
      </c>
    </row>
    <row r="303" spans="1:18">
      <c r="A303" s="284"/>
      <c r="B303" s="284"/>
      <c r="C303" s="17" t="s">
        <v>532</v>
      </c>
      <c r="D303" s="17"/>
      <c r="F303" s="42" t="s">
        <v>514</v>
      </c>
      <c r="G303" s="42" t="s">
        <v>162</v>
      </c>
    </row>
    <row r="304" spans="1:18">
      <c r="A304" s="284"/>
      <c r="B304" s="284"/>
      <c r="C304" s="17" t="s">
        <v>533</v>
      </c>
      <c r="D304" s="17"/>
      <c r="F304" s="42" t="s">
        <v>516</v>
      </c>
      <c r="G304" s="42" t="s">
        <v>162</v>
      </c>
    </row>
    <row r="305" spans="1:13">
      <c r="A305" s="284"/>
      <c r="B305" s="284"/>
      <c r="C305" s="17" t="s">
        <v>534</v>
      </c>
      <c r="D305" s="17"/>
      <c r="F305" s="42" t="s">
        <v>518</v>
      </c>
      <c r="G305" s="42" t="s">
        <v>162</v>
      </c>
    </row>
    <row r="306" spans="1:13">
      <c r="A306" s="284"/>
      <c r="B306" s="284"/>
      <c r="C306" s="17" t="s">
        <v>535</v>
      </c>
      <c r="D306" s="17"/>
      <c r="F306" s="42" t="s">
        <v>520</v>
      </c>
      <c r="G306" s="42" t="s">
        <v>162</v>
      </c>
    </row>
    <row r="307" spans="1:13">
      <c r="A307" s="284"/>
      <c r="B307" s="284"/>
      <c r="C307" s="17" t="s">
        <v>536</v>
      </c>
      <c r="D307" s="17"/>
      <c r="F307" s="42" t="s">
        <v>522</v>
      </c>
      <c r="G307" s="42" t="s">
        <v>162</v>
      </c>
    </row>
    <row r="309" spans="1:13">
      <c r="D309" s="28"/>
      <c r="F309" s="44" t="s">
        <v>10</v>
      </c>
      <c r="G309" s="44" t="s">
        <v>9</v>
      </c>
      <c r="H309" s="44" t="s">
        <v>525</v>
      </c>
      <c r="I309" s="44" t="s">
        <v>526</v>
      </c>
    </row>
    <row r="310" spans="1:13">
      <c r="A310" s="37" t="s">
        <v>537</v>
      </c>
      <c r="B310" s="37" t="s">
        <v>537</v>
      </c>
      <c r="C310" s="17" t="s">
        <v>152</v>
      </c>
      <c r="D310" s="36"/>
      <c r="H310" s="2" t="s">
        <v>153</v>
      </c>
      <c r="I310" s="2" t="s">
        <v>154</v>
      </c>
    </row>
    <row r="312" spans="1:13">
      <c r="F312" s="44" t="s">
        <v>1061</v>
      </c>
      <c r="G312" s="44" t="s">
        <v>1062</v>
      </c>
      <c r="H312" s="44" t="s">
        <v>1063</v>
      </c>
      <c r="I312" s="44" t="s">
        <v>1064</v>
      </c>
      <c r="J312" s="44" t="s">
        <v>1065</v>
      </c>
    </row>
    <row r="313" spans="1:13">
      <c r="A313" s="37" t="s">
        <v>1066</v>
      </c>
      <c r="B313" s="37" t="s">
        <v>1066</v>
      </c>
      <c r="C313" s="17" t="s">
        <v>1067</v>
      </c>
      <c r="D313" s="17" t="s">
        <v>1068</v>
      </c>
      <c r="F313" s="2" t="s">
        <v>1069</v>
      </c>
      <c r="G313" s="2" t="s">
        <v>154</v>
      </c>
      <c r="H313" s="2" t="s">
        <v>1069</v>
      </c>
      <c r="I313" s="2" t="s">
        <v>1070</v>
      </c>
      <c r="J313" s="2" t="s">
        <v>1071</v>
      </c>
    </row>
    <row r="314" spans="1:13">
      <c r="A314" s="37" t="s">
        <v>1072</v>
      </c>
      <c r="B314" s="37" t="s">
        <v>1072</v>
      </c>
      <c r="C314" s="17" t="s">
        <v>1073</v>
      </c>
      <c r="D314" s="17" t="s">
        <v>1068</v>
      </c>
      <c r="F314" s="2" t="s">
        <v>1069</v>
      </c>
      <c r="G314" s="2" t="s">
        <v>154</v>
      </c>
      <c r="H314" s="2" t="s">
        <v>1069</v>
      </c>
      <c r="I314" s="2" t="s">
        <v>1070</v>
      </c>
      <c r="J314" s="2" t="s">
        <v>1074</v>
      </c>
    </row>
    <row r="315" spans="1:13">
      <c r="A315" s="37" t="s">
        <v>1075</v>
      </c>
      <c r="B315" s="37" t="s">
        <v>1075</v>
      </c>
      <c r="C315" s="17" t="s">
        <v>1076</v>
      </c>
      <c r="D315" s="17" t="s">
        <v>1068</v>
      </c>
      <c r="F315" s="2" t="s">
        <v>1069</v>
      </c>
      <c r="G315" s="2" t="s">
        <v>154</v>
      </c>
      <c r="H315" s="2" t="s">
        <v>1069</v>
      </c>
      <c r="I315" s="2" t="s">
        <v>1070</v>
      </c>
      <c r="J315" s="2" t="s">
        <v>1077</v>
      </c>
    </row>
    <row r="317" spans="1:13">
      <c r="F317" s="44" t="s">
        <v>82</v>
      </c>
      <c r="G317" s="44" t="s">
        <v>76</v>
      </c>
      <c r="H317" s="44" t="s">
        <v>84</v>
      </c>
      <c r="I317" s="44" t="s">
        <v>77</v>
      </c>
      <c r="J317" s="44" t="s">
        <v>78</v>
      </c>
      <c r="K317" s="44" t="s">
        <v>79</v>
      </c>
      <c r="L317" s="44" t="s">
        <v>83</v>
      </c>
      <c r="M317" s="44" t="s">
        <v>75</v>
      </c>
    </row>
    <row r="318" spans="1:13" ht="85.7">
      <c r="A318" s="10" t="s">
        <v>1078</v>
      </c>
      <c r="B318" s="10" t="s">
        <v>1078</v>
      </c>
      <c r="C318" s="41" t="s">
        <v>1079</v>
      </c>
      <c r="D318" s="133" t="s">
        <v>1080</v>
      </c>
      <c r="F318" s="67" t="s">
        <v>1069</v>
      </c>
      <c r="G318" s="67" t="s">
        <v>1081</v>
      </c>
      <c r="H318" s="67" t="s">
        <v>1069</v>
      </c>
      <c r="I318" s="67" t="s">
        <v>1069</v>
      </c>
      <c r="J318" s="67" t="s">
        <v>1069</v>
      </c>
      <c r="K318" s="67" t="s">
        <v>154</v>
      </c>
      <c r="L318" s="67" t="s">
        <v>1071</v>
      </c>
      <c r="M318" s="67" t="s">
        <v>1071</v>
      </c>
    </row>
    <row r="319" spans="1:13" ht="85.7">
      <c r="A319" s="10" t="s">
        <v>1082</v>
      </c>
      <c r="B319" s="10" t="s">
        <v>1082</v>
      </c>
      <c r="C319" s="41" t="s">
        <v>1083</v>
      </c>
      <c r="D319" s="133" t="s">
        <v>1080</v>
      </c>
      <c r="F319" s="67" t="s">
        <v>1069</v>
      </c>
      <c r="G319" s="67" t="s">
        <v>1081</v>
      </c>
      <c r="H319" s="67" t="s">
        <v>1069</v>
      </c>
      <c r="I319" s="67" t="s">
        <v>1069</v>
      </c>
      <c r="J319" s="67" t="s">
        <v>1069</v>
      </c>
      <c r="K319" s="67" t="s">
        <v>154</v>
      </c>
      <c r="L319" s="67" t="s">
        <v>1074</v>
      </c>
      <c r="M319" s="67" t="s">
        <v>1074</v>
      </c>
    </row>
    <row r="320" spans="1:13" ht="85.7">
      <c r="A320" s="10" t="s">
        <v>1084</v>
      </c>
      <c r="B320" s="10" t="s">
        <v>1084</v>
      </c>
      <c r="C320" s="41" t="s">
        <v>1085</v>
      </c>
      <c r="D320" s="133" t="s">
        <v>1080</v>
      </c>
      <c r="F320" s="67" t="s">
        <v>1069</v>
      </c>
      <c r="G320" s="67" t="s">
        <v>1081</v>
      </c>
      <c r="H320" s="67" t="s">
        <v>1069</v>
      </c>
      <c r="I320" s="67" t="s">
        <v>1069</v>
      </c>
      <c r="J320" s="67" t="s">
        <v>1069</v>
      </c>
      <c r="K320" s="67" t="s">
        <v>154</v>
      </c>
      <c r="L320" s="67" t="s">
        <v>1077</v>
      </c>
      <c r="M320" s="67" t="s">
        <v>1077</v>
      </c>
    </row>
    <row r="322" spans="1:23" s="3" customFormat="1">
      <c r="A322"/>
      <c r="B322"/>
      <c r="C322"/>
      <c r="D322"/>
      <c r="E322" s="4"/>
      <c r="F322" s="23" t="s">
        <v>82</v>
      </c>
      <c r="G322" s="23" t="s">
        <v>79</v>
      </c>
      <c r="H322" s="23" t="s">
        <v>113</v>
      </c>
      <c r="N322"/>
      <c r="O322"/>
      <c r="P322"/>
      <c r="Q322"/>
      <c r="R322"/>
      <c r="S322"/>
      <c r="T322"/>
      <c r="U322"/>
      <c r="V322"/>
      <c r="W322"/>
    </row>
    <row r="323" spans="1:23" s="3" customFormat="1">
      <c r="A323" s="7" t="s">
        <v>1086</v>
      </c>
      <c r="B323" s="7" t="s">
        <v>1086</v>
      </c>
      <c r="C323" s="25" t="s">
        <v>1087</v>
      </c>
      <c r="D323" s="1"/>
      <c r="E323" s="6"/>
      <c r="F323" s="67" t="s">
        <v>153</v>
      </c>
      <c r="G323" s="67" t="s">
        <v>154</v>
      </c>
      <c r="H323" s="67" t="s">
        <v>154</v>
      </c>
      <c r="N323"/>
      <c r="O323"/>
      <c r="P323"/>
      <c r="Q323"/>
      <c r="R323"/>
      <c r="S323"/>
      <c r="T323"/>
      <c r="U323"/>
      <c r="V323"/>
      <c r="W323"/>
    </row>
    <row r="325" spans="1:23" s="3" customFormat="1">
      <c r="A325"/>
      <c r="B325"/>
      <c r="C325"/>
      <c r="D325"/>
      <c r="E325" s="4"/>
      <c r="F325" s="23" t="s">
        <v>82</v>
      </c>
      <c r="G325" s="23" t="s">
        <v>79</v>
      </c>
      <c r="H325" s="23" t="s">
        <v>58</v>
      </c>
      <c r="N325"/>
      <c r="O325"/>
      <c r="P325"/>
      <c r="Q325"/>
      <c r="R325"/>
      <c r="S325"/>
      <c r="T325"/>
      <c r="U325"/>
      <c r="V325"/>
      <c r="W325"/>
    </row>
    <row r="326" spans="1:23" s="3" customFormat="1" ht="42.75">
      <c r="A326" s="7" t="s">
        <v>1088</v>
      </c>
      <c r="B326" s="7" t="s">
        <v>1088</v>
      </c>
      <c r="C326" s="131" t="s">
        <v>1089</v>
      </c>
      <c r="D326" s="1"/>
      <c r="E326" s="6"/>
      <c r="F326" s="67" t="s">
        <v>153</v>
      </c>
      <c r="G326" s="67" t="s">
        <v>162</v>
      </c>
      <c r="H326" s="67" t="s">
        <v>162</v>
      </c>
      <c r="N326"/>
      <c r="O326"/>
      <c r="P326"/>
      <c r="Q326"/>
      <c r="R326"/>
      <c r="S326"/>
      <c r="T326"/>
      <c r="U326"/>
      <c r="V326"/>
      <c r="W326"/>
    </row>
    <row r="327" spans="1:23" s="3" customFormat="1" ht="42.75">
      <c r="A327" s="7" t="s">
        <v>1090</v>
      </c>
      <c r="B327" s="7" t="s">
        <v>1090</v>
      </c>
      <c r="C327" s="131" t="s">
        <v>1091</v>
      </c>
      <c r="D327" s="1"/>
      <c r="E327" s="6"/>
      <c r="F327" s="67" t="s">
        <v>162</v>
      </c>
      <c r="G327" s="67" t="s">
        <v>153</v>
      </c>
      <c r="H327" s="67" t="s">
        <v>162</v>
      </c>
      <c r="N327"/>
      <c r="O327"/>
      <c r="P327"/>
      <c r="Q327"/>
      <c r="R327"/>
      <c r="S327"/>
      <c r="T327"/>
      <c r="U327"/>
      <c r="V327"/>
      <c r="W327"/>
    </row>
    <row r="329" spans="1:23" s="22" customFormat="1">
      <c r="F329" s="27"/>
      <c r="G329" s="27"/>
      <c r="H329" s="27"/>
      <c r="I329" s="27"/>
      <c r="J329" s="27"/>
      <c r="K329" s="27"/>
      <c r="L329" s="27"/>
      <c r="M329" s="27"/>
    </row>
    <row r="330" spans="1:23">
      <c r="F330" s="44" t="s">
        <v>1092</v>
      </c>
      <c r="G330" s="44" t="s">
        <v>1093</v>
      </c>
      <c r="H330" s="44" t="s">
        <v>1094</v>
      </c>
      <c r="I330" s="44" t="s">
        <v>1095</v>
      </c>
      <c r="J330" s="44" t="s">
        <v>1096</v>
      </c>
    </row>
    <row r="331" spans="1:23" ht="71.45">
      <c r="A331" s="10" t="s">
        <v>1097</v>
      </c>
      <c r="B331" s="10" t="s">
        <v>1097</v>
      </c>
      <c r="C331" s="41" t="s">
        <v>1098</v>
      </c>
      <c r="F331" s="2" t="s">
        <v>153</v>
      </c>
      <c r="G331" s="2" t="s">
        <v>153</v>
      </c>
      <c r="H331" s="2">
        <v>0</v>
      </c>
      <c r="I331" s="2" t="s">
        <v>153</v>
      </c>
      <c r="J331" s="2">
        <v>0</v>
      </c>
    </row>
    <row r="333" spans="1:23">
      <c r="F333" s="44" t="s">
        <v>1099</v>
      </c>
      <c r="G333" s="44" t="s">
        <v>1100</v>
      </c>
      <c r="H333" s="44" t="s">
        <v>1101</v>
      </c>
      <c r="I333" s="44" t="s">
        <v>1102</v>
      </c>
      <c r="J333" s="44" t="s">
        <v>1103</v>
      </c>
      <c r="K333" s="44" t="s">
        <v>1104</v>
      </c>
      <c r="L333" s="44" t="s">
        <v>1105</v>
      </c>
    </row>
    <row r="334" spans="1:23" ht="99.95">
      <c r="A334" s="10" t="s">
        <v>1106</v>
      </c>
      <c r="B334" s="10" t="s">
        <v>1106</v>
      </c>
      <c r="C334" s="41" t="s">
        <v>1107</v>
      </c>
      <c r="F334" s="2" t="s">
        <v>153</v>
      </c>
      <c r="G334" s="2" t="s">
        <v>153</v>
      </c>
      <c r="H334" s="2">
        <v>0</v>
      </c>
      <c r="I334" s="2" t="s">
        <v>153</v>
      </c>
      <c r="J334" s="2">
        <v>0</v>
      </c>
      <c r="K334" s="2">
        <v>0</v>
      </c>
      <c r="L334" s="2" t="s">
        <v>153</v>
      </c>
    </row>
    <row r="337" spans="1:3">
      <c r="A337" s="37" t="s">
        <v>1108</v>
      </c>
      <c r="B337" s="37" t="s">
        <v>1108</v>
      </c>
      <c r="C337" s="17" t="s">
        <v>1109</v>
      </c>
    </row>
    <row r="338" spans="1:3">
      <c r="A338" s="37" t="s">
        <v>1110</v>
      </c>
      <c r="B338" s="37" t="s">
        <v>1110</v>
      </c>
      <c r="C338" s="18" t="s">
        <v>1111</v>
      </c>
    </row>
    <row r="339" spans="1:3">
      <c r="A339" s="37" t="s">
        <v>1112</v>
      </c>
      <c r="B339" s="37" t="s">
        <v>1112</v>
      </c>
      <c r="C339" s="18" t="s">
        <v>1113</v>
      </c>
    </row>
    <row r="340" spans="1:3">
      <c r="A340" s="37" t="s">
        <v>1114</v>
      </c>
      <c r="B340" s="37" t="s">
        <v>1114</v>
      </c>
      <c r="C340" s="18" t="s">
        <v>1115</v>
      </c>
    </row>
    <row r="341" spans="1:3">
      <c r="A341" s="37" t="s">
        <v>1116</v>
      </c>
      <c r="B341" s="37" t="s">
        <v>1116</v>
      </c>
      <c r="C341" s="18" t="s">
        <v>1117</v>
      </c>
    </row>
    <row r="342" spans="1:3">
      <c r="A342" s="37" t="s">
        <v>1118</v>
      </c>
      <c r="B342" s="37" t="s">
        <v>1118</v>
      </c>
      <c r="C342" s="17" t="s">
        <v>1119</v>
      </c>
    </row>
    <row r="343" spans="1:3">
      <c r="A343" s="37" t="s">
        <v>1120</v>
      </c>
      <c r="B343" s="37" t="s">
        <v>1120</v>
      </c>
      <c r="C343" s="18" t="s">
        <v>1121</v>
      </c>
    </row>
    <row r="344" spans="1:3">
      <c r="A344" s="37" t="s">
        <v>1122</v>
      </c>
      <c r="B344" s="37" t="s">
        <v>1122</v>
      </c>
      <c r="C344" s="17" t="s">
        <v>1122</v>
      </c>
    </row>
    <row r="347" spans="1:3">
      <c r="A347" s="296" t="s">
        <v>1123</v>
      </c>
      <c r="B347" s="33" t="s">
        <v>1124</v>
      </c>
      <c r="C347" s="25" t="s">
        <v>1125</v>
      </c>
    </row>
    <row r="348" spans="1:3">
      <c r="A348" s="297"/>
      <c r="B348" s="33" t="s">
        <v>1126</v>
      </c>
      <c r="C348" s="25" t="s">
        <v>397</v>
      </c>
    </row>
    <row r="351" spans="1:3">
      <c r="A351" s="37" t="s">
        <v>1127</v>
      </c>
      <c r="B351" s="37" t="s">
        <v>1127</v>
      </c>
      <c r="C351" s="17" t="s">
        <v>1128</v>
      </c>
    </row>
    <row r="352" spans="1:3">
      <c r="A352" s="37" t="s">
        <v>1129</v>
      </c>
      <c r="B352" s="37" t="s">
        <v>1129</v>
      </c>
      <c r="C352" s="17" t="s">
        <v>1130</v>
      </c>
    </row>
    <row r="354" spans="1:3">
      <c r="A354" s="37" t="s">
        <v>1131</v>
      </c>
      <c r="B354" s="37" t="s">
        <v>1131</v>
      </c>
      <c r="C354" s="17" t="s">
        <v>1132</v>
      </c>
    </row>
    <row r="355" spans="1:3">
      <c r="A355" s="37" t="s">
        <v>1133</v>
      </c>
      <c r="B355" s="37" t="s">
        <v>1133</v>
      </c>
      <c r="C355" s="17" t="s">
        <v>1134</v>
      </c>
    </row>
    <row r="356" spans="1:3">
      <c r="A356" s="37" t="s">
        <v>1135</v>
      </c>
      <c r="B356" s="37" t="s">
        <v>1135</v>
      </c>
      <c r="C356" s="17" t="s">
        <v>1136</v>
      </c>
    </row>
    <row r="359" spans="1:3">
      <c r="A359" s="37" t="s">
        <v>1137</v>
      </c>
      <c r="B359" s="37" t="s">
        <v>1137</v>
      </c>
      <c r="C359" s="17" t="s">
        <v>404</v>
      </c>
    </row>
    <row r="360" spans="1:3">
      <c r="A360" s="37" t="s">
        <v>287</v>
      </c>
      <c r="B360" s="37" t="s">
        <v>287</v>
      </c>
      <c r="C360" s="17" t="s">
        <v>287</v>
      </c>
    </row>
    <row r="361" spans="1:3">
      <c r="A361" s="37" t="s">
        <v>1138</v>
      </c>
      <c r="B361" s="37" t="s">
        <v>1138</v>
      </c>
      <c r="C361" s="17" t="s">
        <v>1139</v>
      </c>
    </row>
    <row r="364" spans="1:3">
      <c r="A364" s="37" t="s">
        <v>1140</v>
      </c>
      <c r="B364" s="37" t="s">
        <v>1140</v>
      </c>
      <c r="C364" s="17" t="s">
        <v>404</v>
      </c>
    </row>
    <row r="365" spans="1:3">
      <c r="A365" s="37" t="s">
        <v>287</v>
      </c>
      <c r="B365" s="37" t="s">
        <v>287</v>
      </c>
      <c r="C365" s="17" t="s">
        <v>287</v>
      </c>
    </row>
    <row r="366" spans="1:3">
      <c r="A366" s="37" t="s">
        <v>1141</v>
      </c>
      <c r="B366" s="37" t="s">
        <v>1141</v>
      </c>
      <c r="C366" s="17" t="s">
        <v>1139</v>
      </c>
    </row>
    <row r="369" spans="1:3">
      <c r="A369" s="37" t="s">
        <v>1142</v>
      </c>
      <c r="B369" s="37" t="s">
        <v>1142</v>
      </c>
      <c r="C369" s="17" t="s">
        <v>404</v>
      </c>
    </row>
    <row r="370" spans="1:3">
      <c r="A370" s="37" t="s">
        <v>287</v>
      </c>
      <c r="B370" s="37" t="s">
        <v>287</v>
      </c>
      <c r="C370" s="17" t="s">
        <v>287</v>
      </c>
    </row>
    <row r="371" spans="1:3">
      <c r="A371" s="37" t="s">
        <v>1143</v>
      </c>
      <c r="B371" s="37" t="s">
        <v>1143</v>
      </c>
      <c r="C371" s="17" t="s">
        <v>1139</v>
      </c>
    </row>
    <row r="374" spans="1:3">
      <c r="A374" s="37" t="s">
        <v>1144</v>
      </c>
      <c r="B374" s="37" t="s">
        <v>1144</v>
      </c>
      <c r="C374" s="17" t="s">
        <v>404</v>
      </c>
    </row>
    <row r="375" spans="1:3">
      <c r="A375" s="37" t="s">
        <v>287</v>
      </c>
      <c r="B375" s="37" t="s">
        <v>287</v>
      </c>
      <c r="C375" s="17" t="s">
        <v>287</v>
      </c>
    </row>
    <row r="376" spans="1:3">
      <c r="A376" s="37" t="s">
        <v>1145</v>
      </c>
      <c r="B376" s="37" t="s">
        <v>1145</v>
      </c>
      <c r="C376" s="17" t="s">
        <v>1139</v>
      </c>
    </row>
    <row r="379" spans="1:3">
      <c r="A379" s="37" t="s">
        <v>1146</v>
      </c>
      <c r="B379" s="37" t="s">
        <v>1146</v>
      </c>
      <c r="C379" s="17" t="s">
        <v>1147</v>
      </c>
    </row>
    <row r="380" spans="1:3">
      <c r="A380" s="37" t="s">
        <v>1148</v>
      </c>
      <c r="B380" s="37" t="s">
        <v>1148</v>
      </c>
      <c r="C380" s="17" t="s">
        <v>1149</v>
      </c>
    </row>
    <row r="381" spans="1:3">
      <c r="A381" s="37" t="s">
        <v>1150</v>
      </c>
      <c r="B381" s="37" t="s">
        <v>1150</v>
      </c>
      <c r="C381" s="17" t="s">
        <v>1151</v>
      </c>
    </row>
    <row r="382" spans="1:3">
      <c r="A382" s="37" t="s">
        <v>1152</v>
      </c>
      <c r="B382" s="37" t="s">
        <v>1152</v>
      </c>
      <c r="C382" s="17" t="s">
        <v>1153</v>
      </c>
    </row>
    <row r="383" spans="1:3">
      <c r="A383" s="37" t="s">
        <v>1154</v>
      </c>
      <c r="B383" s="37" t="s">
        <v>1154</v>
      </c>
      <c r="C383" s="17" t="s">
        <v>1155</v>
      </c>
    </row>
    <row r="386" spans="1:3">
      <c r="A386" s="37" t="s">
        <v>1156</v>
      </c>
      <c r="B386" s="37" t="s">
        <v>1156</v>
      </c>
      <c r="C386" s="17"/>
    </row>
    <row r="389" spans="1:3">
      <c r="A389" s="37" t="s">
        <v>1157</v>
      </c>
      <c r="B389" s="37" t="s">
        <v>1157</v>
      </c>
      <c r="C389" s="17" t="s">
        <v>1158</v>
      </c>
    </row>
    <row r="392" spans="1:3" ht="42.75">
      <c r="A392" s="284" t="s">
        <v>1159</v>
      </c>
      <c r="B392" s="301" t="s">
        <v>1159</v>
      </c>
      <c r="C392" s="41" t="s">
        <v>1160</v>
      </c>
    </row>
    <row r="393" spans="1:3" ht="42.75">
      <c r="A393" s="284"/>
      <c r="B393" s="301"/>
      <c r="C393" s="41" t="s">
        <v>1161</v>
      </c>
    </row>
    <row r="394" spans="1:3" ht="42.75">
      <c r="A394" s="284"/>
      <c r="B394" s="301"/>
      <c r="C394" s="41" t="s">
        <v>1162</v>
      </c>
    </row>
    <row r="395" spans="1:3" ht="42.75">
      <c r="A395" s="284"/>
      <c r="B395" s="301"/>
      <c r="C395" s="41" t="s">
        <v>1163</v>
      </c>
    </row>
    <row r="396" spans="1:3" ht="57.2">
      <c r="A396" s="302" t="s">
        <v>1164</v>
      </c>
      <c r="B396" s="301" t="s">
        <v>1164</v>
      </c>
      <c r="C396" s="41" t="s">
        <v>1165</v>
      </c>
    </row>
    <row r="397" spans="1:3" ht="57.2">
      <c r="A397" s="302"/>
      <c r="B397" s="301"/>
      <c r="C397" s="41" t="s">
        <v>1166</v>
      </c>
    </row>
    <row r="398" spans="1:3" ht="57.2">
      <c r="A398" s="302"/>
      <c r="B398" s="301"/>
      <c r="C398" s="41" t="s">
        <v>1167</v>
      </c>
    </row>
    <row r="399" spans="1:3" ht="57.2">
      <c r="A399" s="302"/>
      <c r="B399" s="301"/>
      <c r="C399" s="41" t="s">
        <v>1168</v>
      </c>
    </row>
    <row r="400" spans="1:3" ht="57.2">
      <c r="A400" s="302"/>
      <c r="B400" s="301"/>
      <c r="C400" s="41" t="s">
        <v>1169</v>
      </c>
    </row>
    <row r="402" spans="1:7">
      <c r="F402" s="2" t="s">
        <v>1170</v>
      </c>
      <c r="G402" s="2" t="s">
        <v>1171</v>
      </c>
    </row>
    <row r="403" spans="1:7">
      <c r="A403" s="284" t="s">
        <v>1172</v>
      </c>
      <c r="B403" s="301" t="s">
        <v>1172</v>
      </c>
      <c r="C403" s="159" t="s">
        <v>1173</v>
      </c>
      <c r="F403" s="2" t="s">
        <v>1174</v>
      </c>
      <c r="G403" s="2" t="s">
        <v>1175</v>
      </c>
    </row>
    <row r="404" spans="1:7">
      <c r="A404" s="284"/>
      <c r="B404" s="301"/>
      <c r="C404" s="160" t="s">
        <v>1176</v>
      </c>
    </row>
    <row r="406" spans="1:7">
      <c r="A406" s="170" t="s">
        <v>1177</v>
      </c>
      <c r="B406" s="170" t="s">
        <v>1177</v>
      </c>
      <c r="C406" s="13" t="s">
        <v>1178</v>
      </c>
      <c r="F406" s="2" t="s">
        <v>1170</v>
      </c>
      <c r="G406" s="2" t="s">
        <v>1171</v>
      </c>
    </row>
    <row r="407" spans="1:7">
      <c r="A407" s="171"/>
      <c r="B407" s="171"/>
      <c r="C407" s="47" t="s">
        <v>1179</v>
      </c>
      <c r="F407" s="2" t="s">
        <v>1174</v>
      </c>
      <c r="G407" s="2" t="s">
        <v>1175</v>
      </c>
    </row>
    <row r="408" spans="1:7">
      <c r="A408" s="171"/>
      <c r="B408" s="171"/>
      <c r="C408" s="47" t="s">
        <v>1180</v>
      </c>
    </row>
    <row r="409" spans="1:7">
      <c r="A409" s="172"/>
      <c r="B409" s="172"/>
      <c r="C409" s="48" t="s">
        <v>1181</v>
      </c>
    </row>
    <row r="411" spans="1:7">
      <c r="A411" s="33" t="s">
        <v>1182</v>
      </c>
      <c r="B411" s="161" t="s">
        <v>1182</v>
      </c>
      <c r="C411" s="17" t="s">
        <v>1183</v>
      </c>
      <c r="D411" s="17" t="s">
        <v>1184</v>
      </c>
    </row>
    <row r="412" spans="1:7">
      <c r="B412" s="3"/>
    </row>
    <row r="413" spans="1:7">
      <c r="A413" s="33" t="s">
        <v>1185</v>
      </c>
      <c r="B413" s="161" t="s">
        <v>1185</v>
      </c>
      <c r="C413" s="17" t="s">
        <v>1186</v>
      </c>
      <c r="D413" s="17" t="s">
        <v>1184</v>
      </c>
    </row>
    <row r="414" spans="1:7">
      <c r="B414" s="3"/>
    </row>
    <row r="415" spans="1:7">
      <c r="A415" s="296" t="s">
        <v>1187</v>
      </c>
      <c r="B415" s="306" t="s">
        <v>1187</v>
      </c>
      <c r="C415" s="17" t="s">
        <v>1188</v>
      </c>
      <c r="D415" s="17" t="s">
        <v>1184</v>
      </c>
    </row>
    <row r="416" spans="1:7">
      <c r="A416" s="297"/>
      <c r="B416" s="307"/>
      <c r="C416" s="17" t="s">
        <v>1189</v>
      </c>
      <c r="D416" s="17" t="s">
        <v>1190</v>
      </c>
    </row>
    <row r="418" spans="1:4">
      <c r="A418" s="296" t="s">
        <v>1191</v>
      </c>
      <c r="B418" s="306" t="s">
        <v>1191</v>
      </c>
      <c r="C418" s="17" t="s">
        <v>1192</v>
      </c>
      <c r="D418" s="17" t="s">
        <v>1184</v>
      </c>
    </row>
    <row r="419" spans="1:4">
      <c r="A419" s="297"/>
      <c r="B419" s="307"/>
      <c r="C419" s="17" t="s">
        <v>1193</v>
      </c>
      <c r="D419" s="17" t="s">
        <v>1190</v>
      </c>
    </row>
    <row r="421" spans="1:4">
      <c r="A421" s="296" t="s">
        <v>1194</v>
      </c>
      <c r="B421" s="306" t="s">
        <v>1194</v>
      </c>
      <c r="C421" s="17" t="s">
        <v>1195</v>
      </c>
      <c r="D421" s="17" t="s">
        <v>1190</v>
      </c>
    </row>
    <row r="422" spans="1:4">
      <c r="A422" s="297"/>
      <c r="B422" s="307"/>
      <c r="C422" s="17" t="s">
        <v>1196</v>
      </c>
      <c r="D422" s="17" t="s">
        <v>1184</v>
      </c>
    </row>
    <row r="424" spans="1:4">
      <c r="A424" s="33" t="s">
        <v>1197</v>
      </c>
      <c r="B424" s="33" t="s">
        <v>1197</v>
      </c>
      <c r="C424" s="17" t="s">
        <v>1198</v>
      </c>
    </row>
    <row r="426" spans="1:4">
      <c r="A426" s="33" t="s">
        <v>1199</v>
      </c>
      <c r="B426" s="33" t="s">
        <v>1199</v>
      </c>
      <c r="C426" s="17" t="s">
        <v>1200</v>
      </c>
    </row>
  </sheetData>
  <autoFilter ref="A1:C329" xr:uid="{8E3F79CB-D784-409C-8264-830D7DBF82CD}"/>
  <mergeCells count="99">
    <mergeCell ref="B44:B45"/>
    <mergeCell ref="A46:A47"/>
    <mergeCell ref="B46:B47"/>
    <mergeCell ref="B421:B422"/>
    <mergeCell ref="A421:A422"/>
    <mergeCell ref="A403:A404"/>
    <mergeCell ref="B403:B404"/>
    <mergeCell ref="B415:B416"/>
    <mergeCell ref="A415:A416"/>
    <mergeCell ref="B418:B419"/>
    <mergeCell ref="A418:A419"/>
    <mergeCell ref="A93:A97"/>
    <mergeCell ref="A58:A60"/>
    <mergeCell ref="A61:A63"/>
    <mergeCell ref="A66:A71"/>
    <mergeCell ref="A72:A78"/>
    <mergeCell ref="A9:A11"/>
    <mergeCell ref="A12:A14"/>
    <mergeCell ref="A15:A17"/>
    <mergeCell ref="A53:A54"/>
    <mergeCell ref="A55:A57"/>
    <mergeCell ref="A81:A85"/>
    <mergeCell ref="A86:A90"/>
    <mergeCell ref="A44:A45"/>
    <mergeCell ref="A98:A102"/>
    <mergeCell ref="A110:A111"/>
    <mergeCell ref="A126:A130"/>
    <mergeCell ref="B141:B142"/>
    <mergeCell ref="F141:F142"/>
    <mergeCell ref="Q141:Q142"/>
    <mergeCell ref="B143:B144"/>
    <mergeCell ref="F143:F144"/>
    <mergeCell ref="H143:H144"/>
    <mergeCell ref="P143:P144"/>
    <mergeCell ref="Q143:Q144"/>
    <mergeCell ref="G141:G142"/>
    <mergeCell ref="P141:P142"/>
    <mergeCell ref="B147:B149"/>
    <mergeCell ref="G147:G149"/>
    <mergeCell ref="H147:H149"/>
    <mergeCell ref="I147:I149"/>
    <mergeCell ref="P147:P149"/>
    <mergeCell ref="G145:G146"/>
    <mergeCell ref="H145:H146"/>
    <mergeCell ref="P145:P146"/>
    <mergeCell ref="Q145:Q146"/>
    <mergeCell ref="Q147:Q149"/>
    <mergeCell ref="P157:P161"/>
    <mergeCell ref="B150:B152"/>
    <mergeCell ref="F150:F152"/>
    <mergeCell ref="Q157:Q161"/>
    <mergeCell ref="Q153:Q156"/>
    <mergeCell ref="P153:P156"/>
    <mergeCell ref="H153:H156"/>
    <mergeCell ref="I153:I156"/>
    <mergeCell ref="J157:J161"/>
    <mergeCell ref="B145:B146"/>
    <mergeCell ref="F153:F156"/>
    <mergeCell ref="G153:G156"/>
    <mergeCell ref="F1:Q1"/>
    <mergeCell ref="A230:A231"/>
    <mergeCell ref="A138:A173"/>
    <mergeCell ref="B157:B161"/>
    <mergeCell ref="F157:F161"/>
    <mergeCell ref="G157:G161"/>
    <mergeCell ref="H157:H161"/>
    <mergeCell ref="I157:I161"/>
    <mergeCell ref="H150:H152"/>
    <mergeCell ref="J150:J152"/>
    <mergeCell ref="P150:P152"/>
    <mergeCell ref="Q150:Q152"/>
    <mergeCell ref="B153:B156"/>
    <mergeCell ref="A239:A243"/>
    <mergeCell ref="A347:A348"/>
    <mergeCell ref="A267:A268"/>
    <mergeCell ref="A269:A270"/>
    <mergeCell ref="A283:A284"/>
    <mergeCell ref="B283:B284"/>
    <mergeCell ref="A285:A290"/>
    <mergeCell ref="B285:B290"/>
    <mergeCell ref="A249:A250"/>
    <mergeCell ref="A251:A252"/>
    <mergeCell ref="A255:A256"/>
    <mergeCell ref="A257:A258"/>
    <mergeCell ref="A261:A262"/>
    <mergeCell ref="A263:A264"/>
    <mergeCell ref="B392:B395"/>
    <mergeCell ref="A392:A395"/>
    <mergeCell ref="B396:B400"/>
    <mergeCell ref="A396:A400"/>
    <mergeCell ref="A302:A307"/>
    <mergeCell ref="B302:B307"/>
    <mergeCell ref="A237:A238"/>
    <mergeCell ref="A176:A184"/>
    <mergeCell ref="A189:A197"/>
    <mergeCell ref="A200:A208"/>
    <mergeCell ref="A211:A212"/>
    <mergeCell ref="A213:A214"/>
    <mergeCell ref="A226:A22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8389-23A7-4564-ADCB-C392749721B2}">
  <dimension ref="A1:W526"/>
  <sheetViews>
    <sheetView zoomScale="90" zoomScaleNormal="90" workbookViewId="0">
      <pane ySplit="1" topLeftCell="A209" activePane="bottomLeft" state="frozen"/>
      <selection pane="bottomLeft" activeCell="D381" sqref="D381"/>
    </sheetView>
  </sheetViews>
  <sheetFormatPr defaultColWidth="9.140625" defaultRowHeight="14.25"/>
  <cols>
    <col min="1" max="1" width="20.5703125" bestFit="1" customWidth="1"/>
    <col min="2" max="2" width="29.42578125" bestFit="1" customWidth="1"/>
    <col min="3" max="3" width="21.85546875" customWidth="1"/>
    <col min="4" max="4" width="8.42578125" customWidth="1"/>
    <col min="5" max="5" width="7" customWidth="1"/>
    <col min="6" max="6" width="18.42578125" style="3" bestFit="1" customWidth="1"/>
    <col min="7" max="7" width="19.42578125" style="3" customWidth="1"/>
    <col min="8" max="8" width="14.85546875" style="3" bestFit="1" customWidth="1"/>
    <col min="9" max="9" width="15.140625" style="3" bestFit="1" customWidth="1"/>
    <col min="10" max="10" width="18.42578125" style="3" customWidth="1"/>
    <col min="11" max="11" width="15.85546875" style="3" customWidth="1"/>
    <col min="12" max="13" width="13.5703125" style="3" bestFit="1" customWidth="1"/>
    <col min="14" max="17" width="9.5703125" customWidth="1"/>
    <col min="18" max="19" width="9.42578125" customWidth="1"/>
    <col min="20" max="20" width="4.42578125" bestFit="1" customWidth="1"/>
    <col min="21" max="21" width="5" bestFit="1" customWidth="1"/>
    <col min="22" max="22" width="8.42578125" bestFit="1" customWidth="1"/>
    <col min="23" max="23" width="8.140625" bestFit="1" customWidth="1"/>
  </cols>
  <sheetData>
    <row r="1" spans="1:17">
      <c r="A1" s="24" t="s">
        <v>149</v>
      </c>
      <c r="B1" s="24" t="s">
        <v>150</v>
      </c>
      <c r="C1" s="28" t="s">
        <v>151</v>
      </c>
      <c r="D1" s="28" t="s">
        <v>477</v>
      </c>
      <c r="F1" s="303" t="s">
        <v>1016</v>
      </c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5"/>
    </row>
    <row r="2" spans="1:17">
      <c r="E2" s="4"/>
      <c r="F2" s="130" t="s">
        <v>1017</v>
      </c>
      <c r="G2" s="130" t="s">
        <v>1018</v>
      </c>
    </row>
    <row r="3" spans="1:17">
      <c r="A3" s="7" t="s">
        <v>134</v>
      </c>
      <c r="B3" s="7" t="s">
        <v>134</v>
      </c>
      <c r="C3" s="25" t="s">
        <v>152</v>
      </c>
      <c r="D3" s="1"/>
      <c r="E3" s="6"/>
      <c r="F3" s="67" t="s">
        <v>153</v>
      </c>
      <c r="G3" s="67" t="s">
        <v>154</v>
      </c>
    </row>
    <row r="5" spans="1:17">
      <c r="E5" s="4"/>
      <c r="F5" s="23" t="s">
        <v>155</v>
      </c>
      <c r="G5" s="23" t="s">
        <v>156</v>
      </c>
    </row>
    <row r="6" spans="1:17">
      <c r="A6" s="7" t="s">
        <v>157</v>
      </c>
      <c r="B6" s="7" t="s">
        <v>157</v>
      </c>
      <c r="C6" s="25" t="s">
        <v>158</v>
      </c>
      <c r="D6" s="1"/>
      <c r="E6" s="6"/>
      <c r="F6" s="67" t="s">
        <v>153</v>
      </c>
      <c r="G6" s="67" t="s">
        <v>154</v>
      </c>
    </row>
    <row r="8" spans="1:17">
      <c r="F8" s="44" t="s">
        <v>47</v>
      </c>
      <c r="G8" s="44" t="s">
        <v>48</v>
      </c>
      <c r="H8" s="44" t="s">
        <v>49</v>
      </c>
      <c r="I8" s="44" t="s">
        <v>50</v>
      </c>
      <c r="J8" s="44" t="s">
        <v>51</v>
      </c>
      <c r="K8" s="44" t="s">
        <v>52</v>
      </c>
      <c r="L8" s="44" t="s">
        <v>53</v>
      </c>
      <c r="M8" s="44" t="s">
        <v>54</v>
      </c>
    </row>
    <row r="9" spans="1:17">
      <c r="A9" s="284" t="s">
        <v>159</v>
      </c>
      <c r="B9" s="7" t="s">
        <v>160</v>
      </c>
      <c r="C9" s="26" t="s">
        <v>161</v>
      </c>
      <c r="D9" s="34"/>
      <c r="F9" s="2" t="s">
        <v>153</v>
      </c>
      <c r="L9" s="2" t="s">
        <v>162</v>
      </c>
    </row>
    <row r="10" spans="1:17">
      <c r="A10" s="284"/>
      <c r="B10" s="7" t="s">
        <v>163</v>
      </c>
      <c r="C10" s="26" t="s">
        <v>164</v>
      </c>
      <c r="D10" s="34"/>
      <c r="F10" s="2" t="s">
        <v>153</v>
      </c>
      <c r="I10" s="2" t="s">
        <v>162</v>
      </c>
    </row>
    <row r="11" spans="1:17">
      <c r="A11" s="284"/>
      <c r="B11" s="7" t="s">
        <v>165</v>
      </c>
      <c r="C11" s="26" t="s">
        <v>166</v>
      </c>
      <c r="D11" s="34"/>
      <c r="I11" s="2" t="s">
        <v>162</v>
      </c>
      <c r="L11" s="2" t="s">
        <v>153</v>
      </c>
    </row>
    <row r="12" spans="1:17">
      <c r="A12" s="284" t="s">
        <v>167</v>
      </c>
      <c r="B12" s="7" t="s">
        <v>168</v>
      </c>
      <c r="C12" s="26" t="s">
        <v>169</v>
      </c>
      <c r="D12" s="34"/>
      <c r="H12" s="2" t="s">
        <v>153</v>
      </c>
      <c r="J12" s="2" t="s">
        <v>162</v>
      </c>
    </row>
    <row r="13" spans="1:17">
      <c r="A13" s="284"/>
      <c r="B13" s="7" t="s">
        <v>170</v>
      </c>
      <c r="C13" s="26" t="s">
        <v>171</v>
      </c>
      <c r="D13" s="34"/>
      <c r="F13" s="2" t="s">
        <v>162</v>
      </c>
      <c r="H13" s="2" t="s">
        <v>153</v>
      </c>
    </row>
    <row r="14" spans="1:17">
      <c r="A14" s="284"/>
      <c r="B14" s="7" t="s">
        <v>172</v>
      </c>
      <c r="C14" s="26" t="s">
        <v>173</v>
      </c>
      <c r="D14" s="34"/>
      <c r="F14" s="2" t="s">
        <v>162</v>
      </c>
      <c r="J14" s="2" t="s">
        <v>153</v>
      </c>
    </row>
    <row r="15" spans="1:17">
      <c r="A15" s="284" t="s">
        <v>174</v>
      </c>
      <c r="B15" s="7" t="s">
        <v>175</v>
      </c>
      <c r="C15" s="26" t="s">
        <v>176</v>
      </c>
      <c r="D15" s="34"/>
      <c r="F15" s="2" t="s">
        <v>162</v>
      </c>
      <c r="M15" s="2" t="s">
        <v>153</v>
      </c>
    </row>
    <row r="16" spans="1:17">
      <c r="A16" s="284"/>
      <c r="B16" s="7" t="s">
        <v>177</v>
      </c>
      <c r="C16" s="26" t="s">
        <v>178</v>
      </c>
      <c r="D16" s="34"/>
      <c r="I16" s="2" t="s">
        <v>162</v>
      </c>
      <c r="M16" s="2" t="s">
        <v>153</v>
      </c>
    </row>
    <row r="17" spans="1:23">
      <c r="A17" s="284"/>
      <c r="B17" s="7" t="s">
        <v>179</v>
      </c>
      <c r="C17" s="26" t="s">
        <v>180</v>
      </c>
      <c r="D17" s="34"/>
      <c r="F17" s="2" t="s">
        <v>153</v>
      </c>
      <c r="I17" s="2" t="s">
        <v>162</v>
      </c>
    </row>
    <row r="19" spans="1:23">
      <c r="E19" s="4"/>
      <c r="F19" s="23" t="s">
        <v>9</v>
      </c>
      <c r="G19" s="23" t="s">
        <v>25</v>
      </c>
    </row>
    <row r="20" spans="1:23">
      <c r="A20" s="7" t="s">
        <v>181</v>
      </c>
      <c r="B20" s="7" t="s">
        <v>181</v>
      </c>
      <c r="C20" s="25" t="s">
        <v>182</v>
      </c>
      <c r="D20" s="1"/>
      <c r="E20" s="6"/>
      <c r="F20" s="67" t="s">
        <v>153</v>
      </c>
      <c r="G20" s="67" t="s">
        <v>154</v>
      </c>
    </row>
    <row r="22" spans="1:23">
      <c r="E22" s="4"/>
      <c r="F22" s="23" t="s">
        <v>49</v>
      </c>
      <c r="G22" s="23" t="s">
        <v>48</v>
      </c>
    </row>
    <row r="23" spans="1:23">
      <c r="A23" s="7" t="s">
        <v>183</v>
      </c>
      <c r="B23" s="7" t="s">
        <v>183</v>
      </c>
      <c r="C23" s="25" t="s">
        <v>182</v>
      </c>
      <c r="D23" s="1"/>
      <c r="E23" s="6"/>
      <c r="F23" s="67" t="s">
        <v>153</v>
      </c>
      <c r="G23" s="67" t="s">
        <v>154</v>
      </c>
    </row>
    <row r="25" spans="1:23">
      <c r="E25" s="4"/>
      <c r="F25" s="44" t="s">
        <v>184</v>
      </c>
      <c r="G25" s="23" t="s">
        <v>93</v>
      </c>
    </row>
    <row r="26" spans="1:23">
      <c r="A26" s="7" t="s">
        <v>185</v>
      </c>
      <c r="B26" s="7" t="s">
        <v>185</v>
      </c>
      <c r="C26" s="25" t="s">
        <v>158</v>
      </c>
      <c r="D26" s="1"/>
      <c r="E26" s="6"/>
      <c r="F26" s="67" t="s">
        <v>153</v>
      </c>
      <c r="G26" s="67" t="s">
        <v>154</v>
      </c>
    </row>
    <row r="28" spans="1:23" s="3" customFormat="1">
      <c r="A28"/>
      <c r="B28"/>
      <c r="C28"/>
      <c r="D28"/>
      <c r="E28" s="4"/>
      <c r="F28" s="23" t="s">
        <v>10</v>
      </c>
      <c r="G28" s="23" t="s">
        <v>9</v>
      </c>
      <c r="H28" s="23" t="s">
        <v>88</v>
      </c>
      <c r="N28"/>
      <c r="O28"/>
      <c r="P28"/>
      <c r="Q28"/>
      <c r="R28"/>
      <c r="S28"/>
      <c r="T28"/>
      <c r="U28"/>
      <c r="V28"/>
      <c r="W28"/>
    </row>
    <row r="29" spans="1:23" s="3" customFormat="1">
      <c r="A29" s="7" t="s">
        <v>186</v>
      </c>
      <c r="B29" s="7" t="s">
        <v>186</v>
      </c>
      <c r="C29" s="25" t="s">
        <v>187</v>
      </c>
      <c r="D29" s="1"/>
      <c r="E29" s="6"/>
      <c r="F29" s="67" t="s">
        <v>153</v>
      </c>
      <c r="G29" s="67" t="s">
        <v>154</v>
      </c>
      <c r="H29" s="67" t="s">
        <v>188</v>
      </c>
      <c r="N29"/>
      <c r="O29"/>
      <c r="P29"/>
      <c r="Q29"/>
      <c r="R29"/>
      <c r="S29"/>
      <c r="T29"/>
      <c r="U29"/>
      <c r="V29"/>
      <c r="W29"/>
    </row>
    <row r="31" spans="1:23" s="3" customFormat="1">
      <c r="A31"/>
      <c r="B31"/>
      <c r="C31"/>
      <c r="D31"/>
      <c r="E31" s="4"/>
      <c r="F31" s="23" t="s">
        <v>155</v>
      </c>
      <c r="G31" s="23" t="s">
        <v>156</v>
      </c>
      <c r="H31" s="23" t="s">
        <v>24</v>
      </c>
      <c r="I31" s="23" t="s">
        <v>25</v>
      </c>
      <c r="N31"/>
      <c r="O31"/>
      <c r="P31"/>
      <c r="Q31"/>
      <c r="R31"/>
      <c r="S31"/>
      <c r="T31"/>
      <c r="U31"/>
      <c r="V31"/>
      <c r="W31"/>
    </row>
    <row r="32" spans="1:23" s="3" customFormat="1">
      <c r="A32" s="7" t="s">
        <v>189</v>
      </c>
      <c r="B32" s="7" t="s">
        <v>189</v>
      </c>
      <c r="C32" s="25" t="s">
        <v>190</v>
      </c>
      <c r="D32" s="1"/>
      <c r="E32" s="5"/>
      <c r="F32" s="2" t="s">
        <v>191</v>
      </c>
      <c r="G32" s="2" t="s">
        <v>192</v>
      </c>
      <c r="H32" s="2" t="s">
        <v>193</v>
      </c>
      <c r="I32" s="2" t="s">
        <v>162</v>
      </c>
      <c r="N32"/>
      <c r="O32"/>
      <c r="P32"/>
      <c r="Q32"/>
      <c r="R32"/>
      <c r="S32"/>
      <c r="T32"/>
      <c r="U32"/>
      <c r="V32"/>
      <c r="W32"/>
    </row>
    <row r="34" spans="1:23" s="3" customFormat="1">
      <c r="A34"/>
      <c r="B34"/>
      <c r="C34"/>
      <c r="D34"/>
      <c r="E34" s="4"/>
      <c r="F34" s="23" t="s">
        <v>10</v>
      </c>
      <c r="G34" s="23" t="s">
        <v>24</v>
      </c>
      <c r="H34" s="23" t="s">
        <v>9</v>
      </c>
      <c r="I34" s="23" t="s">
        <v>25</v>
      </c>
      <c r="N34"/>
      <c r="O34"/>
      <c r="P34"/>
      <c r="Q34"/>
      <c r="R34"/>
      <c r="S34"/>
      <c r="T34"/>
      <c r="U34"/>
      <c r="V34"/>
      <c r="W34"/>
    </row>
    <row r="35" spans="1:23" s="3" customFormat="1">
      <c r="A35" s="7" t="s">
        <v>194</v>
      </c>
      <c r="B35" s="7" t="s">
        <v>194</v>
      </c>
      <c r="C35" s="25" t="s">
        <v>190</v>
      </c>
      <c r="D35" s="1"/>
      <c r="E35" s="5"/>
      <c r="F35" s="2" t="s">
        <v>191</v>
      </c>
      <c r="G35" s="2" t="s">
        <v>192</v>
      </c>
      <c r="H35" s="2" t="s">
        <v>193</v>
      </c>
      <c r="I35" s="2" t="s">
        <v>162</v>
      </c>
      <c r="N35"/>
      <c r="O35"/>
      <c r="P35"/>
      <c r="Q35"/>
      <c r="R35"/>
      <c r="S35"/>
      <c r="T35"/>
      <c r="U35"/>
      <c r="V35"/>
      <c r="W35"/>
    </row>
    <row r="37" spans="1:23" s="3" customFormat="1">
      <c r="A37"/>
      <c r="B37"/>
      <c r="C37"/>
      <c r="D37"/>
      <c r="E37" s="4"/>
      <c r="F37" s="23" t="s">
        <v>155</v>
      </c>
      <c r="G37" s="23" t="s">
        <v>156</v>
      </c>
      <c r="H37" s="23" t="s">
        <v>24</v>
      </c>
      <c r="I37" s="23" t="s">
        <v>25</v>
      </c>
      <c r="J37" s="23" t="s">
        <v>83</v>
      </c>
      <c r="N37"/>
      <c r="O37"/>
      <c r="P37"/>
      <c r="Q37"/>
      <c r="R37"/>
      <c r="S37"/>
      <c r="T37"/>
      <c r="U37"/>
      <c r="V37"/>
      <c r="W37"/>
    </row>
    <row r="38" spans="1:23" s="3" customFormat="1">
      <c r="A38" s="7" t="s">
        <v>195</v>
      </c>
      <c r="B38" s="7" t="s">
        <v>195</v>
      </c>
      <c r="C38" s="25" t="s">
        <v>196</v>
      </c>
      <c r="D38" s="1"/>
      <c r="E38" s="5"/>
      <c r="F38" s="2" t="s">
        <v>191</v>
      </c>
      <c r="G38" s="2" t="s">
        <v>192</v>
      </c>
      <c r="H38" s="2" t="s">
        <v>193</v>
      </c>
      <c r="I38" s="2" t="s">
        <v>162</v>
      </c>
      <c r="J38" s="2" t="s">
        <v>188</v>
      </c>
      <c r="N38"/>
      <c r="O38"/>
      <c r="P38"/>
      <c r="Q38"/>
      <c r="R38"/>
      <c r="S38"/>
      <c r="T38"/>
      <c r="U38"/>
      <c r="V38"/>
      <c r="W38"/>
    </row>
    <row r="40" spans="1:23">
      <c r="F40" s="44" t="s">
        <v>47</v>
      </c>
      <c r="G40" s="44" t="s">
        <v>48</v>
      </c>
      <c r="H40" s="44" t="s">
        <v>49</v>
      </c>
      <c r="I40" s="44" t="s">
        <v>50</v>
      </c>
      <c r="J40" s="44" t="s">
        <v>51</v>
      </c>
      <c r="K40" s="44" t="s">
        <v>52</v>
      </c>
      <c r="L40" s="44" t="s">
        <v>53</v>
      </c>
      <c r="M40" s="44" t="s">
        <v>54</v>
      </c>
    </row>
    <row r="41" spans="1:23">
      <c r="A41" s="7" t="s">
        <v>197</v>
      </c>
      <c r="B41" s="7" t="s">
        <v>197</v>
      </c>
      <c r="C41" s="25" t="s">
        <v>190</v>
      </c>
      <c r="D41" s="1"/>
      <c r="E41" s="5"/>
      <c r="F41" s="2" t="s">
        <v>162</v>
      </c>
      <c r="G41" s="2" t="s">
        <v>192</v>
      </c>
      <c r="H41" s="2" t="s">
        <v>191</v>
      </c>
      <c r="I41" s="2" t="s">
        <v>193</v>
      </c>
    </row>
    <row r="43" spans="1:23">
      <c r="F43" s="44" t="s">
        <v>47</v>
      </c>
      <c r="G43" s="44" t="s">
        <v>48</v>
      </c>
      <c r="H43" s="44" t="s">
        <v>49</v>
      </c>
      <c r="I43" s="44" t="s">
        <v>50</v>
      </c>
      <c r="J43" s="44" t="s">
        <v>1019</v>
      </c>
      <c r="K43" s="44" t="s">
        <v>1020</v>
      </c>
    </row>
    <row r="44" spans="1:23">
      <c r="A44" s="301" t="s">
        <v>1021</v>
      </c>
      <c r="B44" s="301" t="s">
        <v>1021</v>
      </c>
      <c r="C44" s="25" t="s">
        <v>1022</v>
      </c>
      <c r="D44" s="60" t="s">
        <v>1023</v>
      </c>
      <c r="F44" s="2" t="s">
        <v>1024</v>
      </c>
      <c r="G44" s="2" t="s">
        <v>193</v>
      </c>
      <c r="H44" s="2" t="s">
        <v>162</v>
      </c>
      <c r="I44" s="2"/>
      <c r="J44" s="2" t="s">
        <v>1025</v>
      </c>
      <c r="K44" s="2" t="s">
        <v>1025</v>
      </c>
    </row>
    <row r="45" spans="1:23">
      <c r="A45" s="301"/>
      <c r="B45" s="301"/>
      <c r="C45" s="25" t="s">
        <v>1026</v>
      </c>
      <c r="D45" s="60" t="s">
        <v>1027</v>
      </c>
    </row>
    <row r="46" spans="1:23">
      <c r="A46" s="301" t="s">
        <v>1028</v>
      </c>
      <c r="B46" s="301" t="s">
        <v>1028</v>
      </c>
      <c r="C46" s="25" t="s">
        <v>1022</v>
      </c>
      <c r="D46" s="60" t="s">
        <v>1029</v>
      </c>
      <c r="F46" s="2"/>
      <c r="G46" s="2" t="s">
        <v>193</v>
      </c>
      <c r="H46" s="2" t="s">
        <v>162</v>
      </c>
      <c r="I46" s="2" t="s">
        <v>1024</v>
      </c>
      <c r="J46" s="2" t="s">
        <v>1025</v>
      </c>
      <c r="K46" s="2" t="s">
        <v>1025</v>
      </c>
    </row>
    <row r="47" spans="1:23">
      <c r="A47" s="301"/>
      <c r="B47" s="301"/>
      <c r="C47" s="25" t="s">
        <v>1026</v>
      </c>
      <c r="D47" s="60" t="s">
        <v>1030</v>
      </c>
    </row>
    <row r="48" spans="1:23">
      <c r="A48" s="15"/>
      <c r="B48" s="15"/>
      <c r="C48" s="1"/>
      <c r="D48" s="60"/>
    </row>
    <row r="49" spans="1:17">
      <c r="F49" s="44" t="s">
        <v>199</v>
      </c>
      <c r="G49" s="44" t="s">
        <v>200</v>
      </c>
      <c r="H49" s="44" t="s">
        <v>201</v>
      </c>
      <c r="I49" s="44" t="s">
        <v>202</v>
      </c>
      <c r="N49" s="3"/>
      <c r="O49" s="3"/>
      <c r="P49" s="3"/>
      <c r="Q49" s="3"/>
    </row>
    <row r="50" spans="1:17">
      <c r="A50" s="37" t="s">
        <v>203</v>
      </c>
      <c r="B50" s="37" t="s">
        <v>203</v>
      </c>
      <c r="C50" s="17" t="s">
        <v>204</v>
      </c>
      <c r="D50" s="36" t="s">
        <v>205</v>
      </c>
      <c r="F50" s="2" t="s">
        <v>193</v>
      </c>
      <c r="G50" s="39" t="s">
        <v>162</v>
      </c>
      <c r="H50" s="2" t="s">
        <v>191</v>
      </c>
      <c r="I50" s="2" t="s">
        <v>206</v>
      </c>
      <c r="N50" s="3"/>
      <c r="O50" s="3"/>
      <c r="P50" s="3"/>
      <c r="Q50" s="3"/>
    </row>
    <row r="52" spans="1:17">
      <c r="F52" s="44" t="s">
        <v>47</v>
      </c>
      <c r="G52" s="44" t="s">
        <v>48</v>
      </c>
      <c r="H52" s="44" t="s">
        <v>49</v>
      </c>
      <c r="I52" s="44" t="s">
        <v>50</v>
      </c>
      <c r="J52" s="44" t="s">
        <v>51</v>
      </c>
      <c r="K52" s="44" t="s">
        <v>52</v>
      </c>
      <c r="L52" s="44" t="s">
        <v>53</v>
      </c>
      <c r="M52" s="44" t="s">
        <v>54</v>
      </c>
    </row>
    <row r="53" spans="1:17">
      <c r="A53" s="284" t="s">
        <v>207</v>
      </c>
      <c r="B53" s="7" t="s">
        <v>208</v>
      </c>
      <c r="C53" s="25" t="s">
        <v>209</v>
      </c>
      <c r="D53" s="1"/>
      <c r="E53" s="5"/>
      <c r="F53" s="2" t="s">
        <v>162</v>
      </c>
      <c r="I53" s="2" t="s">
        <v>193</v>
      </c>
      <c r="J53" s="2" t="s">
        <v>191</v>
      </c>
      <c r="M53" s="2" t="s">
        <v>192</v>
      </c>
    </row>
    <row r="54" spans="1:17">
      <c r="A54" s="284"/>
      <c r="B54" s="7" t="s">
        <v>210</v>
      </c>
      <c r="C54" s="25" t="s">
        <v>211</v>
      </c>
      <c r="D54" s="1"/>
      <c r="E54" s="5"/>
      <c r="G54" s="2" t="s">
        <v>162</v>
      </c>
      <c r="H54" s="2" t="s">
        <v>193</v>
      </c>
      <c r="K54" s="2" t="s">
        <v>191</v>
      </c>
      <c r="L54" s="2" t="s">
        <v>192</v>
      </c>
    </row>
    <row r="55" spans="1:17">
      <c r="A55" s="284" t="s">
        <v>212</v>
      </c>
      <c r="B55" s="7" t="s">
        <v>213</v>
      </c>
      <c r="C55" s="26" t="s">
        <v>214</v>
      </c>
      <c r="D55" s="34"/>
      <c r="F55" s="2" t="s">
        <v>193</v>
      </c>
      <c r="G55" s="2" t="s">
        <v>192</v>
      </c>
      <c r="L55" s="2" t="s">
        <v>162</v>
      </c>
      <c r="M55" s="2" t="s">
        <v>191</v>
      </c>
    </row>
    <row r="56" spans="1:17">
      <c r="A56" s="284"/>
      <c r="B56" s="7" t="s">
        <v>215</v>
      </c>
      <c r="C56" s="26" t="s">
        <v>216</v>
      </c>
      <c r="D56" s="34"/>
      <c r="F56" s="2" t="s">
        <v>193</v>
      </c>
      <c r="H56" s="2" t="s">
        <v>192</v>
      </c>
      <c r="I56" s="2" t="s">
        <v>162</v>
      </c>
      <c r="M56" s="2" t="s">
        <v>191</v>
      </c>
    </row>
    <row r="57" spans="1:17">
      <c r="A57" s="284"/>
      <c r="B57" s="7" t="s">
        <v>217</v>
      </c>
      <c r="C57" s="26" t="s">
        <v>218</v>
      </c>
      <c r="D57" s="34"/>
      <c r="G57" s="2" t="s">
        <v>191</v>
      </c>
      <c r="H57" s="2" t="s">
        <v>192</v>
      </c>
      <c r="I57" s="2" t="s">
        <v>162</v>
      </c>
      <c r="L57" s="2" t="s">
        <v>193</v>
      </c>
    </row>
    <row r="58" spans="1:17">
      <c r="A58" s="284" t="s">
        <v>219</v>
      </c>
      <c r="B58" s="7" t="s">
        <v>220</v>
      </c>
      <c r="C58" s="26" t="s">
        <v>221</v>
      </c>
      <c r="D58" s="34"/>
      <c r="H58" s="2" t="s">
        <v>193</v>
      </c>
      <c r="I58" s="2" t="s">
        <v>192</v>
      </c>
      <c r="J58" s="2" t="s">
        <v>162</v>
      </c>
      <c r="K58" s="2" t="s">
        <v>191</v>
      </c>
    </row>
    <row r="59" spans="1:17">
      <c r="A59" s="284"/>
      <c r="B59" s="7" t="s">
        <v>222</v>
      </c>
      <c r="C59" s="26" t="s">
        <v>223</v>
      </c>
      <c r="D59" s="34"/>
      <c r="F59" s="2" t="s">
        <v>162</v>
      </c>
      <c r="G59" s="2" t="s">
        <v>192</v>
      </c>
      <c r="H59" s="2" t="s">
        <v>193</v>
      </c>
      <c r="K59" s="2" t="s">
        <v>191</v>
      </c>
    </row>
    <row r="60" spans="1:17">
      <c r="A60" s="284"/>
      <c r="B60" s="7" t="s">
        <v>224</v>
      </c>
      <c r="C60" s="26" t="s">
        <v>225</v>
      </c>
      <c r="D60" s="34"/>
      <c r="F60" s="2" t="s">
        <v>162</v>
      </c>
      <c r="G60" s="2" t="s">
        <v>192</v>
      </c>
      <c r="I60" s="2" t="s">
        <v>191</v>
      </c>
      <c r="J60" s="2" t="s">
        <v>193</v>
      </c>
    </row>
    <row r="61" spans="1:17">
      <c r="A61" s="284" t="s">
        <v>226</v>
      </c>
      <c r="B61" s="7" t="s">
        <v>227</v>
      </c>
      <c r="C61" s="26" t="s">
        <v>228</v>
      </c>
      <c r="D61" s="34"/>
      <c r="F61" s="2" t="s">
        <v>162</v>
      </c>
      <c r="G61" s="2" t="s">
        <v>192</v>
      </c>
      <c r="L61" s="2" t="s">
        <v>191</v>
      </c>
      <c r="M61" s="2" t="s">
        <v>193</v>
      </c>
    </row>
    <row r="62" spans="1:17">
      <c r="A62" s="284"/>
      <c r="B62" s="7" t="s">
        <v>229</v>
      </c>
      <c r="C62" s="26" t="s">
        <v>230</v>
      </c>
      <c r="D62" s="34"/>
      <c r="H62" s="2" t="s">
        <v>192</v>
      </c>
      <c r="I62" s="2" t="s">
        <v>162</v>
      </c>
      <c r="L62" s="2" t="s">
        <v>191</v>
      </c>
      <c r="M62" s="2" t="s">
        <v>193</v>
      </c>
    </row>
    <row r="63" spans="1:17">
      <c r="A63" s="284"/>
      <c r="B63" s="7" t="s">
        <v>231</v>
      </c>
      <c r="C63" s="26" t="s">
        <v>232</v>
      </c>
      <c r="D63" s="34"/>
      <c r="F63" s="2" t="s">
        <v>193</v>
      </c>
      <c r="G63" s="2" t="s">
        <v>191</v>
      </c>
      <c r="H63" s="2" t="s">
        <v>192</v>
      </c>
      <c r="I63" s="2" t="s">
        <v>162</v>
      </c>
    </row>
    <row r="65" spans="1:23">
      <c r="F65" s="30" t="s">
        <v>10</v>
      </c>
      <c r="G65" s="30" t="s">
        <v>9</v>
      </c>
      <c r="H65" s="30" t="s">
        <v>233</v>
      </c>
      <c r="I65" s="30" t="s">
        <v>234</v>
      </c>
      <c r="J65" s="23" t="s">
        <v>16</v>
      </c>
      <c r="K65" s="23" t="s">
        <v>17</v>
      </c>
      <c r="L65" s="15"/>
      <c r="M65" s="15"/>
      <c r="N65" s="1"/>
      <c r="O65" s="1"/>
      <c r="P65" s="1"/>
      <c r="Q65" s="1"/>
      <c r="R65" s="1"/>
    </row>
    <row r="66" spans="1:23">
      <c r="A66" s="284" t="s">
        <v>235</v>
      </c>
      <c r="B66" s="65" t="s">
        <v>236</v>
      </c>
      <c r="C66" s="29" t="s">
        <v>237</v>
      </c>
      <c r="D66" s="35"/>
      <c r="F66" s="67" t="s">
        <v>238</v>
      </c>
      <c r="G66" s="67" t="s">
        <v>238</v>
      </c>
      <c r="H66" s="2" t="s">
        <v>239</v>
      </c>
      <c r="I66" s="2" t="s">
        <v>239</v>
      </c>
      <c r="J66" s="2" t="s">
        <v>239</v>
      </c>
      <c r="K66" s="2" t="s">
        <v>239</v>
      </c>
      <c r="L66" s="15"/>
      <c r="M66" s="15"/>
      <c r="N66" s="1"/>
      <c r="O66" s="1"/>
      <c r="P66" s="1"/>
      <c r="Q66" s="1"/>
      <c r="R66" s="1"/>
    </row>
    <row r="67" spans="1:23">
      <c r="A67" s="284"/>
      <c r="B67" s="8" t="s">
        <v>240</v>
      </c>
      <c r="C67" s="29" t="s">
        <v>241</v>
      </c>
      <c r="D67" s="35"/>
      <c r="F67" s="67" t="s">
        <v>238</v>
      </c>
      <c r="G67" s="67" t="s">
        <v>238</v>
      </c>
      <c r="H67" s="2" t="s">
        <v>242</v>
      </c>
      <c r="I67" s="2" t="s">
        <v>242</v>
      </c>
      <c r="J67" s="2" t="s">
        <v>242</v>
      </c>
      <c r="K67" s="2" t="s">
        <v>239</v>
      </c>
      <c r="L67" s="15"/>
      <c r="M67" s="15"/>
      <c r="N67" s="1"/>
      <c r="O67" s="1"/>
      <c r="P67" s="1"/>
      <c r="Q67" s="1"/>
      <c r="R67" s="1"/>
    </row>
    <row r="68" spans="1:23">
      <c r="A68" s="284"/>
      <c r="B68" s="8" t="s">
        <v>243</v>
      </c>
      <c r="C68" s="29" t="s">
        <v>244</v>
      </c>
      <c r="D68" s="35"/>
      <c r="F68" s="67" t="s">
        <v>238</v>
      </c>
      <c r="G68" s="67" t="s">
        <v>238</v>
      </c>
      <c r="H68" s="2" t="s">
        <v>239</v>
      </c>
      <c r="I68" s="2" t="s">
        <v>239</v>
      </c>
      <c r="J68" s="2" t="s">
        <v>242</v>
      </c>
      <c r="K68" s="2" t="s">
        <v>242</v>
      </c>
      <c r="L68" s="15"/>
      <c r="M68" s="15"/>
      <c r="N68" s="1"/>
      <c r="O68" s="1"/>
      <c r="P68" s="1"/>
      <c r="Q68" s="1"/>
      <c r="R68" s="1"/>
    </row>
    <row r="69" spans="1:23">
      <c r="A69" s="284"/>
      <c r="B69" s="8" t="s">
        <v>245</v>
      </c>
      <c r="C69" s="29" t="s">
        <v>246</v>
      </c>
      <c r="D69" s="35"/>
      <c r="F69" s="67" t="s">
        <v>238</v>
      </c>
      <c r="G69" s="67" t="s">
        <v>238</v>
      </c>
      <c r="H69" s="2" t="s">
        <v>239</v>
      </c>
      <c r="I69" s="2" t="s">
        <v>242</v>
      </c>
      <c r="J69" s="2" t="s">
        <v>242</v>
      </c>
      <c r="K69" s="2" t="s">
        <v>242</v>
      </c>
      <c r="L69" s="15"/>
      <c r="M69" s="15"/>
      <c r="N69" s="1"/>
      <c r="O69" s="1"/>
      <c r="P69" s="1"/>
      <c r="Q69" s="1"/>
      <c r="R69" s="1"/>
    </row>
    <row r="70" spans="1:23">
      <c r="A70" s="284"/>
      <c r="B70" s="8" t="s">
        <v>247</v>
      </c>
      <c r="C70" s="29" t="s">
        <v>248</v>
      </c>
      <c r="D70" s="35"/>
      <c r="F70" s="67" t="s">
        <v>238</v>
      </c>
      <c r="G70" s="67" t="s">
        <v>238</v>
      </c>
      <c r="H70" s="2" t="s">
        <v>242</v>
      </c>
      <c r="I70" s="2" t="s">
        <v>239</v>
      </c>
      <c r="J70" s="2" t="s">
        <v>242</v>
      </c>
      <c r="K70" s="2" t="s">
        <v>242</v>
      </c>
      <c r="L70" s="15"/>
      <c r="M70" s="15"/>
      <c r="N70" s="1"/>
      <c r="O70" s="1"/>
      <c r="P70" s="1"/>
      <c r="Q70" s="1"/>
      <c r="R70" s="1"/>
    </row>
    <row r="71" spans="1:23">
      <c r="A71" s="284"/>
      <c r="B71" s="8" t="s">
        <v>249</v>
      </c>
      <c r="C71" s="29" t="s">
        <v>250</v>
      </c>
      <c r="D71" s="35"/>
      <c r="F71" s="67" t="s">
        <v>238</v>
      </c>
      <c r="G71" s="67" t="s">
        <v>238</v>
      </c>
      <c r="H71" s="2" t="s">
        <v>242</v>
      </c>
      <c r="I71" s="2" t="s">
        <v>242</v>
      </c>
      <c r="J71" s="2" t="s">
        <v>239</v>
      </c>
      <c r="K71" s="2" t="s">
        <v>242</v>
      </c>
      <c r="L71" s="15"/>
      <c r="M71" s="15"/>
      <c r="N71" s="1"/>
      <c r="O71" s="1"/>
      <c r="P71" s="1"/>
      <c r="Q71" s="1"/>
      <c r="R71" s="1"/>
    </row>
    <row r="72" spans="1:23">
      <c r="A72" s="284" t="s">
        <v>251</v>
      </c>
      <c r="B72" s="8" t="s">
        <v>252</v>
      </c>
      <c r="C72" s="29" t="s">
        <v>253</v>
      </c>
      <c r="D72" s="35"/>
      <c r="F72" s="2" t="s">
        <v>153</v>
      </c>
      <c r="G72" s="2"/>
      <c r="H72" s="2" t="s">
        <v>242</v>
      </c>
      <c r="I72" s="2" t="s">
        <v>242</v>
      </c>
      <c r="J72" s="2" t="s">
        <v>242</v>
      </c>
      <c r="K72" s="2" t="s">
        <v>242</v>
      </c>
      <c r="L72" s="15"/>
      <c r="M72" s="15"/>
      <c r="N72" s="1"/>
      <c r="O72" s="1"/>
      <c r="P72" s="1"/>
      <c r="Q72" s="1"/>
      <c r="R72" s="1"/>
      <c r="S72" s="3"/>
      <c r="T72" s="3"/>
      <c r="U72" s="3"/>
      <c r="V72" s="3"/>
      <c r="W72" s="3"/>
    </row>
    <row r="73" spans="1:23">
      <c r="A73" s="284"/>
      <c r="B73" s="8" t="s">
        <v>254</v>
      </c>
      <c r="C73" s="29" t="s">
        <v>255</v>
      </c>
      <c r="D73" s="35"/>
      <c r="F73" s="2" t="s">
        <v>153</v>
      </c>
      <c r="G73" s="2"/>
      <c r="H73" s="2"/>
      <c r="I73" s="2"/>
      <c r="J73" s="2"/>
      <c r="K73" s="2" t="s">
        <v>242</v>
      </c>
      <c r="L73" s="15"/>
      <c r="M73" s="15"/>
      <c r="N73" s="1"/>
      <c r="O73" s="1"/>
      <c r="P73" s="1"/>
      <c r="Q73" s="1"/>
      <c r="R73" s="1"/>
      <c r="S73" s="3"/>
      <c r="T73" s="3"/>
      <c r="U73" s="3"/>
      <c r="V73" s="3"/>
      <c r="W73" s="3"/>
    </row>
    <row r="74" spans="1:23">
      <c r="A74" s="284"/>
      <c r="B74" s="8" t="s">
        <v>256</v>
      </c>
      <c r="C74" s="29" t="s">
        <v>257</v>
      </c>
      <c r="D74" s="35"/>
      <c r="F74" s="2" t="s">
        <v>153</v>
      </c>
      <c r="G74" s="2"/>
      <c r="H74" s="2" t="s">
        <v>242</v>
      </c>
      <c r="I74" s="2" t="s">
        <v>242</v>
      </c>
      <c r="J74" s="2"/>
      <c r="K74" s="2"/>
      <c r="L74" s="15"/>
      <c r="M74" s="15"/>
      <c r="N74" s="1"/>
      <c r="O74" s="1"/>
      <c r="P74" s="1"/>
      <c r="Q74" s="1"/>
      <c r="R74" s="1"/>
      <c r="S74" s="3"/>
      <c r="T74" s="3"/>
      <c r="U74" s="3"/>
      <c r="V74" s="3"/>
      <c r="W74" s="3"/>
    </row>
    <row r="75" spans="1:23">
      <c r="A75" s="284"/>
      <c r="B75" s="8" t="s">
        <v>258</v>
      </c>
      <c r="C75" s="29" t="s">
        <v>259</v>
      </c>
      <c r="D75" s="35"/>
      <c r="F75" s="2" t="s">
        <v>153</v>
      </c>
      <c r="G75" s="2"/>
      <c r="H75" s="2" t="s">
        <v>242</v>
      </c>
      <c r="I75" s="2"/>
      <c r="J75" s="2"/>
      <c r="K75" s="2"/>
      <c r="L75" s="15"/>
      <c r="M75" s="15"/>
      <c r="N75" s="1"/>
      <c r="O75" s="1"/>
      <c r="P75" s="1"/>
      <c r="Q75" s="1"/>
      <c r="R75" s="1"/>
      <c r="S75" s="3"/>
      <c r="T75" s="3"/>
      <c r="U75" s="3"/>
      <c r="V75" s="3"/>
      <c r="W75" s="3"/>
    </row>
    <row r="76" spans="1:23">
      <c r="A76" s="284"/>
      <c r="B76" s="8" t="s">
        <v>260</v>
      </c>
      <c r="C76" s="29" t="s">
        <v>261</v>
      </c>
      <c r="D76" s="35"/>
      <c r="F76" s="2" t="s">
        <v>153</v>
      </c>
      <c r="G76" s="2"/>
      <c r="H76" s="2"/>
      <c r="I76" s="2" t="s">
        <v>242</v>
      </c>
      <c r="J76" s="2"/>
      <c r="K76" s="2"/>
      <c r="L76" s="15"/>
      <c r="M76" s="15"/>
      <c r="N76" s="1"/>
      <c r="O76" s="1"/>
      <c r="P76" s="1"/>
      <c r="Q76" s="1"/>
      <c r="R76" s="1"/>
      <c r="S76" s="3"/>
      <c r="T76" s="3"/>
      <c r="U76" s="3"/>
      <c r="V76" s="3"/>
      <c r="W76" s="3"/>
    </row>
    <row r="77" spans="1:23">
      <c r="A77" s="284"/>
      <c r="B77" s="8" t="s">
        <v>262</v>
      </c>
      <c r="C77" s="29" t="s">
        <v>263</v>
      </c>
      <c r="D77" s="35"/>
      <c r="F77" s="2" t="s">
        <v>153</v>
      </c>
      <c r="G77" s="2"/>
      <c r="H77" s="2"/>
      <c r="I77" s="2"/>
      <c r="J77" s="2" t="s">
        <v>242</v>
      </c>
      <c r="K77" s="2"/>
      <c r="L77" s="15"/>
      <c r="M77" s="15"/>
      <c r="N77" s="1"/>
      <c r="O77" s="1"/>
      <c r="P77" s="1"/>
      <c r="Q77" s="1"/>
      <c r="R77" s="1"/>
      <c r="S77" s="3"/>
      <c r="T77" s="3"/>
      <c r="U77" s="3"/>
      <c r="V77" s="3"/>
      <c r="W77" s="3"/>
    </row>
    <row r="78" spans="1:23">
      <c r="A78" s="284"/>
      <c r="B78" s="8" t="s">
        <v>264</v>
      </c>
      <c r="C78" s="29" t="s">
        <v>265</v>
      </c>
      <c r="D78" s="35"/>
      <c r="F78" s="2"/>
      <c r="G78" s="2"/>
      <c r="H78" s="2"/>
      <c r="I78" s="2"/>
      <c r="J78" s="2" t="s">
        <v>153</v>
      </c>
      <c r="K78" s="2" t="s">
        <v>242</v>
      </c>
      <c r="L78" s="15"/>
      <c r="M78" s="15"/>
      <c r="N78" s="1"/>
      <c r="O78" s="1"/>
      <c r="P78" s="1"/>
      <c r="Q78" s="1"/>
      <c r="R78" s="1"/>
      <c r="S78" s="3"/>
      <c r="T78" s="3"/>
      <c r="U78" s="3"/>
      <c r="V78" s="3"/>
      <c r="W78" s="3"/>
    </row>
    <row r="80" spans="1:23">
      <c r="F80" s="30" t="s">
        <v>10</v>
      </c>
      <c r="G80" s="30" t="s">
        <v>9</v>
      </c>
      <c r="H80" s="30" t="s">
        <v>233</v>
      </c>
      <c r="I80" s="30" t="s">
        <v>234</v>
      </c>
      <c r="J80" s="23" t="s">
        <v>17</v>
      </c>
      <c r="L80" s="15"/>
      <c r="M80" s="15"/>
      <c r="N80" s="1"/>
      <c r="O80" s="1"/>
      <c r="P80" s="1"/>
      <c r="Q80" s="1"/>
      <c r="R80" s="1"/>
    </row>
    <row r="81" spans="1:23" ht="15.75" customHeight="1">
      <c r="A81" s="284" t="s">
        <v>266</v>
      </c>
      <c r="B81" s="65" t="s">
        <v>267</v>
      </c>
      <c r="C81" s="29" t="s">
        <v>237</v>
      </c>
      <c r="D81" s="35"/>
      <c r="F81" s="67" t="s">
        <v>238</v>
      </c>
      <c r="G81" s="67" t="s">
        <v>238</v>
      </c>
      <c r="H81" s="2" t="s">
        <v>239</v>
      </c>
      <c r="I81" s="2" t="s">
        <v>239</v>
      </c>
      <c r="J81" s="2" t="s">
        <v>239</v>
      </c>
      <c r="L81" s="15"/>
      <c r="M81" s="15"/>
      <c r="N81" s="1"/>
      <c r="O81" s="1"/>
      <c r="P81" s="1"/>
      <c r="Q81" s="1"/>
      <c r="R81" s="1"/>
    </row>
    <row r="82" spans="1:23">
      <c r="A82" s="284"/>
      <c r="B82" s="8" t="s">
        <v>268</v>
      </c>
      <c r="C82" s="29" t="s">
        <v>241</v>
      </c>
      <c r="D82" s="35"/>
      <c r="F82" s="67" t="s">
        <v>238</v>
      </c>
      <c r="G82" s="67" t="s">
        <v>238</v>
      </c>
      <c r="H82" s="2" t="s">
        <v>242</v>
      </c>
      <c r="I82" s="2" t="s">
        <v>242</v>
      </c>
      <c r="J82" s="2" t="s">
        <v>239</v>
      </c>
      <c r="L82" s="15"/>
      <c r="M82" s="15"/>
      <c r="N82" s="1"/>
      <c r="O82" s="1"/>
      <c r="P82" s="1"/>
      <c r="Q82" s="1"/>
      <c r="R82" s="1"/>
    </row>
    <row r="83" spans="1:23">
      <c r="A83" s="284"/>
      <c r="B83" s="8" t="s">
        <v>269</v>
      </c>
      <c r="C83" s="29" t="s">
        <v>244</v>
      </c>
      <c r="D83" s="35"/>
      <c r="F83" s="67" t="s">
        <v>238</v>
      </c>
      <c r="G83" s="67" t="s">
        <v>238</v>
      </c>
      <c r="H83" s="2" t="s">
        <v>239</v>
      </c>
      <c r="I83" s="2" t="s">
        <v>239</v>
      </c>
      <c r="J83" s="2" t="s">
        <v>242</v>
      </c>
      <c r="L83" s="15"/>
      <c r="M83" s="15"/>
      <c r="N83" s="1"/>
      <c r="O83" s="1"/>
      <c r="P83" s="1"/>
      <c r="Q83" s="1"/>
      <c r="R83" s="1"/>
    </row>
    <row r="84" spans="1:23">
      <c r="A84" s="284"/>
      <c r="B84" s="8" t="s">
        <v>270</v>
      </c>
      <c r="C84" s="29" t="s">
        <v>246</v>
      </c>
      <c r="D84" s="35"/>
      <c r="F84" s="67" t="s">
        <v>238</v>
      </c>
      <c r="G84" s="67" t="s">
        <v>238</v>
      </c>
      <c r="H84" s="2" t="s">
        <v>239</v>
      </c>
      <c r="I84" s="2" t="s">
        <v>242</v>
      </c>
      <c r="J84" s="2" t="s">
        <v>242</v>
      </c>
      <c r="L84" s="15"/>
      <c r="M84" s="15"/>
      <c r="N84" s="1"/>
      <c r="O84" s="1"/>
      <c r="P84" s="1"/>
      <c r="Q84" s="1"/>
      <c r="R84" s="1"/>
    </row>
    <row r="85" spans="1:23">
      <c r="A85" s="284"/>
      <c r="B85" s="8" t="s">
        <v>271</v>
      </c>
      <c r="C85" s="29" t="s">
        <v>248</v>
      </c>
      <c r="D85" s="35"/>
      <c r="F85" s="67" t="s">
        <v>238</v>
      </c>
      <c r="G85" s="67" t="s">
        <v>238</v>
      </c>
      <c r="H85" s="2" t="s">
        <v>242</v>
      </c>
      <c r="I85" s="2" t="s">
        <v>239</v>
      </c>
      <c r="J85" s="2" t="s">
        <v>242</v>
      </c>
      <c r="L85" s="15"/>
      <c r="M85" s="15"/>
      <c r="N85" s="1"/>
      <c r="O85" s="1"/>
      <c r="P85" s="1"/>
      <c r="Q85" s="1"/>
      <c r="R85" s="1"/>
    </row>
    <row r="86" spans="1:23">
      <c r="A86" s="284" t="s">
        <v>272</v>
      </c>
      <c r="B86" s="8" t="s">
        <v>273</v>
      </c>
      <c r="C86" s="29" t="s">
        <v>253</v>
      </c>
      <c r="D86" s="35"/>
      <c r="F86" s="2" t="s">
        <v>153</v>
      </c>
      <c r="G86" s="2"/>
      <c r="H86" s="2" t="s">
        <v>242</v>
      </c>
      <c r="I86" s="2" t="s">
        <v>242</v>
      </c>
      <c r="J86" s="2" t="s">
        <v>242</v>
      </c>
      <c r="L86" s="15"/>
      <c r="M86" s="15"/>
      <c r="N86" s="1"/>
      <c r="O86" s="1"/>
      <c r="P86" s="1"/>
      <c r="Q86" s="1"/>
      <c r="R86" s="1"/>
      <c r="S86" s="3"/>
      <c r="T86" s="3"/>
      <c r="U86" s="3"/>
      <c r="V86" s="3"/>
      <c r="W86" s="3"/>
    </row>
    <row r="87" spans="1:23">
      <c r="A87" s="284"/>
      <c r="B87" s="8" t="s">
        <v>254</v>
      </c>
      <c r="C87" s="29" t="s">
        <v>255</v>
      </c>
      <c r="D87" s="35"/>
      <c r="F87" s="2" t="s">
        <v>153</v>
      </c>
      <c r="G87" s="2"/>
      <c r="H87" s="2"/>
      <c r="I87" s="2"/>
      <c r="J87" s="2" t="s">
        <v>242</v>
      </c>
      <c r="L87" s="15"/>
      <c r="M87" s="15"/>
      <c r="N87" s="1"/>
      <c r="O87" s="1"/>
      <c r="P87" s="1"/>
      <c r="Q87" s="1"/>
      <c r="R87" s="1"/>
      <c r="S87" s="3"/>
      <c r="T87" s="3"/>
      <c r="U87" s="3"/>
      <c r="V87" s="3"/>
      <c r="W87" s="3"/>
    </row>
    <row r="88" spans="1:23">
      <c r="A88" s="284"/>
      <c r="B88" s="8" t="s">
        <v>256</v>
      </c>
      <c r="C88" s="29" t="s">
        <v>257</v>
      </c>
      <c r="D88" s="35"/>
      <c r="F88" s="2" t="s">
        <v>153</v>
      </c>
      <c r="G88" s="2"/>
      <c r="H88" s="2" t="s">
        <v>242</v>
      </c>
      <c r="I88" s="2" t="s">
        <v>242</v>
      </c>
      <c r="J88" s="2"/>
      <c r="L88" s="15"/>
      <c r="M88" s="15"/>
      <c r="N88" s="1"/>
      <c r="O88" s="1"/>
      <c r="P88" s="1"/>
      <c r="Q88" s="1"/>
      <c r="R88" s="1"/>
      <c r="S88" s="3"/>
      <c r="T88" s="3"/>
      <c r="U88" s="3"/>
      <c r="V88" s="3"/>
      <c r="W88" s="3"/>
    </row>
    <row r="89" spans="1:23">
      <c r="A89" s="284"/>
      <c r="B89" s="8" t="s">
        <v>258</v>
      </c>
      <c r="C89" s="29" t="s">
        <v>259</v>
      </c>
      <c r="D89" s="35"/>
      <c r="F89" s="2" t="s">
        <v>153</v>
      </c>
      <c r="G89" s="2"/>
      <c r="H89" s="2" t="s">
        <v>242</v>
      </c>
      <c r="I89" s="2"/>
      <c r="J89" s="2"/>
      <c r="L89" s="15"/>
      <c r="M89" s="15"/>
      <c r="N89" s="1"/>
      <c r="O89" s="1"/>
      <c r="P89" s="1"/>
      <c r="Q89" s="1"/>
      <c r="R89" s="1"/>
      <c r="S89" s="3"/>
      <c r="T89" s="3"/>
      <c r="U89" s="3"/>
      <c r="V89" s="3"/>
      <c r="W89" s="3"/>
    </row>
    <row r="90" spans="1:23">
      <c r="A90" s="284"/>
      <c r="B90" s="8" t="s">
        <v>260</v>
      </c>
      <c r="C90" s="29" t="s">
        <v>261</v>
      </c>
      <c r="D90" s="35"/>
      <c r="F90" s="2" t="s">
        <v>153</v>
      </c>
      <c r="G90" s="2"/>
      <c r="H90" s="2"/>
      <c r="I90" s="2" t="s">
        <v>242</v>
      </c>
      <c r="J90" s="2"/>
      <c r="L90" s="15"/>
      <c r="M90" s="15"/>
      <c r="N90" s="1"/>
      <c r="O90" s="1"/>
      <c r="P90" s="1"/>
      <c r="Q90" s="1"/>
      <c r="R90" s="1"/>
      <c r="S90" s="3"/>
      <c r="T90" s="3"/>
      <c r="U90" s="3"/>
      <c r="V90" s="3"/>
      <c r="W90" s="3"/>
    </row>
    <row r="92" spans="1:23">
      <c r="F92" s="30" t="s">
        <v>10</v>
      </c>
      <c r="G92" s="30" t="s">
        <v>9</v>
      </c>
      <c r="H92" s="30" t="s">
        <v>233</v>
      </c>
      <c r="I92" s="30" t="s">
        <v>234</v>
      </c>
      <c r="J92" s="23" t="s">
        <v>16</v>
      </c>
      <c r="K92" s="15"/>
      <c r="L92" s="15"/>
      <c r="M92" s="15"/>
      <c r="N92" s="1"/>
      <c r="O92" s="1"/>
      <c r="P92" s="1"/>
      <c r="Q92" s="1"/>
      <c r="R92" s="1"/>
    </row>
    <row r="93" spans="1:23">
      <c r="A93" s="285" t="s">
        <v>274</v>
      </c>
      <c r="B93" s="65" t="s">
        <v>275</v>
      </c>
      <c r="C93" s="29" t="s">
        <v>237</v>
      </c>
      <c r="D93" s="35"/>
      <c r="F93" s="67" t="s">
        <v>238</v>
      </c>
      <c r="G93" s="67" t="s">
        <v>238</v>
      </c>
      <c r="H93" s="2" t="s">
        <v>239</v>
      </c>
      <c r="I93" s="2" t="s">
        <v>239</v>
      </c>
      <c r="J93" s="2" t="s">
        <v>239</v>
      </c>
      <c r="K93" s="15"/>
      <c r="L93" s="15"/>
      <c r="M93" s="15"/>
      <c r="N93" s="1"/>
      <c r="O93" s="1"/>
      <c r="P93" s="1"/>
      <c r="Q93" s="1"/>
      <c r="R93" s="1"/>
    </row>
    <row r="94" spans="1:23">
      <c r="A94" s="286"/>
      <c r="B94" s="8" t="s">
        <v>276</v>
      </c>
      <c r="C94" s="29" t="s">
        <v>244</v>
      </c>
      <c r="D94" s="35"/>
      <c r="F94" s="67" t="s">
        <v>238</v>
      </c>
      <c r="G94" s="67" t="s">
        <v>238</v>
      </c>
      <c r="H94" s="2" t="s">
        <v>239</v>
      </c>
      <c r="I94" s="2" t="s">
        <v>239</v>
      </c>
      <c r="J94" s="2" t="s">
        <v>242</v>
      </c>
      <c r="K94" s="15"/>
      <c r="L94" s="15"/>
      <c r="M94" s="15"/>
      <c r="N94" s="1"/>
      <c r="O94" s="1"/>
      <c r="P94" s="1"/>
      <c r="Q94" s="1"/>
      <c r="R94" s="1"/>
    </row>
    <row r="95" spans="1:23">
      <c r="A95" s="286"/>
      <c r="B95" s="8" t="s">
        <v>277</v>
      </c>
      <c r="C95" s="29" t="s">
        <v>246</v>
      </c>
      <c r="D95" s="35"/>
      <c r="F95" s="67" t="s">
        <v>238</v>
      </c>
      <c r="G95" s="67" t="s">
        <v>238</v>
      </c>
      <c r="H95" s="2" t="s">
        <v>239</v>
      </c>
      <c r="I95" s="2" t="s">
        <v>242</v>
      </c>
      <c r="J95" s="2" t="s">
        <v>242</v>
      </c>
      <c r="K95" s="15"/>
      <c r="L95" s="15"/>
      <c r="M95" s="15"/>
      <c r="N95" s="1"/>
      <c r="O95" s="1"/>
      <c r="P95" s="1"/>
      <c r="Q95" s="1"/>
      <c r="R95" s="1"/>
    </row>
    <row r="96" spans="1:23">
      <c r="A96" s="286"/>
      <c r="B96" s="8" t="s">
        <v>278</v>
      </c>
      <c r="C96" s="29" t="s">
        <v>248</v>
      </c>
      <c r="D96" s="35"/>
      <c r="F96" s="67" t="s">
        <v>238</v>
      </c>
      <c r="G96" s="67" t="s">
        <v>238</v>
      </c>
      <c r="H96" s="2" t="s">
        <v>242</v>
      </c>
      <c r="I96" s="2" t="s">
        <v>239</v>
      </c>
      <c r="J96" s="2" t="s">
        <v>242</v>
      </c>
      <c r="K96" s="15"/>
      <c r="L96" s="15"/>
      <c r="M96" s="15"/>
      <c r="N96" s="1"/>
      <c r="O96" s="1"/>
      <c r="P96" s="1"/>
      <c r="Q96" s="1"/>
      <c r="R96" s="1"/>
    </row>
    <row r="97" spans="1:23">
      <c r="A97" s="287"/>
      <c r="B97" s="8" t="s">
        <v>279</v>
      </c>
      <c r="C97" s="29" t="s">
        <v>250</v>
      </c>
      <c r="D97" s="35"/>
      <c r="F97" s="67" t="s">
        <v>238</v>
      </c>
      <c r="G97" s="67" t="s">
        <v>238</v>
      </c>
      <c r="H97" s="2" t="s">
        <v>242</v>
      </c>
      <c r="I97" s="2" t="s">
        <v>242</v>
      </c>
      <c r="J97" s="2" t="s">
        <v>239</v>
      </c>
      <c r="K97" s="15"/>
      <c r="L97" s="15"/>
      <c r="M97" s="15"/>
      <c r="N97" s="1"/>
      <c r="O97" s="1"/>
      <c r="P97" s="1"/>
      <c r="Q97" s="1"/>
      <c r="R97" s="1"/>
    </row>
    <row r="98" spans="1:23">
      <c r="A98" s="285" t="s">
        <v>280</v>
      </c>
      <c r="B98" s="8" t="s">
        <v>281</v>
      </c>
      <c r="C98" s="29" t="s">
        <v>253</v>
      </c>
      <c r="D98" s="35"/>
      <c r="F98" s="2" t="s">
        <v>153</v>
      </c>
      <c r="G98" s="2"/>
      <c r="H98" s="2" t="s">
        <v>242</v>
      </c>
      <c r="I98" s="2" t="s">
        <v>242</v>
      </c>
      <c r="J98" s="2" t="s">
        <v>242</v>
      </c>
      <c r="K98" s="15"/>
      <c r="L98" s="15"/>
      <c r="M98" s="15"/>
      <c r="N98" s="1"/>
      <c r="O98" s="1"/>
      <c r="P98" s="1"/>
      <c r="Q98" s="1"/>
      <c r="R98" s="1"/>
      <c r="S98" s="3"/>
      <c r="T98" s="3"/>
      <c r="U98" s="3"/>
      <c r="V98" s="3"/>
      <c r="W98" s="3"/>
    </row>
    <row r="99" spans="1:23">
      <c r="A99" s="286"/>
      <c r="B99" s="8" t="s">
        <v>256</v>
      </c>
      <c r="C99" s="29" t="s">
        <v>257</v>
      </c>
      <c r="D99" s="35"/>
      <c r="F99" s="2" t="s">
        <v>153</v>
      </c>
      <c r="G99" s="2"/>
      <c r="H99" s="2" t="s">
        <v>242</v>
      </c>
      <c r="I99" s="2" t="s">
        <v>242</v>
      </c>
      <c r="J99" s="2"/>
      <c r="K99" s="15"/>
      <c r="L99" s="15"/>
      <c r="M99" s="15"/>
      <c r="N99" s="1"/>
      <c r="O99" s="1"/>
      <c r="P99" s="1"/>
      <c r="Q99" s="1"/>
      <c r="R99" s="1"/>
      <c r="S99" s="3"/>
      <c r="T99" s="3"/>
      <c r="U99" s="3"/>
      <c r="V99" s="3"/>
      <c r="W99" s="3"/>
    </row>
    <row r="100" spans="1:23">
      <c r="A100" s="286"/>
      <c r="B100" s="8" t="s">
        <v>258</v>
      </c>
      <c r="C100" s="29" t="s">
        <v>259</v>
      </c>
      <c r="D100" s="35"/>
      <c r="F100" s="2" t="s">
        <v>153</v>
      </c>
      <c r="G100" s="2"/>
      <c r="H100" s="2" t="s">
        <v>242</v>
      </c>
      <c r="I100" s="2"/>
      <c r="J100" s="2"/>
      <c r="K100" s="15"/>
      <c r="L100" s="15"/>
      <c r="M100" s="15"/>
      <c r="N100" s="1"/>
      <c r="O100" s="1"/>
      <c r="P100" s="1"/>
      <c r="Q100" s="1"/>
      <c r="R100" s="1"/>
      <c r="S100" s="3"/>
      <c r="T100" s="3"/>
      <c r="U100" s="3"/>
      <c r="V100" s="3"/>
      <c r="W100" s="3"/>
    </row>
    <row r="101" spans="1:23">
      <c r="A101" s="286"/>
      <c r="B101" s="8" t="s">
        <v>260</v>
      </c>
      <c r="C101" s="29" t="s">
        <v>261</v>
      </c>
      <c r="D101" s="35"/>
      <c r="F101" s="2" t="s">
        <v>153</v>
      </c>
      <c r="G101" s="2"/>
      <c r="H101" s="2"/>
      <c r="I101" s="2" t="s">
        <v>242</v>
      </c>
      <c r="J101" s="2"/>
      <c r="K101" s="15"/>
      <c r="L101" s="15"/>
      <c r="M101" s="15"/>
      <c r="N101" s="1"/>
      <c r="O101" s="1"/>
      <c r="P101" s="1"/>
      <c r="Q101" s="1"/>
      <c r="R101" s="1"/>
      <c r="S101" s="3"/>
      <c r="T101" s="3"/>
      <c r="U101" s="3"/>
      <c r="V101" s="3"/>
      <c r="W101" s="3"/>
    </row>
    <row r="102" spans="1:23">
      <c r="A102" s="287"/>
      <c r="B102" s="8" t="s">
        <v>262</v>
      </c>
      <c r="C102" s="29" t="s">
        <v>263</v>
      </c>
      <c r="D102" s="35"/>
      <c r="F102" s="2" t="s">
        <v>153</v>
      </c>
      <c r="G102" s="2"/>
      <c r="H102" s="2"/>
      <c r="I102" s="2"/>
      <c r="J102" s="2" t="s">
        <v>242</v>
      </c>
      <c r="K102" s="15"/>
      <c r="L102" s="15"/>
      <c r="M102" s="15"/>
      <c r="N102" s="1"/>
      <c r="O102" s="1"/>
      <c r="P102" s="1"/>
      <c r="Q102" s="1"/>
      <c r="R102" s="1"/>
      <c r="S102" s="3"/>
      <c r="T102" s="3"/>
      <c r="U102" s="3"/>
      <c r="V102" s="3"/>
      <c r="W102" s="3"/>
    </row>
    <row r="104" spans="1:23">
      <c r="E104" s="4"/>
      <c r="F104" s="23" t="s">
        <v>101</v>
      </c>
      <c r="G104" s="23" t="s">
        <v>102</v>
      </c>
      <c r="H104" s="23" t="s">
        <v>100</v>
      </c>
    </row>
    <row r="105" spans="1:23">
      <c r="A105" s="7" t="s">
        <v>282</v>
      </c>
      <c r="B105" s="7" t="s">
        <v>282</v>
      </c>
      <c r="C105" s="25" t="s">
        <v>283</v>
      </c>
      <c r="D105" s="1"/>
      <c r="E105" s="6"/>
      <c r="F105" s="67" t="s">
        <v>153</v>
      </c>
      <c r="G105" s="67" t="s">
        <v>154</v>
      </c>
      <c r="H105" s="67" t="s">
        <v>154</v>
      </c>
    </row>
    <row r="106" spans="1:23">
      <c r="A106" s="205" t="s">
        <v>284</v>
      </c>
      <c r="B106" s="205" t="s">
        <v>284</v>
      </c>
      <c r="C106" s="206" t="s">
        <v>285</v>
      </c>
      <c r="D106" s="207"/>
      <c r="E106" s="208"/>
      <c r="F106" s="209" t="s">
        <v>238</v>
      </c>
      <c r="G106" s="209" t="s">
        <v>239</v>
      </c>
      <c r="H106" s="209" t="s">
        <v>239</v>
      </c>
    </row>
    <row r="107" spans="1:23">
      <c r="A107" s="7" t="s">
        <v>286</v>
      </c>
      <c r="B107" s="7" t="s">
        <v>286</v>
      </c>
      <c r="C107" s="25" t="s">
        <v>287</v>
      </c>
      <c r="D107" s="1"/>
      <c r="E107" s="6"/>
      <c r="F107" s="67" t="s">
        <v>288</v>
      </c>
      <c r="G107" s="67" t="s">
        <v>242</v>
      </c>
      <c r="H107" s="67" t="s">
        <v>242</v>
      </c>
    </row>
    <row r="108" spans="1:23">
      <c r="A108" s="1"/>
      <c r="B108" s="1"/>
      <c r="C108" s="1"/>
      <c r="D108" s="1"/>
      <c r="E108" s="6"/>
      <c r="F108" s="15"/>
      <c r="G108" s="15"/>
      <c r="H108" s="15"/>
    </row>
    <row r="109" spans="1:23">
      <c r="A109" s="1"/>
      <c r="B109" s="1"/>
      <c r="C109" s="1"/>
      <c r="D109" s="1"/>
      <c r="E109" s="6"/>
      <c r="F109" s="23" t="s">
        <v>101</v>
      </c>
      <c r="G109" s="23" t="s">
        <v>102</v>
      </c>
      <c r="H109" s="15"/>
    </row>
    <row r="110" spans="1:23">
      <c r="A110" s="7" t="s">
        <v>1201</v>
      </c>
      <c r="B110" s="7" t="s">
        <v>1201</v>
      </c>
      <c r="C110" s="25" t="s">
        <v>283</v>
      </c>
      <c r="D110" s="1"/>
      <c r="E110" s="6"/>
      <c r="F110" s="67" t="s">
        <v>153</v>
      </c>
      <c r="G110" s="67" t="s">
        <v>154</v>
      </c>
      <c r="H110" s="15"/>
    </row>
    <row r="111" spans="1:23">
      <c r="A111" s="7" t="s">
        <v>1202</v>
      </c>
      <c r="B111" s="7" t="s">
        <v>1202</v>
      </c>
      <c r="C111" s="25" t="s">
        <v>285</v>
      </c>
      <c r="D111" s="1"/>
      <c r="E111" s="6"/>
      <c r="F111" s="67" t="s">
        <v>238</v>
      </c>
      <c r="G111" s="67" t="s">
        <v>239</v>
      </c>
      <c r="H111" s="15"/>
    </row>
    <row r="112" spans="1:23">
      <c r="A112" s="7" t="s">
        <v>1203</v>
      </c>
      <c r="B112" s="7" t="s">
        <v>1203</v>
      </c>
      <c r="C112" s="25" t="s">
        <v>287</v>
      </c>
      <c r="D112" s="1"/>
      <c r="E112" s="6"/>
      <c r="F112" s="67" t="s">
        <v>288</v>
      </c>
      <c r="G112" s="67" t="s">
        <v>242</v>
      </c>
      <c r="H112" s="15"/>
    </row>
    <row r="113" spans="1:13">
      <c r="A113" s="1"/>
      <c r="B113" s="1"/>
      <c r="C113" s="1"/>
      <c r="D113" s="1"/>
      <c r="E113" s="6"/>
      <c r="F113" s="15"/>
      <c r="G113" s="15"/>
      <c r="H113" s="15"/>
    </row>
    <row r="114" spans="1:13">
      <c r="A114" s="1"/>
      <c r="B114" s="1"/>
      <c r="C114" s="1"/>
      <c r="D114" s="1"/>
      <c r="E114" s="6"/>
      <c r="F114" s="23" t="s">
        <v>101</v>
      </c>
      <c r="G114" s="23" t="s">
        <v>100</v>
      </c>
      <c r="H114" s="15"/>
    </row>
    <row r="115" spans="1:13">
      <c r="A115" s="7" t="s">
        <v>1204</v>
      </c>
      <c r="B115" s="7" t="s">
        <v>1204</v>
      </c>
      <c r="C115" s="25" t="s">
        <v>283</v>
      </c>
      <c r="D115" s="1"/>
      <c r="E115" s="6"/>
      <c r="F115" s="67" t="s">
        <v>153</v>
      </c>
      <c r="G115" s="67" t="s">
        <v>154</v>
      </c>
      <c r="H115" s="15"/>
    </row>
    <row r="116" spans="1:13">
      <c r="A116" s="7" t="s">
        <v>1205</v>
      </c>
      <c r="B116" s="7" t="s">
        <v>1205</v>
      </c>
      <c r="C116" s="25" t="s">
        <v>285</v>
      </c>
      <c r="D116" s="1"/>
      <c r="E116" s="6"/>
      <c r="F116" s="67" t="s">
        <v>238</v>
      </c>
      <c r="G116" s="67" t="s">
        <v>239</v>
      </c>
      <c r="H116" s="15"/>
    </row>
    <row r="117" spans="1:13">
      <c r="A117" s="7" t="s">
        <v>1206</v>
      </c>
      <c r="B117" s="7" t="s">
        <v>1206</v>
      </c>
      <c r="C117" s="25" t="s">
        <v>287</v>
      </c>
      <c r="D117" s="1"/>
      <c r="E117" s="6"/>
      <c r="F117" s="67" t="s">
        <v>288</v>
      </c>
      <c r="G117" s="67" t="s">
        <v>242</v>
      </c>
      <c r="H117" s="15"/>
    </row>
    <row r="118" spans="1:13">
      <c r="A118" s="1"/>
      <c r="B118" s="1"/>
      <c r="C118" s="1"/>
      <c r="D118" s="1"/>
      <c r="E118" s="6"/>
      <c r="F118" s="15"/>
      <c r="G118" s="15"/>
      <c r="H118" s="15"/>
    </row>
    <row r="119" spans="1:13">
      <c r="A119" s="1"/>
      <c r="B119" s="1"/>
      <c r="C119" s="1"/>
      <c r="D119" s="1"/>
      <c r="E119" s="6"/>
      <c r="F119" s="23" t="s">
        <v>102</v>
      </c>
      <c r="G119" s="23" t="s">
        <v>100</v>
      </c>
      <c r="H119" s="15"/>
    </row>
    <row r="120" spans="1:13">
      <c r="A120" s="7" t="s">
        <v>1207</v>
      </c>
      <c r="B120" s="7" t="s">
        <v>1207</v>
      </c>
      <c r="C120" s="25" t="s">
        <v>283</v>
      </c>
      <c r="D120" s="1"/>
      <c r="E120" s="6"/>
      <c r="F120" s="67" t="s">
        <v>153</v>
      </c>
      <c r="G120" s="67" t="s">
        <v>154</v>
      </c>
      <c r="H120" s="15"/>
    </row>
    <row r="121" spans="1:13">
      <c r="A121" s="7" t="s">
        <v>1208</v>
      </c>
      <c r="B121" s="7" t="s">
        <v>1208</v>
      </c>
      <c r="C121" s="25" t="s">
        <v>285</v>
      </c>
      <c r="D121" s="1"/>
      <c r="E121" s="6"/>
      <c r="F121" s="67" t="s">
        <v>238</v>
      </c>
      <c r="G121" s="67" t="s">
        <v>239</v>
      </c>
      <c r="H121" s="15"/>
    </row>
    <row r="122" spans="1:13">
      <c r="A122" s="7" t="s">
        <v>1209</v>
      </c>
      <c r="B122" s="7" t="s">
        <v>1209</v>
      </c>
      <c r="C122" s="25" t="s">
        <v>287</v>
      </c>
      <c r="D122" s="1"/>
      <c r="E122" s="6"/>
      <c r="F122" s="67" t="s">
        <v>288</v>
      </c>
      <c r="G122" s="67" t="s">
        <v>242</v>
      </c>
      <c r="H122" s="15"/>
    </row>
    <row r="123" spans="1:13">
      <c r="A123" s="1"/>
      <c r="B123" s="1"/>
      <c r="C123" s="1"/>
      <c r="D123" s="1"/>
      <c r="E123" s="6"/>
      <c r="F123" s="15"/>
      <c r="G123" s="15"/>
      <c r="H123" s="15"/>
    </row>
    <row r="124" spans="1:13">
      <c r="A124" s="1"/>
      <c r="B124" s="1"/>
      <c r="C124" s="1"/>
      <c r="D124" s="1"/>
      <c r="E124" s="6"/>
      <c r="F124"/>
      <c r="G124"/>
      <c r="H124"/>
      <c r="I124"/>
      <c r="J124"/>
      <c r="K124"/>
      <c r="L124"/>
      <c r="M124"/>
    </row>
    <row r="125" spans="1:13">
      <c r="A125" s="7" t="s">
        <v>1210</v>
      </c>
      <c r="B125" s="7" t="s">
        <v>1210</v>
      </c>
      <c r="C125" s="107" t="s">
        <v>283</v>
      </c>
      <c r="D125" s="1"/>
      <c r="E125" s="6"/>
      <c r="F125" s="213" t="s">
        <v>1211</v>
      </c>
      <c r="G125" s="308" t="s">
        <v>1212</v>
      </c>
      <c r="H125" s="308"/>
      <c r="I125" s="308"/>
      <c r="J125"/>
      <c r="K125"/>
      <c r="L125"/>
      <c r="M125"/>
    </row>
    <row r="126" spans="1:13">
      <c r="A126" s="7" t="s">
        <v>1213</v>
      </c>
      <c r="B126" s="7" t="s">
        <v>1213</v>
      </c>
      <c r="C126" s="107" t="s">
        <v>283</v>
      </c>
      <c r="D126" s="1"/>
      <c r="E126" s="6"/>
      <c r="F126" s="213" t="s">
        <v>1214</v>
      </c>
      <c r="G126" s="213" t="s">
        <v>102</v>
      </c>
      <c r="H126" s="213" t="s">
        <v>101</v>
      </c>
      <c r="I126" s="213" t="s">
        <v>100</v>
      </c>
      <c r="J126"/>
      <c r="K126"/>
      <c r="L126"/>
      <c r="M126"/>
    </row>
    <row r="127" spans="1:13">
      <c r="A127" s="7" t="s">
        <v>284</v>
      </c>
      <c r="B127" s="210" t="s">
        <v>284</v>
      </c>
      <c r="C127" s="211" t="s">
        <v>285</v>
      </c>
      <c r="D127" s="1"/>
      <c r="E127" s="6"/>
      <c r="F127" s="213" t="s">
        <v>1215</v>
      </c>
      <c r="G127" s="213" t="s">
        <v>13</v>
      </c>
      <c r="H127" s="213" t="s">
        <v>12</v>
      </c>
      <c r="I127" s="213" t="s">
        <v>1216</v>
      </c>
    </row>
    <row r="128" spans="1:13">
      <c r="A128" s="7" t="s">
        <v>1217</v>
      </c>
      <c r="B128" s="7" t="s">
        <v>1217</v>
      </c>
      <c r="C128" s="25" t="s">
        <v>287</v>
      </c>
      <c r="D128" s="1"/>
      <c r="E128" s="6"/>
      <c r="F128" s="213" t="s">
        <v>1218</v>
      </c>
      <c r="G128" s="308" t="s">
        <v>1219</v>
      </c>
      <c r="H128" s="308"/>
      <c r="I128" s="308"/>
    </row>
    <row r="129" spans="1:9">
      <c r="A129" s="1"/>
      <c r="B129" s="1"/>
      <c r="C129" s="1"/>
      <c r="D129" s="1"/>
      <c r="E129" s="6"/>
      <c r="F129" s="309"/>
      <c r="G129" s="309"/>
      <c r="H129" s="309"/>
      <c r="I129" s="309"/>
    </row>
    <row r="130" spans="1:9">
      <c r="A130" s="1"/>
      <c r="B130" s="1"/>
      <c r="C130" s="1"/>
      <c r="D130" s="1"/>
      <c r="E130" s="6"/>
      <c r="F130" s="213" t="s">
        <v>1211</v>
      </c>
      <c r="G130" s="308" t="s">
        <v>1220</v>
      </c>
      <c r="H130" s="308"/>
      <c r="I130" s="308"/>
    </row>
    <row r="131" spans="1:9">
      <c r="A131" s="1"/>
      <c r="B131" s="1"/>
      <c r="C131" s="1"/>
      <c r="D131" s="1"/>
      <c r="E131" s="6"/>
      <c r="F131" s="213" t="s">
        <v>1214</v>
      </c>
      <c r="G131" s="213" t="s">
        <v>102</v>
      </c>
      <c r="H131" s="213" t="s">
        <v>101</v>
      </c>
      <c r="I131" s="213" t="s">
        <v>100</v>
      </c>
    </row>
    <row r="132" spans="1:9">
      <c r="A132" s="1"/>
      <c r="B132" s="1"/>
      <c r="C132" s="1"/>
      <c r="D132" s="1"/>
      <c r="E132" s="6"/>
      <c r="F132" s="213" t="s">
        <v>1215</v>
      </c>
      <c r="G132" s="213" t="s">
        <v>1221</v>
      </c>
      <c r="H132" s="213" t="s">
        <v>12</v>
      </c>
      <c r="I132" s="213" t="s">
        <v>13</v>
      </c>
    </row>
    <row r="133" spans="1:9">
      <c r="A133" s="1"/>
      <c r="B133" s="1"/>
      <c r="C133" s="1"/>
      <c r="D133" s="1"/>
      <c r="E133" s="6"/>
      <c r="F133" s="213" t="s">
        <v>1218</v>
      </c>
      <c r="G133" s="308" t="s">
        <v>1219</v>
      </c>
      <c r="H133" s="308"/>
      <c r="I133" s="308"/>
    </row>
    <row r="134" spans="1:9">
      <c r="A134" s="1"/>
      <c r="B134" s="1"/>
      <c r="C134" s="1"/>
      <c r="D134" s="1"/>
      <c r="E134" s="6"/>
      <c r="F134" s="309"/>
      <c r="G134" s="309"/>
      <c r="H134" s="309"/>
      <c r="I134" s="309"/>
    </row>
    <row r="135" spans="1:9">
      <c r="A135" s="1"/>
      <c r="B135" s="1"/>
      <c r="C135" s="1"/>
      <c r="D135" s="1"/>
      <c r="E135" s="6"/>
      <c r="F135" s="213" t="s">
        <v>1211</v>
      </c>
      <c r="G135" s="308" t="s">
        <v>1222</v>
      </c>
      <c r="H135" s="308"/>
      <c r="I135" s="308"/>
    </row>
    <row r="136" spans="1:9">
      <c r="A136" s="1"/>
      <c r="B136" s="1"/>
      <c r="C136" s="1"/>
      <c r="D136" s="1"/>
      <c r="E136" s="6"/>
      <c r="F136" s="213" t="s">
        <v>1214</v>
      </c>
      <c r="G136" s="213" t="s">
        <v>102</v>
      </c>
      <c r="H136" s="213" t="s">
        <v>101</v>
      </c>
      <c r="I136" s="213" t="s">
        <v>100</v>
      </c>
    </row>
    <row r="137" spans="1:9">
      <c r="A137" s="1"/>
      <c r="B137" s="1"/>
      <c r="C137" s="1"/>
      <c r="D137" s="1"/>
      <c r="E137" s="6"/>
      <c r="F137" s="213" t="s">
        <v>1215</v>
      </c>
      <c r="G137" s="214" t="s">
        <v>13</v>
      </c>
      <c r="H137" s="186" t="s">
        <v>1223</v>
      </c>
      <c r="I137" s="186" t="s">
        <v>12</v>
      </c>
    </row>
    <row r="138" spans="1:9">
      <c r="A138" s="1"/>
      <c r="B138" s="1"/>
      <c r="C138" s="1"/>
      <c r="D138" s="1"/>
      <c r="E138" s="6"/>
      <c r="F138" s="213" t="s">
        <v>1218</v>
      </c>
      <c r="G138" s="308" t="s">
        <v>1219</v>
      </c>
      <c r="H138" s="308"/>
      <c r="I138" s="308"/>
    </row>
    <row r="139" spans="1:9">
      <c r="A139" s="1"/>
      <c r="B139" s="1"/>
      <c r="C139" s="1"/>
      <c r="D139" s="1"/>
      <c r="E139" s="6"/>
      <c r="F139" s="212"/>
      <c r="G139" s="212"/>
      <c r="H139" s="212"/>
      <c r="I139" s="212"/>
    </row>
    <row r="140" spans="1:9">
      <c r="A140" s="1"/>
      <c r="B140" s="1"/>
      <c r="C140" s="1"/>
      <c r="D140" s="1"/>
      <c r="E140" s="6"/>
      <c r="F140" s="213" t="s">
        <v>1211</v>
      </c>
      <c r="G140" s="308" t="s">
        <v>1224</v>
      </c>
      <c r="H140" s="308"/>
      <c r="I140" s="308"/>
    </row>
    <row r="141" spans="1:9">
      <c r="A141" s="1"/>
      <c r="B141" s="1"/>
      <c r="C141" s="1"/>
      <c r="D141" s="1"/>
      <c r="E141" s="6"/>
      <c r="F141" s="213" t="s">
        <v>1214</v>
      </c>
      <c r="G141" s="213" t="s">
        <v>102</v>
      </c>
      <c r="H141" s="213" t="s">
        <v>101</v>
      </c>
      <c r="I141" s="213" t="s">
        <v>100</v>
      </c>
    </row>
    <row r="142" spans="1:9">
      <c r="A142" s="1"/>
      <c r="B142" s="1"/>
      <c r="C142" s="1"/>
      <c r="D142" s="1"/>
      <c r="E142" s="6"/>
      <c r="F142" s="213" t="s">
        <v>1215</v>
      </c>
      <c r="G142" s="213" t="s">
        <v>13</v>
      </c>
      <c r="H142" s="213" t="s">
        <v>12</v>
      </c>
      <c r="I142" s="213" t="s">
        <v>13</v>
      </c>
    </row>
    <row r="143" spans="1:9">
      <c r="A143" s="1"/>
      <c r="B143" s="1"/>
      <c r="C143" s="1"/>
      <c r="D143" s="1"/>
      <c r="E143" s="6"/>
      <c r="F143" s="213" t="s">
        <v>1218</v>
      </c>
      <c r="G143" s="308" t="s">
        <v>1225</v>
      </c>
      <c r="H143" s="308"/>
      <c r="I143" s="308"/>
    </row>
    <row r="144" spans="1:9">
      <c r="A144" s="1"/>
      <c r="B144" s="1"/>
      <c r="C144" s="1"/>
      <c r="D144" s="1"/>
      <c r="E144" s="6"/>
      <c r="F144" s="15"/>
      <c r="G144" s="15"/>
      <c r="H144" s="15"/>
    </row>
    <row r="145" spans="1:18">
      <c r="A145" s="1"/>
      <c r="B145" s="1"/>
      <c r="C145" s="1"/>
      <c r="D145" s="1"/>
      <c r="E145" s="6"/>
      <c r="F145" s="15"/>
      <c r="G145" s="15"/>
      <c r="H145" s="15"/>
    </row>
    <row r="147" spans="1:18">
      <c r="A147" s="1"/>
      <c r="B147" s="1"/>
      <c r="C147" s="1"/>
      <c r="F147" s="15"/>
      <c r="G147" s="15"/>
    </row>
    <row r="148" spans="1:18">
      <c r="F148" s="30" t="s">
        <v>10</v>
      </c>
      <c r="G148" s="30" t="s">
        <v>9</v>
      </c>
      <c r="H148" s="30" t="s">
        <v>233</v>
      </c>
      <c r="I148" s="30" t="s">
        <v>234</v>
      </c>
      <c r="L148" s="15"/>
      <c r="M148" s="15"/>
      <c r="N148" s="1"/>
      <c r="O148" s="1"/>
      <c r="P148" s="1"/>
      <c r="Q148" s="1"/>
      <c r="R148" s="1"/>
    </row>
    <row r="149" spans="1:18">
      <c r="A149" s="296" t="s">
        <v>289</v>
      </c>
      <c r="B149" s="8" t="s">
        <v>258</v>
      </c>
      <c r="C149" s="29" t="s">
        <v>259</v>
      </c>
      <c r="D149" s="35"/>
      <c r="F149" s="2" t="s">
        <v>153</v>
      </c>
      <c r="G149" s="2"/>
      <c r="H149" s="2" t="s">
        <v>242</v>
      </c>
      <c r="I149" s="2"/>
    </row>
    <row r="150" spans="1:18">
      <c r="A150" s="297"/>
      <c r="B150" s="8" t="s">
        <v>260</v>
      </c>
      <c r="C150" s="29" t="s">
        <v>261</v>
      </c>
      <c r="D150" s="35"/>
      <c r="F150" s="2" t="s">
        <v>153</v>
      </c>
      <c r="G150" s="2"/>
      <c r="H150" s="2"/>
      <c r="I150" s="2" t="s">
        <v>242</v>
      </c>
    </row>
    <row r="152" spans="1:18">
      <c r="F152" s="44" t="s">
        <v>32</v>
      </c>
      <c r="G152" s="44" t="s">
        <v>33</v>
      </c>
      <c r="H152" s="44" t="s">
        <v>34</v>
      </c>
      <c r="I152" s="44" t="s">
        <v>35</v>
      </c>
      <c r="J152" s="44" t="s">
        <v>36</v>
      </c>
      <c r="K152" s="44" t="s">
        <v>37</v>
      </c>
    </row>
    <row r="153" spans="1:18">
      <c r="A153" s="33" t="s">
        <v>290</v>
      </c>
      <c r="B153" s="33" t="s">
        <v>290</v>
      </c>
      <c r="C153" s="25" t="s">
        <v>158</v>
      </c>
      <c r="D153" s="1"/>
      <c r="F153" s="2"/>
      <c r="G153" s="2" t="s">
        <v>153</v>
      </c>
      <c r="H153" s="2" t="s">
        <v>162</v>
      </c>
      <c r="I153" s="2"/>
      <c r="J153" s="2"/>
      <c r="K153" s="2"/>
    </row>
    <row r="155" spans="1:18">
      <c r="D155" s="4"/>
      <c r="F155" s="44" t="s">
        <v>33</v>
      </c>
      <c r="G155" s="44" t="s">
        <v>39</v>
      </c>
      <c r="H155" s="44" t="s">
        <v>40</v>
      </c>
      <c r="I155" s="44" t="s">
        <v>41</v>
      </c>
      <c r="J155" s="44" t="s">
        <v>38</v>
      </c>
      <c r="K155" s="44" t="s">
        <v>42</v>
      </c>
      <c r="L155" s="44" t="s">
        <v>45</v>
      </c>
      <c r="M155" s="44" t="s">
        <v>44</v>
      </c>
      <c r="N155" s="44" t="s">
        <v>43</v>
      </c>
      <c r="O155" s="44" t="s">
        <v>32</v>
      </c>
      <c r="P155" s="44" t="s">
        <v>34</v>
      </c>
      <c r="Q155" s="44" t="s">
        <v>35</v>
      </c>
    </row>
    <row r="156" spans="1:18">
      <c r="A156" s="7" t="s">
        <v>291</v>
      </c>
      <c r="B156" s="7" t="s">
        <v>291</v>
      </c>
      <c r="C156" s="17" t="s">
        <v>292</v>
      </c>
      <c r="F156" s="2"/>
      <c r="G156" s="2" t="s">
        <v>153</v>
      </c>
      <c r="H156" s="2"/>
      <c r="I156" s="2"/>
      <c r="J156" s="2" t="s">
        <v>154</v>
      </c>
      <c r="K156" s="2"/>
      <c r="L156" s="2"/>
      <c r="M156" s="2"/>
      <c r="N156" s="17"/>
      <c r="O156" s="17"/>
      <c r="P156" s="17"/>
      <c r="Q156" s="17"/>
    </row>
    <row r="158" spans="1:18">
      <c r="F158" s="44" t="s">
        <v>33</v>
      </c>
      <c r="G158" s="44" t="s">
        <v>39</v>
      </c>
      <c r="H158" s="44" t="s">
        <v>40</v>
      </c>
      <c r="I158" s="44" t="s">
        <v>41</v>
      </c>
      <c r="J158" s="44" t="s">
        <v>38</v>
      </c>
      <c r="K158" s="44" t="s">
        <v>42</v>
      </c>
      <c r="L158" s="44" t="s">
        <v>45</v>
      </c>
      <c r="M158" s="44" t="s">
        <v>44</v>
      </c>
      <c r="N158" s="44" t="s">
        <v>43</v>
      </c>
      <c r="O158" s="44" t="s">
        <v>32</v>
      </c>
      <c r="P158" s="44" t="s">
        <v>34</v>
      </c>
      <c r="Q158" s="44" t="s">
        <v>35</v>
      </c>
    </row>
    <row r="159" spans="1:18">
      <c r="A159" s="37" t="s">
        <v>293</v>
      </c>
      <c r="B159" s="37" t="s">
        <v>293</v>
      </c>
      <c r="C159" s="17" t="s">
        <v>294</v>
      </c>
      <c r="D159" s="36" t="s">
        <v>295</v>
      </c>
      <c r="F159" s="2" t="s">
        <v>206</v>
      </c>
      <c r="G159" s="2" t="s">
        <v>193</v>
      </c>
      <c r="H159" s="2"/>
      <c r="I159" s="2"/>
      <c r="J159" s="39" t="s">
        <v>162</v>
      </c>
      <c r="K159" s="2"/>
      <c r="L159" s="2"/>
      <c r="M159" s="2"/>
      <c r="N159" s="2" t="s">
        <v>191</v>
      </c>
      <c r="O159" s="2"/>
      <c r="P159" s="17"/>
      <c r="Q159" s="17"/>
    </row>
    <row r="161" spans="1:17">
      <c r="D161" s="14"/>
      <c r="E161" s="4"/>
      <c r="F161" s="23" t="s">
        <v>10</v>
      </c>
      <c r="G161" s="23" t="s">
        <v>9</v>
      </c>
    </row>
    <row r="162" spans="1:17">
      <c r="A162" s="7" t="s">
        <v>297</v>
      </c>
      <c r="B162" s="7" t="s">
        <v>297</v>
      </c>
      <c r="C162" s="17" t="s">
        <v>287</v>
      </c>
      <c r="F162" s="2" t="s">
        <v>298</v>
      </c>
      <c r="G162" s="2" t="s">
        <v>154</v>
      </c>
    </row>
    <row r="164" spans="1:17">
      <c r="D164" s="4"/>
      <c r="F164" s="44" t="s">
        <v>33</v>
      </c>
      <c r="G164" s="44" t="s">
        <v>39</v>
      </c>
      <c r="H164" s="44" t="s">
        <v>40</v>
      </c>
      <c r="I164" s="44" t="s">
        <v>41</v>
      </c>
      <c r="J164" s="44" t="s">
        <v>38</v>
      </c>
      <c r="K164" s="44" t="s">
        <v>42</v>
      </c>
      <c r="L164" s="44" t="s">
        <v>45</v>
      </c>
      <c r="M164" s="44" t="s">
        <v>44</v>
      </c>
      <c r="N164" s="44" t="s">
        <v>43</v>
      </c>
      <c r="O164" s="44" t="s">
        <v>32</v>
      </c>
      <c r="P164" s="44" t="s">
        <v>34</v>
      </c>
      <c r="Q164" s="44" t="s">
        <v>35</v>
      </c>
    </row>
    <row r="165" spans="1:17">
      <c r="A165" s="296" t="s">
        <v>299</v>
      </c>
      <c r="B165" s="33" t="s">
        <v>300</v>
      </c>
      <c r="C165" s="25" t="s">
        <v>301</v>
      </c>
      <c r="D165" s="1"/>
      <c r="F165" s="2" t="s">
        <v>302</v>
      </c>
      <c r="G165" s="2"/>
      <c r="H165" s="2"/>
      <c r="I165" s="2"/>
      <c r="J165" s="2"/>
      <c r="K165" s="2"/>
      <c r="L165" s="2"/>
      <c r="M165" s="2"/>
      <c r="N165" s="2"/>
      <c r="O165" s="2"/>
      <c r="P165" s="2" t="s">
        <v>162</v>
      </c>
      <c r="Q165" s="2"/>
    </row>
    <row r="166" spans="1:17">
      <c r="A166" s="298"/>
      <c r="B166" s="33" t="s">
        <v>303</v>
      </c>
      <c r="C166" s="25" t="s">
        <v>304</v>
      </c>
      <c r="D166" s="1"/>
      <c r="F166" s="2"/>
      <c r="G166" s="2" t="s">
        <v>302</v>
      </c>
      <c r="H166" s="2"/>
      <c r="I166" s="2"/>
      <c r="J166" s="2"/>
      <c r="K166" s="2"/>
      <c r="L166" s="2"/>
      <c r="M166" s="2"/>
      <c r="N166" s="2"/>
      <c r="O166" s="2"/>
      <c r="P166" s="2" t="s">
        <v>162</v>
      </c>
      <c r="Q166" s="2"/>
    </row>
    <row r="167" spans="1:17">
      <c r="A167" s="298"/>
      <c r="B167" s="33" t="s">
        <v>305</v>
      </c>
      <c r="C167" s="25" t="s">
        <v>306</v>
      </c>
      <c r="D167" s="1"/>
      <c r="F167" s="2"/>
      <c r="G167" s="2"/>
      <c r="H167" s="2" t="s">
        <v>302</v>
      </c>
      <c r="I167" s="2"/>
      <c r="J167" s="2"/>
      <c r="K167" s="2"/>
      <c r="L167" s="2"/>
      <c r="M167" s="2"/>
      <c r="N167" s="2"/>
      <c r="O167" s="2"/>
      <c r="P167" s="2" t="s">
        <v>162</v>
      </c>
      <c r="Q167" s="2"/>
    </row>
    <row r="168" spans="1:17">
      <c r="A168" s="298"/>
      <c r="B168" s="33" t="s">
        <v>307</v>
      </c>
      <c r="C168" s="25" t="s">
        <v>308</v>
      </c>
      <c r="D168" s="1"/>
      <c r="F168" s="2"/>
      <c r="G168" s="2"/>
      <c r="H168" s="2"/>
      <c r="I168" s="2" t="s">
        <v>302</v>
      </c>
      <c r="J168" s="2"/>
      <c r="K168" s="2"/>
      <c r="L168" s="2"/>
      <c r="M168" s="2"/>
      <c r="N168" s="2"/>
      <c r="O168" s="2"/>
      <c r="P168" s="2" t="s">
        <v>162</v>
      </c>
      <c r="Q168" s="2"/>
    </row>
    <row r="169" spans="1:17">
      <c r="A169" s="297"/>
      <c r="B169" s="33" t="s">
        <v>309</v>
      </c>
      <c r="C169" s="25" t="s">
        <v>310</v>
      </c>
      <c r="D169" s="1"/>
      <c r="F169" s="2"/>
      <c r="G169" s="2"/>
      <c r="H169" s="2"/>
      <c r="I169" s="2"/>
      <c r="J169" s="2" t="s">
        <v>302</v>
      </c>
      <c r="K169" s="2"/>
      <c r="L169" s="2"/>
      <c r="M169" s="2"/>
      <c r="N169" s="2"/>
      <c r="O169" s="2"/>
      <c r="P169" s="2" t="s">
        <v>162</v>
      </c>
      <c r="Q169" s="2"/>
    </row>
    <row r="171" spans="1:17">
      <c r="F171" s="44" t="s">
        <v>32</v>
      </c>
      <c r="G171" s="44" t="s">
        <v>33</v>
      </c>
      <c r="H171" s="44" t="s">
        <v>34</v>
      </c>
      <c r="I171" s="44" t="s">
        <v>35</v>
      </c>
      <c r="J171" s="44" t="s">
        <v>36</v>
      </c>
      <c r="K171" s="44" t="s">
        <v>37</v>
      </c>
    </row>
    <row r="172" spans="1:17">
      <c r="A172" s="33" t="s">
        <v>311</v>
      </c>
      <c r="B172" s="33" t="s">
        <v>311</v>
      </c>
      <c r="C172" s="25" t="s">
        <v>312</v>
      </c>
      <c r="D172" s="1"/>
      <c r="F172" s="2" t="s">
        <v>191</v>
      </c>
      <c r="G172" s="2" t="s">
        <v>193</v>
      </c>
      <c r="H172" s="2" t="s">
        <v>162</v>
      </c>
      <c r="I172" s="2" t="s">
        <v>206</v>
      </c>
      <c r="J172" s="2"/>
      <c r="K172" s="2"/>
    </row>
    <row r="173" spans="1:17">
      <c r="A173" s="33" t="s">
        <v>313</v>
      </c>
      <c r="B173" s="33" t="s">
        <v>313</v>
      </c>
      <c r="C173" s="25" t="s">
        <v>314</v>
      </c>
      <c r="D173" s="1"/>
      <c r="F173" s="2"/>
      <c r="G173" s="2" t="s">
        <v>193</v>
      </c>
      <c r="H173" s="2" t="s">
        <v>162</v>
      </c>
      <c r="I173" s="2" t="s">
        <v>206</v>
      </c>
      <c r="J173" s="2" t="s">
        <v>191</v>
      </c>
      <c r="K173" s="2"/>
    </row>
    <row r="174" spans="1:17">
      <c r="A174" s="33" t="s">
        <v>315</v>
      </c>
      <c r="B174" s="33" t="s">
        <v>315</v>
      </c>
      <c r="C174" s="25" t="s">
        <v>316</v>
      </c>
      <c r="D174" s="1"/>
      <c r="F174" s="2" t="s">
        <v>191</v>
      </c>
      <c r="G174" s="2" t="s">
        <v>193</v>
      </c>
      <c r="H174" s="2" t="s">
        <v>162</v>
      </c>
      <c r="I174" s="2"/>
      <c r="J174" s="2"/>
      <c r="K174" s="2" t="s">
        <v>206</v>
      </c>
    </row>
    <row r="176" spans="1:17">
      <c r="F176" s="44" t="s">
        <v>33</v>
      </c>
      <c r="G176" s="44" t="s">
        <v>39</v>
      </c>
      <c r="H176" s="44" t="s">
        <v>40</v>
      </c>
      <c r="I176" s="44" t="s">
        <v>41</v>
      </c>
      <c r="J176" s="44" t="s">
        <v>38</v>
      </c>
      <c r="K176" s="44" t="s">
        <v>42</v>
      </c>
      <c r="L176" s="44" t="s">
        <v>45</v>
      </c>
      <c r="M176" s="44" t="s">
        <v>44</v>
      </c>
      <c r="N176" s="44" t="s">
        <v>43</v>
      </c>
      <c r="O176" s="44" t="s">
        <v>32</v>
      </c>
      <c r="P176" s="44" t="s">
        <v>34</v>
      </c>
      <c r="Q176" s="44" t="s">
        <v>35</v>
      </c>
    </row>
    <row r="177" spans="1:17">
      <c r="A177" s="302" t="s">
        <v>317</v>
      </c>
      <c r="B177" s="37" t="s">
        <v>318</v>
      </c>
      <c r="C177" s="17" t="s">
        <v>319</v>
      </c>
      <c r="D177" s="36" t="s">
        <v>320</v>
      </c>
      <c r="F177" s="2" t="s">
        <v>193</v>
      </c>
      <c r="G177" s="2"/>
      <c r="H177" s="2"/>
      <c r="I177" s="2"/>
      <c r="J177" s="2"/>
      <c r="K177" s="2" t="s">
        <v>191</v>
      </c>
      <c r="L177" s="2"/>
      <c r="M177" s="2"/>
      <c r="N177" s="2"/>
      <c r="O177" s="2"/>
      <c r="P177" s="2" t="s">
        <v>162</v>
      </c>
      <c r="Q177" s="2" t="s">
        <v>206</v>
      </c>
    </row>
    <row r="178" spans="1:17">
      <c r="A178" s="302"/>
      <c r="B178" s="37" t="s">
        <v>321</v>
      </c>
      <c r="C178" s="17" t="s">
        <v>322</v>
      </c>
      <c r="D178" s="36" t="s">
        <v>323</v>
      </c>
      <c r="F178" s="2" t="s">
        <v>324</v>
      </c>
      <c r="G178" s="2" t="s">
        <v>193</v>
      </c>
      <c r="H178" s="2"/>
      <c r="I178" s="2"/>
      <c r="J178" s="2"/>
      <c r="K178" s="2"/>
      <c r="L178" s="2" t="s">
        <v>191</v>
      </c>
      <c r="M178" s="2"/>
      <c r="N178" s="2"/>
      <c r="O178" s="2"/>
      <c r="P178" s="2" t="s">
        <v>162</v>
      </c>
      <c r="Q178" s="2" t="s">
        <v>206</v>
      </c>
    </row>
    <row r="179" spans="1:17">
      <c r="A179" s="302"/>
      <c r="B179" s="37" t="s">
        <v>325</v>
      </c>
      <c r="C179" s="17" t="s">
        <v>326</v>
      </c>
      <c r="D179" s="36" t="s">
        <v>327</v>
      </c>
      <c r="F179" s="2" t="s">
        <v>324</v>
      </c>
      <c r="G179" s="2"/>
      <c r="H179" s="2" t="s">
        <v>193</v>
      </c>
      <c r="I179" s="2"/>
      <c r="J179" s="2"/>
      <c r="K179" s="2"/>
      <c r="L179" s="2"/>
      <c r="M179" s="2" t="s">
        <v>191</v>
      </c>
      <c r="N179" s="2"/>
      <c r="O179" s="2"/>
      <c r="P179" s="2" t="s">
        <v>162</v>
      </c>
      <c r="Q179" s="2" t="s">
        <v>206</v>
      </c>
    </row>
    <row r="180" spans="1:17">
      <c r="A180" s="302"/>
      <c r="B180" s="290" t="s">
        <v>328</v>
      </c>
      <c r="C180" s="17" t="s">
        <v>329</v>
      </c>
      <c r="D180" s="36" t="s">
        <v>320</v>
      </c>
      <c r="F180" s="288" t="s">
        <v>193</v>
      </c>
      <c r="G180" s="288" t="s">
        <v>193</v>
      </c>
      <c r="H180" s="2"/>
      <c r="I180" s="2"/>
      <c r="J180" s="2"/>
      <c r="K180" s="2" t="s">
        <v>191</v>
      </c>
      <c r="L180" s="2"/>
      <c r="M180" s="2"/>
      <c r="N180" s="2"/>
      <c r="O180" s="2"/>
      <c r="P180" s="288" t="s">
        <v>162</v>
      </c>
      <c r="Q180" s="288" t="s">
        <v>206</v>
      </c>
    </row>
    <row r="181" spans="1:17">
      <c r="A181" s="302"/>
      <c r="B181" s="291"/>
      <c r="C181" s="17" t="s">
        <v>330</v>
      </c>
      <c r="D181" s="36" t="s">
        <v>323</v>
      </c>
      <c r="F181" s="289"/>
      <c r="G181" s="289"/>
      <c r="H181" s="2"/>
      <c r="I181" s="2"/>
      <c r="J181" s="2"/>
      <c r="K181" s="2"/>
      <c r="L181" s="2" t="s">
        <v>191</v>
      </c>
      <c r="M181" s="2"/>
      <c r="N181" s="2"/>
      <c r="O181" s="2"/>
      <c r="P181" s="289"/>
      <c r="Q181" s="289"/>
    </row>
    <row r="182" spans="1:17">
      <c r="A182" s="302"/>
      <c r="B182" s="290" t="s">
        <v>331</v>
      </c>
      <c r="C182" s="17" t="s">
        <v>332</v>
      </c>
      <c r="D182" s="36" t="s">
        <v>320</v>
      </c>
      <c r="F182" s="288" t="s">
        <v>193</v>
      </c>
      <c r="G182" s="2"/>
      <c r="H182" s="288" t="s">
        <v>193</v>
      </c>
      <c r="I182" s="2"/>
      <c r="J182" s="2"/>
      <c r="K182" s="2" t="s">
        <v>191</v>
      </c>
      <c r="L182" s="2"/>
      <c r="M182" s="2"/>
      <c r="N182" s="2"/>
      <c r="O182" s="2"/>
      <c r="P182" s="288" t="s">
        <v>162</v>
      </c>
      <c r="Q182" s="288" t="s">
        <v>206</v>
      </c>
    </row>
    <row r="183" spans="1:17">
      <c r="A183" s="302"/>
      <c r="B183" s="291"/>
      <c r="C183" s="17" t="s">
        <v>333</v>
      </c>
      <c r="D183" s="36" t="s">
        <v>327</v>
      </c>
      <c r="F183" s="289"/>
      <c r="G183" s="2"/>
      <c r="H183" s="289"/>
      <c r="I183" s="2"/>
      <c r="J183" s="2"/>
      <c r="K183" s="2"/>
      <c r="L183" s="2"/>
      <c r="M183" s="2" t="s">
        <v>191</v>
      </c>
      <c r="N183" s="2"/>
      <c r="O183" s="2"/>
      <c r="P183" s="289"/>
      <c r="Q183" s="289"/>
    </row>
    <row r="184" spans="1:17">
      <c r="A184" s="302"/>
      <c r="B184" s="290" t="s">
        <v>334</v>
      </c>
      <c r="C184" s="17" t="s">
        <v>335</v>
      </c>
      <c r="D184" s="36" t="s">
        <v>323</v>
      </c>
      <c r="F184" s="2" t="s">
        <v>324</v>
      </c>
      <c r="G184" s="288" t="s">
        <v>193</v>
      </c>
      <c r="H184" s="288" t="s">
        <v>193</v>
      </c>
      <c r="I184" s="2"/>
      <c r="J184" s="2"/>
      <c r="K184" s="2"/>
      <c r="L184" s="2" t="s">
        <v>191</v>
      </c>
      <c r="M184" s="2"/>
      <c r="N184" s="2"/>
      <c r="O184" s="2"/>
      <c r="P184" s="288" t="s">
        <v>162</v>
      </c>
      <c r="Q184" s="288" t="s">
        <v>206</v>
      </c>
    </row>
    <row r="185" spans="1:17">
      <c r="A185" s="302"/>
      <c r="B185" s="291"/>
      <c r="C185" s="17" t="s">
        <v>336</v>
      </c>
      <c r="D185" s="36" t="s">
        <v>327</v>
      </c>
      <c r="F185" s="2" t="s">
        <v>324</v>
      </c>
      <c r="G185" s="289"/>
      <c r="H185" s="289"/>
      <c r="I185" s="2"/>
      <c r="J185" s="2"/>
      <c r="K185" s="2"/>
      <c r="L185" s="2"/>
      <c r="M185" s="2" t="s">
        <v>191</v>
      </c>
      <c r="N185" s="2"/>
      <c r="O185" s="2"/>
      <c r="P185" s="289"/>
      <c r="Q185" s="289"/>
    </row>
    <row r="186" spans="1:17">
      <c r="A186" s="302"/>
      <c r="B186" s="290" t="s">
        <v>337</v>
      </c>
      <c r="C186" s="17" t="s">
        <v>338</v>
      </c>
      <c r="D186" s="36" t="s">
        <v>323</v>
      </c>
      <c r="F186" s="2" t="s">
        <v>324</v>
      </c>
      <c r="G186" s="288" t="s">
        <v>193</v>
      </c>
      <c r="H186" s="288" t="s">
        <v>193</v>
      </c>
      <c r="I186" s="288" t="s">
        <v>193</v>
      </c>
      <c r="J186" s="2"/>
      <c r="K186" s="2"/>
      <c r="L186" s="2" t="s">
        <v>191</v>
      </c>
      <c r="M186" s="2"/>
      <c r="N186" s="2"/>
      <c r="O186" s="2"/>
      <c r="P186" s="288" t="s">
        <v>162</v>
      </c>
      <c r="Q186" s="288" t="s">
        <v>206</v>
      </c>
    </row>
    <row r="187" spans="1:17">
      <c r="A187" s="302"/>
      <c r="B187" s="293"/>
      <c r="C187" s="17" t="s">
        <v>339</v>
      </c>
      <c r="D187" s="36" t="s">
        <v>327</v>
      </c>
      <c r="F187" s="2" t="s">
        <v>324</v>
      </c>
      <c r="G187" s="292"/>
      <c r="H187" s="292"/>
      <c r="I187" s="292"/>
      <c r="J187" s="2"/>
      <c r="K187" s="2"/>
      <c r="L187" s="2"/>
      <c r="M187" s="2" t="s">
        <v>191</v>
      </c>
      <c r="N187" s="2"/>
      <c r="O187" s="2"/>
      <c r="P187" s="292"/>
      <c r="Q187" s="292"/>
    </row>
    <row r="188" spans="1:17">
      <c r="A188" s="302"/>
      <c r="B188" s="291"/>
      <c r="C188" s="17" t="s">
        <v>340</v>
      </c>
      <c r="D188" s="36" t="s">
        <v>341</v>
      </c>
      <c r="F188" s="2" t="s">
        <v>324</v>
      </c>
      <c r="G188" s="289"/>
      <c r="H188" s="289"/>
      <c r="I188" s="289"/>
      <c r="J188" s="2"/>
      <c r="K188" s="2"/>
      <c r="L188" s="2"/>
      <c r="M188" s="2"/>
      <c r="N188" s="2" t="s">
        <v>191</v>
      </c>
      <c r="O188" s="2"/>
      <c r="P188" s="289"/>
      <c r="Q188" s="289"/>
    </row>
    <row r="189" spans="1:17">
      <c r="A189" s="302"/>
      <c r="B189" s="290" t="s">
        <v>342</v>
      </c>
      <c r="C189" s="17" t="s">
        <v>343</v>
      </c>
      <c r="D189" s="36" t="s">
        <v>320</v>
      </c>
      <c r="F189" s="288" t="s">
        <v>193</v>
      </c>
      <c r="G189" s="2"/>
      <c r="H189" s="288" t="s">
        <v>193</v>
      </c>
      <c r="I189" s="2"/>
      <c r="J189" s="288" t="s">
        <v>193</v>
      </c>
      <c r="K189" s="2" t="s">
        <v>191</v>
      </c>
      <c r="L189" s="2"/>
      <c r="M189" s="2"/>
      <c r="N189" s="2"/>
      <c r="O189" s="2"/>
      <c r="P189" s="288" t="s">
        <v>162</v>
      </c>
      <c r="Q189" s="288" t="s">
        <v>206</v>
      </c>
    </row>
    <row r="190" spans="1:17">
      <c r="A190" s="302"/>
      <c r="B190" s="293"/>
      <c r="C190" s="17" t="s">
        <v>344</v>
      </c>
      <c r="D190" s="36" t="s">
        <v>327</v>
      </c>
      <c r="F190" s="292"/>
      <c r="G190" s="2"/>
      <c r="H190" s="292"/>
      <c r="I190" s="2"/>
      <c r="J190" s="292"/>
      <c r="K190" s="2"/>
      <c r="L190" s="2"/>
      <c r="M190" s="2" t="s">
        <v>191</v>
      </c>
      <c r="N190" s="2"/>
      <c r="O190" s="2"/>
      <c r="P190" s="292"/>
      <c r="Q190" s="292"/>
    </row>
    <row r="191" spans="1:17">
      <c r="A191" s="302"/>
      <c r="B191" s="291"/>
      <c r="C191" s="17" t="s">
        <v>345</v>
      </c>
      <c r="D191" s="36" t="s">
        <v>346</v>
      </c>
      <c r="F191" s="289"/>
      <c r="G191" s="2"/>
      <c r="H191" s="289"/>
      <c r="I191" s="2"/>
      <c r="J191" s="289"/>
      <c r="K191" s="2"/>
      <c r="L191" s="2"/>
      <c r="M191" s="2"/>
      <c r="N191" s="2"/>
      <c r="O191" s="2" t="s">
        <v>191</v>
      </c>
      <c r="P191" s="289"/>
      <c r="Q191" s="289"/>
    </row>
    <row r="192" spans="1:17">
      <c r="A192" s="302"/>
      <c r="B192" s="290" t="s">
        <v>347</v>
      </c>
      <c r="C192" s="17" t="s">
        <v>348</v>
      </c>
      <c r="D192" s="36" t="s">
        <v>320</v>
      </c>
      <c r="F192" s="288" t="s">
        <v>193</v>
      </c>
      <c r="G192" s="288" t="s">
        <v>193</v>
      </c>
      <c r="H192" s="288" t="s">
        <v>193</v>
      </c>
      <c r="I192" s="288" t="s">
        <v>193</v>
      </c>
      <c r="J192" s="2"/>
      <c r="K192" s="2" t="s">
        <v>191</v>
      </c>
      <c r="L192" s="2"/>
      <c r="M192" s="17"/>
      <c r="N192" s="17"/>
      <c r="O192" s="2"/>
      <c r="P192" s="288" t="s">
        <v>162</v>
      </c>
      <c r="Q192" s="288" t="s">
        <v>206</v>
      </c>
    </row>
    <row r="193" spans="1:17">
      <c r="A193" s="302"/>
      <c r="B193" s="293"/>
      <c r="C193" s="17" t="s">
        <v>349</v>
      </c>
      <c r="D193" s="36" t="s">
        <v>323</v>
      </c>
      <c r="F193" s="292"/>
      <c r="G193" s="292"/>
      <c r="H193" s="292"/>
      <c r="I193" s="292"/>
      <c r="J193" s="2"/>
      <c r="K193" s="2"/>
      <c r="L193" s="2" t="s">
        <v>191</v>
      </c>
      <c r="M193" s="17"/>
      <c r="N193" s="17"/>
      <c r="O193" s="2"/>
      <c r="P193" s="292"/>
      <c r="Q193" s="292"/>
    </row>
    <row r="194" spans="1:17">
      <c r="A194" s="302"/>
      <c r="B194" s="293"/>
      <c r="C194" s="17" t="s">
        <v>350</v>
      </c>
      <c r="D194" s="36" t="s">
        <v>327</v>
      </c>
      <c r="F194" s="292"/>
      <c r="G194" s="292"/>
      <c r="H194" s="292"/>
      <c r="I194" s="292"/>
      <c r="J194" s="2"/>
      <c r="K194" s="2"/>
      <c r="L194" s="2"/>
      <c r="M194" s="2" t="s">
        <v>191</v>
      </c>
      <c r="N194" s="17"/>
      <c r="O194" s="2"/>
      <c r="P194" s="292"/>
      <c r="Q194" s="292"/>
    </row>
    <row r="195" spans="1:17">
      <c r="A195" s="302"/>
      <c r="B195" s="291"/>
      <c r="C195" s="17" t="s">
        <v>351</v>
      </c>
      <c r="D195" s="36" t="s">
        <v>341</v>
      </c>
      <c r="F195" s="289"/>
      <c r="G195" s="289"/>
      <c r="H195" s="289"/>
      <c r="I195" s="289"/>
      <c r="J195" s="2"/>
      <c r="K195" s="2"/>
      <c r="L195" s="2"/>
      <c r="M195" s="2"/>
      <c r="N195" s="2" t="s">
        <v>191</v>
      </c>
      <c r="O195" s="2"/>
      <c r="P195" s="289"/>
      <c r="Q195" s="289"/>
    </row>
    <row r="196" spans="1:17">
      <c r="A196" s="302"/>
      <c r="B196" s="290" t="s">
        <v>352</v>
      </c>
      <c r="C196" s="17" t="s">
        <v>353</v>
      </c>
      <c r="D196" s="36" t="s">
        <v>320</v>
      </c>
      <c r="F196" s="288" t="s">
        <v>193</v>
      </c>
      <c r="G196" s="288" t="s">
        <v>193</v>
      </c>
      <c r="H196" s="288" t="s">
        <v>193</v>
      </c>
      <c r="I196" s="288" t="s">
        <v>193</v>
      </c>
      <c r="J196" s="288" t="s">
        <v>193</v>
      </c>
      <c r="K196" s="2" t="s">
        <v>191</v>
      </c>
      <c r="L196" s="2"/>
      <c r="M196" s="17"/>
      <c r="N196" s="17"/>
      <c r="O196" s="17"/>
      <c r="P196" s="288" t="s">
        <v>162</v>
      </c>
      <c r="Q196" s="288" t="s">
        <v>206</v>
      </c>
    </row>
    <row r="197" spans="1:17">
      <c r="A197" s="302"/>
      <c r="B197" s="293"/>
      <c r="C197" s="17" t="s">
        <v>354</v>
      </c>
      <c r="D197" s="36" t="s">
        <v>323</v>
      </c>
      <c r="F197" s="292"/>
      <c r="G197" s="292"/>
      <c r="H197" s="292"/>
      <c r="I197" s="292"/>
      <c r="J197" s="292"/>
      <c r="K197" s="2"/>
      <c r="L197" s="2" t="s">
        <v>191</v>
      </c>
      <c r="M197" s="17"/>
      <c r="N197" s="17"/>
      <c r="O197" s="17"/>
      <c r="P197" s="292"/>
      <c r="Q197" s="292"/>
    </row>
    <row r="198" spans="1:17">
      <c r="A198" s="302"/>
      <c r="B198" s="293"/>
      <c r="C198" s="17" t="s">
        <v>355</v>
      </c>
      <c r="D198" s="36" t="s">
        <v>327</v>
      </c>
      <c r="F198" s="292"/>
      <c r="G198" s="292"/>
      <c r="H198" s="292"/>
      <c r="I198" s="292"/>
      <c r="J198" s="292"/>
      <c r="K198" s="2"/>
      <c r="L198" s="2"/>
      <c r="M198" s="2" t="s">
        <v>191</v>
      </c>
      <c r="N198" s="17"/>
      <c r="O198" s="17"/>
      <c r="P198" s="292"/>
      <c r="Q198" s="292"/>
    </row>
    <row r="199" spans="1:17">
      <c r="A199" s="302"/>
      <c r="B199" s="293"/>
      <c r="C199" s="17" t="s">
        <v>356</v>
      </c>
      <c r="D199" s="36" t="s">
        <v>341</v>
      </c>
      <c r="F199" s="292"/>
      <c r="G199" s="292"/>
      <c r="H199" s="292"/>
      <c r="I199" s="292"/>
      <c r="J199" s="292"/>
      <c r="K199" s="2"/>
      <c r="L199" s="2"/>
      <c r="M199" s="2"/>
      <c r="N199" s="2" t="s">
        <v>191</v>
      </c>
      <c r="O199" s="17"/>
      <c r="P199" s="292"/>
      <c r="Q199" s="292"/>
    </row>
    <row r="200" spans="1:17">
      <c r="A200" s="302"/>
      <c r="B200" s="291"/>
      <c r="C200" s="17" t="s">
        <v>357</v>
      </c>
      <c r="D200" s="36" t="s">
        <v>346</v>
      </c>
      <c r="F200" s="289"/>
      <c r="G200" s="289"/>
      <c r="H200" s="289"/>
      <c r="I200" s="289"/>
      <c r="J200" s="289"/>
      <c r="K200" s="2"/>
      <c r="L200" s="2"/>
      <c r="M200" s="2"/>
      <c r="N200" s="2"/>
      <c r="O200" s="2" t="s">
        <v>191</v>
      </c>
      <c r="P200" s="289"/>
      <c r="Q200" s="289"/>
    </row>
    <row r="201" spans="1:17">
      <c r="A201" s="302"/>
      <c r="B201" s="10" t="s">
        <v>1031</v>
      </c>
      <c r="C201" s="17" t="s">
        <v>1032</v>
      </c>
      <c r="D201" s="60"/>
      <c r="F201" s="15"/>
      <c r="G201" s="15"/>
      <c r="H201" s="15"/>
      <c r="I201" s="15"/>
      <c r="J201" s="15"/>
      <c r="N201" s="3"/>
      <c r="O201" s="3"/>
      <c r="P201" s="15"/>
      <c r="Q201" s="15"/>
    </row>
    <row r="202" spans="1:17">
      <c r="A202" s="302"/>
      <c r="B202" s="10" t="s">
        <v>1033</v>
      </c>
      <c r="C202" s="17" t="s">
        <v>1034</v>
      </c>
      <c r="D202" s="60"/>
      <c r="F202" s="15"/>
      <c r="G202" s="15"/>
      <c r="H202" s="15"/>
      <c r="I202" s="15"/>
      <c r="J202" s="15"/>
      <c r="N202" s="3"/>
      <c r="O202" s="3"/>
      <c r="P202" s="15"/>
      <c r="Q202" s="15"/>
    </row>
    <row r="203" spans="1:17">
      <c r="A203" s="302"/>
      <c r="B203" s="10" t="s">
        <v>1035</v>
      </c>
      <c r="C203" s="17" t="s">
        <v>1036</v>
      </c>
      <c r="D203" s="60"/>
      <c r="F203" s="15"/>
      <c r="G203" s="15"/>
      <c r="H203" s="15"/>
      <c r="I203" s="15"/>
      <c r="J203" s="15"/>
      <c r="N203" s="3"/>
      <c r="O203" s="3"/>
      <c r="P203" s="15"/>
      <c r="Q203" s="15"/>
    </row>
    <row r="204" spans="1:17">
      <c r="A204" s="302"/>
      <c r="B204" s="10" t="s">
        <v>1037</v>
      </c>
      <c r="C204" s="17" t="s">
        <v>1038</v>
      </c>
      <c r="D204" s="60"/>
      <c r="F204" s="15"/>
      <c r="G204" s="15"/>
      <c r="H204" s="15"/>
      <c r="I204" s="15"/>
      <c r="J204" s="15"/>
      <c r="N204" s="3"/>
      <c r="O204" s="3"/>
      <c r="P204" s="15"/>
      <c r="Q204" s="15"/>
    </row>
    <row r="205" spans="1:17">
      <c r="A205" s="302"/>
      <c r="B205" s="10" t="s">
        <v>1039</v>
      </c>
      <c r="C205" s="17" t="s">
        <v>1040</v>
      </c>
      <c r="D205" s="60"/>
      <c r="F205" s="15"/>
      <c r="G205" s="15"/>
      <c r="H205" s="15"/>
      <c r="I205" s="15"/>
      <c r="J205" s="15"/>
      <c r="N205" s="3"/>
      <c r="O205" s="3"/>
      <c r="P205" s="15"/>
      <c r="Q205" s="15"/>
    </row>
    <row r="206" spans="1:17">
      <c r="A206" s="302"/>
      <c r="B206" s="7" t="s">
        <v>1041</v>
      </c>
      <c r="C206" s="17" t="s">
        <v>1042</v>
      </c>
      <c r="D206" s="60"/>
      <c r="F206" s="15"/>
      <c r="G206" s="15"/>
      <c r="H206" s="15"/>
      <c r="I206" s="15"/>
      <c r="J206" s="15"/>
      <c r="N206" s="3"/>
      <c r="O206" s="3"/>
      <c r="P206" s="15"/>
      <c r="Q206" s="15"/>
    </row>
    <row r="207" spans="1:17">
      <c r="A207" s="302"/>
      <c r="B207" s="7" t="s">
        <v>1043</v>
      </c>
      <c r="C207" s="17" t="s">
        <v>1044</v>
      </c>
      <c r="D207" s="60"/>
      <c r="F207" s="15"/>
      <c r="G207" s="15"/>
      <c r="H207" s="15"/>
      <c r="I207" s="15"/>
      <c r="J207" s="15"/>
      <c r="N207" s="3"/>
      <c r="O207" s="3"/>
      <c r="P207" s="15"/>
      <c r="Q207" s="15"/>
    </row>
    <row r="208" spans="1:17">
      <c r="A208" s="302"/>
      <c r="B208" s="7" t="s">
        <v>1045</v>
      </c>
      <c r="C208" s="17" t="s">
        <v>1046</v>
      </c>
      <c r="D208" s="60"/>
      <c r="F208" s="15"/>
      <c r="G208" s="15"/>
      <c r="H208" s="15"/>
      <c r="I208" s="15"/>
      <c r="J208" s="15"/>
      <c r="N208" s="3"/>
      <c r="O208" s="3"/>
      <c r="P208" s="15"/>
      <c r="Q208" s="15"/>
    </row>
    <row r="209" spans="1:17">
      <c r="A209" s="302"/>
      <c r="B209" s="7" t="s">
        <v>1047</v>
      </c>
      <c r="C209" s="17" t="s">
        <v>1048</v>
      </c>
      <c r="D209" s="60"/>
      <c r="F209" s="15"/>
      <c r="G209" s="15"/>
      <c r="H209" s="15"/>
      <c r="I209" s="15"/>
      <c r="J209" s="15"/>
      <c r="N209" s="3"/>
      <c r="O209" s="3"/>
      <c r="P209" s="15"/>
      <c r="Q209" s="15"/>
    </row>
    <row r="210" spans="1:17">
      <c r="A210" s="302"/>
      <c r="B210" s="7" t="s">
        <v>1049</v>
      </c>
      <c r="C210" s="17" t="s">
        <v>1050</v>
      </c>
      <c r="D210" s="60"/>
      <c r="F210" s="15"/>
      <c r="G210" s="15"/>
      <c r="H210" s="15"/>
      <c r="I210" s="15"/>
      <c r="J210" s="15"/>
      <c r="N210" s="3"/>
      <c r="O210" s="3"/>
      <c r="P210" s="15"/>
      <c r="Q210" s="15"/>
    </row>
    <row r="211" spans="1:17">
      <c r="A211" s="302"/>
      <c r="B211" s="7" t="s">
        <v>1051</v>
      </c>
      <c r="C211" s="17" t="s">
        <v>1052</v>
      </c>
      <c r="D211" s="60"/>
      <c r="F211" s="15"/>
      <c r="G211" s="15"/>
      <c r="H211" s="15"/>
      <c r="I211" s="15"/>
      <c r="J211" s="15"/>
      <c r="N211" s="3"/>
      <c r="O211" s="3"/>
      <c r="P211" s="15"/>
      <c r="Q211" s="15"/>
    </row>
    <row r="212" spans="1:17">
      <c r="A212" s="302"/>
      <c r="B212" s="7" t="s">
        <v>1053</v>
      </c>
      <c r="C212" s="17" t="s">
        <v>1054</v>
      </c>
      <c r="D212" s="60"/>
      <c r="F212" s="15"/>
      <c r="G212" s="15"/>
      <c r="H212" s="15"/>
      <c r="I212" s="15"/>
      <c r="J212" s="15"/>
      <c r="N212" s="3"/>
      <c r="O212" s="3"/>
      <c r="P212" s="15"/>
      <c r="Q212" s="15"/>
    </row>
    <row r="214" spans="1:17">
      <c r="D214" s="14"/>
      <c r="E214" s="4"/>
      <c r="F214" s="23" t="s">
        <v>83</v>
      </c>
      <c r="G214" s="23" t="s">
        <v>82</v>
      </c>
      <c r="H214" s="23" t="s">
        <v>84</v>
      </c>
      <c r="I214" s="23" t="s">
        <v>358</v>
      </c>
      <c r="J214" s="23" t="s">
        <v>359</v>
      </c>
      <c r="K214"/>
      <c r="L214"/>
      <c r="M214"/>
    </row>
    <row r="215" spans="1:17">
      <c r="A215" s="285" t="s">
        <v>360</v>
      </c>
      <c r="B215" s="7" t="s">
        <v>361</v>
      </c>
      <c r="C215" s="25"/>
      <c r="D215" s="1"/>
      <c r="E215" s="6"/>
      <c r="F215" s="67"/>
      <c r="G215" s="67"/>
      <c r="H215" s="67"/>
      <c r="I215" s="67"/>
      <c r="J215" s="67"/>
      <c r="K215"/>
      <c r="L215"/>
      <c r="M215"/>
    </row>
    <row r="216" spans="1:17">
      <c r="A216" s="286"/>
      <c r="B216" s="7" t="s">
        <v>362</v>
      </c>
      <c r="C216" s="25"/>
      <c r="D216" s="1"/>
      <c r="F216" s="67"/>
      <c r="G216" s="67"/>
      <c r="H216" s="67"/>
      <c r="I216" s="67"/>
      <c r="J216" s="67"/>
      <c r="K216"/>
      <c r="L216"/>
      <c r="M216"/>
    </row>
    <row r="217" spans="1:17">
      <c r="A217" s="286"/>
      <c r="B217" s="7" t="s">
        <v>363</v>
      </c>
      <c r="C217" s="25"/>
      <c r="D217" s="1"/>
      <c r="F217" s="67"/>
      <c r="G217" s="67"/>
      <c r="H217" s="67"/>
      <c r="I217" s="67"/>
      <c r="J217" s="67"/>
      <c r="K217"/>
      <c r="L217"/>
      <c r="M217"/>
    </row>
    <row r="218" spans="1:17">
      <c r="A218" s="286"/>
      <c r="B218" s="7" t="s">
        <v>364</v>
      </c>
      <c r="C218" s="25"/>
      <c r="D218" s="1"/>
      <c r="F218" s="67"/>
      <c r="G218" s="67"/>
      <c r="H218" s="67"/>
      <c r="I218" s="67"/>
      <c r="J218" s="67"/>
      <c r="K218"/>
      <c r="L218"/>
      <c r="M218"/>
    </row>
    <row r="219" spans="1:17">
      <c r="A219" s="286"/>
      <c r="B219" s="7" t="s">
        <v>365</v>
      </c>
      <c r="C219" s="25"/>
      <c r="D219" s="1"/>
      <c r="F219" s="67"/>
      <c r="G219" s="67"/>
      <c r="H219" s="67"/>
      <c r="I219" s="67"/>
      <c r="J219" s="67"/>
      <c r="K219"/>
      <c r="L219"/>
      <c r="M219"/>
    </row>
    <row r="220" spans="1:17">
      <c r="A220" s="286"/>
      <c r="B220" s="7" t="s">
        <v>366</v>
      </c>
      <c r="C220" s="25"/>
      <c r="D220" s="1"/>
      <c r="F220" s="67"/>
      <c r="G220" s="67"/>
      <c r="H220" s="67"/>
      <c r="I220" s="67"/>
      <c r="J220" s="67"/>
      <c r="K220"/>
      <c r="L220"/>
      <c r="M220"/>
    </row>
    <row r="221" spans="1:17">
      <c r="A221" s="286"/>
      <c r="B221" s="7" t="s">
        <v>367</v>
      </c>
      <c r="C221" s="25"/>
      <c r="D221" s="1"/>
      <c r="F221" s="67"/>
      <c r="G221" s="67"/>
      <c r="H221" s="67"/>
      <c r="I221" s="67"/>
      <c r="J221" s="67"/>
      <c r="K221"/>
      <c r="L221"/>
      <c r="M221"/>
    </row>
    <row r="222" spans="1:17">
      <c r="A222" s="286"/>
      <c r="B222" s="7" t="s">
        <v>368</v>
      </c>
      <c r="C222" s="25"/>
      <c r="D222" s="1"/>
      <c r="F222" s="67"/>
      <c r="G222" s="67"/>
      <c r="H222" s="67"/>
      <c r="I222" s="67"/>
      <c r="J222" s="67"/>
      <c r="K222"/>
      <c r="L222"/>
      <c r="M222"/>
    </row>
    <row r="223" spans="1:17">
      <c r="A223" s="287"/>
      <c r="B223" s="7" t="s">
        <v>360</v>
      </c>
      <c r="C223" s="25"/>
      <c r="D223" s="1"/>
      <c r="F223" s="67"/>
      <c r="G223" s="67"/>
      <c r="H223" s="67"/>
      <c r="I223" s="67"/>
      <c r="J223" s="67"/>
      <c r="K223"/>
      <c r="L223"/>
      <c r="M223"/>
    </row>
    <row r="224" spans="1:17">
      <c r="A224" s="7" t="s">
        <v>369</v>
      </c>
      <c r="B224" s="7" t="s">
        <v>369</v>
      </c>
      <c r="C224" s="25"/>
      <c r="D224" s="1"/>
      <c r="F224" s="67"/>
      <c r="G224" s="67"/>
      <c r="H224" s="67"/>
      <c r="I224" s="67"/>
      <c r="J224" s="67"/>
      <c r="K224"/>
      <c r="L224"/>
      <c r="M224"/>
    </row>
    <row r="225" spans="1:18">
      <c r="A225" s="7" t="s">
        <v>370</v>
      </c>
      <c r="B225" s="7" t="s">
        <v>370</v>
      </c>
      <c r="C225" s="25"/>
      <c r="D225" s="1"/>
      <c r="F225" s="67"/>
      <c r="G225" s="67"/>
      <c r="H225" s="67"/>
      <c r="I225" s="67"/>
      <c r="J225" s="67"/>
      <c r="K225"/>
      <c r="L225"/>
      <c r="M225"/>
    </row>
    <row r="226" spans="1:18">
      <c r="F226"/>
      <c r="G226"/>
      <c r="H226"/>
      <c r="I226"/>
      <c r="J226"/>
      <c r="K226"/>
      <c r="L226"/>
      <c r="M226"/>
    </row>
    <row r="227" spans="1:18">
      <c r="D227" s="14"/>
      <c r="E227" s="4"/>
      <c r="F227" s="23" t="s">
        <v>83</v>
      </c>
      <c r="G227" s="23" t="s">
        <v>82</v>
      </c>
      <c r="H227" s="23" t="s">
        <v>84</v>
      </c>
      <c r="I227" s="23" t="s">
        <v>79</v>
      </c>
      <c r="J227" s="23" t="s">
        <v>78</v>
      </c>
      <c r="K227" s="23" t="s">
        <v>75</v>
      </c>
      <c r="L227" s="23" t="s">
        <v>372</v>
      </c>
      <c r="M227" s="23" t="s">
        <v>373</v>
      </c>
      <c r="N227" s="23" t="s">
        <v>81</v>
      </c>
      <c r="O227" s="23" t="s">
        <v>80</v>
      </c>
      <c r="P227" s="4"/>
      <c r="R227" s="4"/>
    </row>
    <row r="228" spans="1:18">
      <c r="A228" s="285" t="s">
        <v>374</v>
      </c>
      <c r="B228" s="7" t="s">
        <v>375</v>
      </c>
      <c r="C228" s="25"/>
      <c r="D228" s="1"/>
      <c r="E228" s="6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"/>
      <c r="R228" s="6"/>
    </row>
    <row r="229" spans="1:18">
      <c r="A229" s="286"/>
      <c r="B229" s="7" t="s">
        <v>376</v>
      </c>
      <c r="C229" s="25"/>
      <c r="D229" s="1"/>
      <c r="E229" s="6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"/>
      <c r="R229" s="6"/>
    </row>
    <row r="230" spans="1:18">
      <c r="A230" s="286"/>
      <c r="B230" s="7" t="s">
        <v>377</v>
      </c>
      <c r="C230" s="25"/>
      <c r="D230" s="1"/>
      <c r="E230" s="6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"/>
      <c r="R230" s="6"/>
    </row>
    <row r="231" spans="1:18">
      <c r="A231" s="286"/>
      <c r="B231" s="7" t="s">
        <v>378</v>
      </c>
      <c r="C231" s="25"/>
      <c r="D231" s="1"/>
      <c r="E231" s="6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"/>
      <c r="R231" s="6"/>
    </row>
    <row r="232" spans="1:18">
      <c r="A232" s="286"/>
      <c r="B232" s="7" t="s">
        <v>379</v>
      </c>
      <c r="C232" s="25"/>
      <c r="D232" s="1"/>
      <c r="E232" s="6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"/>
      <c r="R232" s="6"/>
    </row>
    <row r="233" spans="1:18">
      <c r="A233" s="286"/>
      <c r="B233" s="7" t="s">
        <v>380</v>
      </c>
      <c r="C233" s="25"/>
      <c r="D233" s="1"/>
      <c r="E233" s="6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"/>
      <c r="R233" s="6"/>
    </row>
    <row r="234" spans="1:18">
      <c r="A234" s="286"/>
      <c r="B234" s="7" t="s">
        <v>381</v>
      </c>
      <c r="C234" s="25"/>
      <c r="D234" s="1"/>
      <c r="E234" s="6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"/>
      <c r="R234" s="6"/>
    </row>
    <row r="235" spans="1:18">
      <c r="A235" s="286"/>
      <c r="B235" s="7" t="s">
        <v>382</v>
      </c>
      <c r="C235" s="25"/>
      <c r="D235" s="1"/>
      <c r="E235" s="6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"/>
      <c r="R235" s="6"/>
    </row>
    <row r="236" spans="1:18">
      <c r="A236" s="287"/>
      <c r="B236" s="7" t="s">
        <v>374</v>
      </c>
      <c r="C236" s="25"/>
      <c r="D236" s="1"/>
      <c r="E236" s="6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"/>
      <c r="R236" s="6"/>
    </row>
    <row r="238" spans="1:18">
      <c r="D238" s="14"/>
      <c r="E238" s="4"/>
      <c r="F238" s="23" t="s">
        <v>83</v>
      </c>
      <c r="G238" s="23" t="s">
        <v>82</v>
      </c>
      <c r="H238" s="23" t="s">
        <v>84</v>
      </c>
      <c r="I238" s="23" t="s">
        <v>79</v>
      </c>
      <c r="J238" s="23" t="s">
        <v>78</v>
      </c>
      <c r="K238" s="23" t="s">
        <v>75</v>
      </c>
      <c r="L238" s="23" t="s">
        <v>372</v>
      </c>
      <c r="M238" s="23" t="s">
        <v>373</v>
      </c>
      <c r="R238" s="4"/>
    </row>
    <row r="239" spans="1:18">
      <c r="A239" s="285" t="s">
        <v>383</v>
      </c>
      <c r="B239" s="7" t="s">
        <v>384</v>
      </c>
      <c r="C239" s="25"/>
      <c r="D239" s="1"/>
      <c r="E239" s="6"/>
      <c r="F239" s="67"/>
      <c r="G239" s="67"/>
      <c r="H239" s="67"/>
      <c r="I239" s="67"/>
      <c r="J239" s="67"/>
      <c r="K239" s="67"/>
      <c r="L239" s="67"/>
      <c r="M239" s="67"/>
      <c r="R239" s="6"/>
    </row>
    <row r="240" spans="1:18">
      <c r="A240" s="286"/>
      <c r="B240" s="7" t="s">
        <v>385</v>
      </c>
      <c r="C240" s="25"/>
      <c r="D240" s="1"/>
      <c r="E240" s="6"/>
      <c r="F240" s="67"/>
      <c r="G240" s="67"/>
      <c r="H240" s="67"/>
      <c r="I240" s="67"/>
      <c r="J240" s="67"/>
      <c r="K240" s="67"/>
      <c r="L240" s="67"/>
      <c r="M240" s="67"/>
      <c r="R240" s="6"/>
    </row>
    <row r="241" spans="1:23">
      <c r="A241" s="286"/>
      <c r="B241" s="7" t="s">
        <v>386</v>
      </c>
      <c r="C241" s="25"/>
      <c r="D241" s="1"/>
      <c r="E241" s="6"/>
      <c r="F241" s="67"/>
      <c r="G241" s="67"/>
      <c r="H241" s="67"/>
      <c r="I241" s="67"/>
      <c r="J241" s="67"/>
      <c r="K241" s="67"/>
      <c r="L241" s="67"/>
      <c r="M241" s="67"/>
      <c r="R241" s="6"/>
    </row>
    <row r="242" spans="1:23">
      <c r="A242" s="286"/>
      <c r="B242" s="7" t="s">
        <v>387</v>
      </c>
      <c r="C242" s="25"/>
      <c r="D242" s="1"/>
      <c r="E242" s="6"/>
      <c r="F242" s="67"/>
      <c r="G242" s="67"/>
      <c r="H242" s="67"/>
      <c r="I242" s="67"/>
      <c r="J242" s="67"/>
      <c r="K242" s="67"/>
      <c r="L242" s="67"/>
      <c r="M242" s="67"/>
      <c r="R242" s="6"/>
    </row>
    <row r="243" spans="1:23">
      <c r="A243" s="286"/>
      <c r="B243" s="7" t="s">
        <v>388</v>
      </c>
      <c r="C243" s="25"/>
      <c r="D243" s="1"/>
      <c r="E243" s="6"/>
      <c r="F243" s="67"/>
      <c r="G243" s="67"/>
      <c r="H243" s="67"/>
      <c r="I243" s="67"/>
      <c r="J243" s="67"/>
      <c r="K243" s="67"/>
      <c r="L243" s="67"/>
      <c r="M243" s="67"/>
      <c r="R243" s="6"/>
    </row>
    <row r="244" spans="1:23">
      <c r="A244" s="286"/>
      <c r="B244" s="7" t="s">
        <v>389</v>
      </c>
      <c r="C244" s="25"/>
      <c r="D244" s="1"/>
      <c r="E244" s="6"/>
      <c r="F244" s="67"/>
      <c r="G244" s="67"/>
      <c r="H244" s="67"/>
      <c r="I244" s="67"/>
      <c r="J244" s="67"/>
      <c r="K244" s="67"/>
      <c r="L244" s="67"/>
      <c r="M244" s="67"/>
      <c r="R244" s="6"/>
    </row>
    <row r="245" spans="1:23">
      <c r="A245" s="286"/>
      <c r="B245" s="7" t="s">
        <v>390</v>
      </c>
      <c r="C245" s="25"/>
      <c r="D245" s="1"/>
      <c r="E245" s="6"/>
      <c r="F245" s="67"/>
      <c r="G245" s="67"/>
      <c r="H245" s="67"/>
      <c r="I245" s="67"/>
      <c r="J245" s="67"/>
      <c r="K245" s="67"/>
      <c r="L245" s="67"/>
      <c r="M245" s="67"/>
      <c r="R245" s="6"/>
    </row>
    <row r="246" spans="1:23">
      <c r="A246" s="286"/>
      <c r="B246" s="7" t="s">
        <v>391</v>
      </c>
      <c r="C246" s="25"/>
      <c r="D246" s="1"/>
      <c r="E246" s="6"/>
      <c r="F246" s="67"/>
      <c r="G246" s="67"/>
      <c r="H246" s="67"/>
      <c r="I246" s="67"/>
      <c r="J246" s="67"/>
      <c r="K246" s="67"/>
      <c r="L246" s="67"/>
      <c r="M246" s="67"/>
      <c r="R246" s="6"/>
    </row>
    <row r="247" spans="1:23">
      <c r="A247" s="287"/>
      <c r="B247" s="7" t="s">
        <v>383</v>
      </c>
      <c r="C247" s="25"/>
      <c r="D247" s="1"/>
      <c r="E247" s="6"/>
      <c r="F247" s="67"/>
      <c r="G247" s="67"/>
      <c r="H247" s="67"/>
      <c r="I247" s="67"/>
      <c r="J247" s="67"/>
      <c r="K247" s="67"/>
      <c r="L247" s="67"/>
      <c r="M247" s="67"/>
      <c r="R247" s="6"/>
    </row>
    <row r="249" spans="1:23">
      <c r="A249" s="24" t="s">
        <v>149</v>
      </c>
      <c r="B249" s="24" t="s">
        <v>150</v>
      </c>
      <c r="C249" s="28" t="s">
        <v>151</v>
      </c>
      <c r="F249" s="44" t="s">
        <v>113</v>
      </c>
      <c r="G249" s="44" t="s">
        <v>392</v>
      </c>
    </row>
    <row r="250" spans="1:23">
      <c r="A250" s="296" t="s">
        <v>393</v>
      </c>
      <c r="B250" s="33" t="s">
        <v>394</v>
      </c>
      <c r="C250" s="25" t="s">
        <v>1055</v>
      </c>
      <c r="D250" s="1"/>
      <c r="F250" s="67" t="s">
        <v>238</v>
      </c>
      <c r="G250" s="2" t="s">
        <v>239</v>
      </c>
    </row>
    <row r="251" spans="1:23">
      <c r="A251" s="297"/>
      <c r="B251" s="33" t="s">
        <v>396</v>
      </c>
      <c r="C251" s="25" t="s">
        <v>397</v>
      </c>
      <c r="D251" s="1"/>
      <c r="F251" s="67" t="s">
        <v>238</v>
      </c>
      <c r="G251" s="2" t="s">
        <v>239</v>
      </c>
    </row>
    <row r="252" spans="1:23">
      <c r="A252" s="285" t="s">
        <v>398</v>
      </c>
      <c r="B252" s="33" t="s">
        <v>399</v>
      </c>
      <c r="C252" s="25" t="s">
        <v>400</v>
      </c>
      <c r="D252" s="1"/>
      <c r="F252" s="67" t="s">
        <v>153</v>
      </c>
      <c r="G252" s="2" t="s">
        <v>154</v>
      </c>
    </row>
    <row r="253" spans="1:23">
      <c r="A253" s="287"/>
      <c r="B253" s="33" t="s">
        <v>401</v>
      </c>
      <c r="C253" s="25" t="s">
        <v>402</v>
      </c>
      <c r="D253" s="1"/>
      <c r="F253" s="2" t="s">
        <v>154</v>
      </c>
      <c r="G253" s="67" t="s">
        <v>153</v>
      </c>
    </row>
    <row r="254" spans="1:23">
      <c r="A254" s="64" t="s">
        <v>403</v>
      </c>
      <c r="B254" s="64" t="s">
        <v>403</v>
      </c>
      <c r="C254" s="25" t="s">
        <v>404</v>
      </c>
      <c r="D254" s="1"/>
      <c r="F254" s="67" t="s">
        <v>405</v>
      </c>
      <c r="G254" s="67" t="s">
        <v>154</v>
      </c>
    </row>
    <row r="255" spans="1:23" s="3" customFormat="1">
      <c r="A255" s="7" t="s">
        <v>406</v>
      </c>
      <c r="B255" s="7" t="s">
        <v>406</v>
      </c>
      <c r="C255" s="25" t="s">
        <v>287</v>
      </c>
      <c r="D255" s="1"/>
      <c r="E255"/>
      <c r="F255" s="67" t="s">
        <v>407</v>
      </c>
      <c r="G255" s="67" t="s">
        <v>154</v>
      </c>
      <c r="N255"/>
      <c r="O255"/>
      <c r="P255"/>
      <c r="Q255"/>
      <c r="R255"/>
      <c r="S255"/>
      <c r="T255"/>
      <c r="U255"/>
      <c r="V255"/>
      <c r="W255"/>
    </row>
    <row r="256" spans="1:23" s="3" customFormat="1">
      <c r="A256" s="64" t="s">
        <v>408</v>
      </c>
      <c r="B256" s="64" t="s">
        <v>408</v>
      </c>
      <c r="C256" s="25" t="s">
        <v>409</v>
      </c>
      <c r="D256" s="1"/>
      <c r="E256"/>
      <c r="F256" s="67" t="s">
        <v>405</v>
      </c>
      <c r="G256" s="67" t="s">
        <v>154</v>
      </c>
      <c r="N256"/>
      <c r="O256"/>
      <c r="P256"/>
      <c r="Q256"/>
      <c r="R256"/>
      <c r="S256"/>
      <c r="T256"/>
      <c r="U256"/>
      <c r="V256"/>
      <c r="W256"/>
    </row>
    <row r="258" spans="1:23" s="3" customFormat="1">
      <c r="A258"/>
      <c r="B258"/>
      <c r="C258"/>
      <c r="D258"/>
      <c r="E258"/>
      <c r="F258" s="44" t="s">
        <v>113</v>
      </c>
      <c r="G258" s="44" t="s">
        <v>392</v>
      </c>
      <c r="H258" s="44" t="s">
        <v>58</v>
      </c>
      <c r="N258"/>
      <c r="O258"/>
      <c r="P258"/>
      <c r="Q258"/>
      <c r="R258"/>
      <c r="S258"/>
      <c r="T258"/>
      <c r="U258"/>
      <c r="V258"/>
      <c r="W258"/>
    </row>
    <row r="259" spans="1:23" s="3" customFormat="1">
      <c r="A259" s="7" t="s">
        <v>410</v>
      </c>
      <c r="B259" s="7" t="s">
        <v>410</v>
      </c>
      <c r="C259" s="25" t="s">
        <v>287</v>
      </c>
      <c r="D259" s="1"/>
      <c r="E259"/>
      <c r="F259" s="67" t="s">
        <v>407</v>
      </c>
      <c r="G259" s="67" t="s">
        <v>154</v>
      </c>
      <c r="H259" s="67" t="s">
        <v>154</v>
      </c>
      <c r="N259"/>
      <c r="O259"/>
      <c r="P259"/>
      <c r="Q259"/>
      <c r="R259"/>
      <c r="S259"/>
      <c r="T259"/>
      <c r="U259"/>
      <c r="V259"/>
      <c r="W259"/>
    </row>
    <row r="261" spans="1:23" s="3" customFormat="1">
      <c r="A261"/>
      <c r="B261"/>
      <c r="C261"/>
      <c r="D261"/>
      <c r="E261"/>
      <c r="F261" s="44" t="s">
        <v>113</v>
      </c>
      <c r="G261" s="44" t="s">
        <v>392</v>
      </c>
      <c r="H261" s="44" t="s">
        <v>114</v>
      </c>
      <c r="N261"/>
      <c r="O261"/>
      <c r="P261"/>
      <c r="Q261"/>
      <c r="R261"/>
      <c r="S261"/>
      <c r="T261"/>
      <c r="U261"/>
      <c r="V261"/>
      <c r="W261"/>
    </row>
    <row r="262" spans="1:23" s="3" customFormat="1">
      <c r="A262" s="7" t="s">
        <v>411</v>
      </c>
      <c r="B262" s="7" t="s">
        <v>411</v>
      </c>
      <c r="C262" s="25" t="s">
        <v>287</v>
      </c>
      <c r="D262" s="1"/>
      <c r="E262"/>
      <c r="F262" s="67" t="s">
        <v>407</v>
      </c>
      <c r="G262" s="67" t="s">
        <v>154</v>
      </c>
      <c r="H262" s="67" t="s">
        <v>154</v>
      </c>
      <c r="N262"/>
      <c r="O262"/>
      <c r="P262"/>
      <c r="Q262"/>
      <c r="R262"/>
      <c r="S262"/>
      <c r="T262"/>
      <c r="U262"/>
      <c r="V262"/>
      <c r="W262"/>
    </row>
    <row r="264" spans="1:23" s="3" customFormat="1">
      <c r="A264" s="24" t="s">
        <v>149</v>
      </c>
      <c r="B264" s="24" t="s">
        <v>150</v>
      </c>
      <c r="C264" s="28" t="s">
        <v>151</v>
      </c>
      <c r="D264"/>
      <c r="E264"/>
      <c r="F264" s="44" t="s">
        <v>113</v>
      </c>
      <c r="G264" s="44" t="s">
        <v>82</v>
      </c>
      <c r="H264" s="44" t="s">
        <v>412</v>
      </c>
      <c r="N264"/>
      <c r="O264"/>
      <c r="P264"/>
      <c r="Q264"/>
      <c r="R264"/>
      <c r="S264"/>
      <c r="T264"/>
      <c r="U264"/>
      <c r="V264"/>
      <c r="W264"/>
    </row>
    <row r="265" spans="1:23" s="3" customFormat="1">
      <c r="A265" s="285" t="s">
        <v>413</v>
      </c>
      <c r="B265" s="33" t="s">
        <v>414</v>
      </c>
      <c r="C265" s="25" t="s">
        <v>1055</v>
      </c>
      <c r="D265" s="1"/>
      <c r="E265"/>
      <c r="F265" s="67" t="s">
        <v>238</v>
      </c>
      <c r="G265" s="2" t="s">
        <v>239</v>
      </c>
      <c r="H265" s="2" t="s">
        <v>239</v>
      </c>
      <c r="N265"/>
      <c r="O265"/>
      <c r="P265"/>
      <c r="Q265"/>
      <c r="R265"/>
      <c r="S265"/>
      <c r="T265"/>
      <c r="U265"/>
      <c r="V265"/>
      <c r="W265"/>
    </row>
    <row r="266" spans="1:23" s="3" customFormat="1">
      <c r="A266" s="286"/>
      <c r="B266" s="33" t="s">
        <v>415</v>
      </c>
      <c r="C266" s="25" t="s">
        <v>397</v>
      </c>
      <c r="D266" s="1"/>
      <c r="E266"/>
      <c r="F266" s="67" t="s">
        <v>238</v>
      </c>
      <c r="G266" s="2" t="s">
        <v>239</v>
      </c>
      <c r="H266" s="2" t="s">
        <v>239</v>
      </c>
      <c r="N266"/>
      <c r="O266"/>
      <c r="P266"/>
      <c r="Q266"/>
      <c r="R266"/>
      <c r="S266"/>
      <c r="T266"/>
      <c r="U266"/>
      <c r="V266"/>
      <c r="W266"/>
    </row>
    <row r="267" spans="1:23" s="3" customFormat="1">
      <c r="A267" s="286"/>
      <c r="B267" s="33" t="s">
        <v>416</v>
      </c>
      <c r="C267" s="25" t="s">
        <v>417</v>
      </c>
      <c r="D267" s="1"/>
      <c r="E267"/>
      <c r="F267" s="67" t="s">
        <v>238</v>
      </c>
      <c r="G267" s="2" t="s">
        <v>239</v>
      </c>
      <c r="H267" s="2" t="s">
        <v>242</v>
      </c>
      <c r="N267"/>
      <c r="O267"/>
      <c r="P267"/>
      <c r="Q267"/>
      <c r="R267"/>
      <c r="S267"/>
      <c r="T267"/>
      <c r="U267"/>
      <c r="V267"/>
      <c r="W267"/>
    </row>
    <row r="268" spans="1:23" s="3" customFormat="1">
      <c r="A268" s="287"/>
      <c r="B268" s="33" t="s">
        <v>418</v>
      </c>
      <c r="C268" s="25" t="s">
        <v>419</v>
      </c>
      <c r="D268" s="1"/>
      <c r="E268"/>
      <c r="F268" s="67" t="s">
        <v>238</v>
      </c>
      <c r="G268" s="2" t="s">
        <v>242</v>
      </c>
      <c r="H268" s="2" t="s">
        <v>239</v>
      </c>
      <c r="N268"/>
      <c r="O268"/>
      <c r="P268"/>
      <c r="Q268"/>
      <c r="R268"/>
      <c r="S268"/>
      <c r="T268"/>
      <c r="U268"/>
      <c r="V268"/>
      <c r="W268"/>
    </row>
    <row r="269" spans="1:23" s="3" customFormat="1">
      <c r="A269" s="302" t="s">
        <v>420</v>
      </c>
      <c r="B269" s="37" t="s">
        <v>421</v>
      </c>
      <c r="C269" s="25" t="s">
        <v>422</v>
      </c>
      <c r="D269" s="1"/>
      <c r="E269"/>
      <c r="F269" s="67" t="s">
        <v>153</v>
      </c>
      <c r="G269" s="2" t="s">
        <v>154</v>
      </c>
      <c r="H269" s="2" t="s">
        <v>154</v>
      </c>
      <c r="N269"/>
      <c r="O269"/>
      <c r="P269"/>
      <c r="Q269"/>
      <c r="R269"/>
      <c r="S269"/>
      <c r="T269"/>
      <c r="U269"/>
      <c r="V269"/>
      <c r="W269"/>
    </row>
    <row r="270" spans="1:23" s="3" customFormat="1" ht="42.75">
      <c r="A270" s="302"/>
      <c r="B270" s="10" t="s">
        <v>423</v>
      </c>
      <c r="C270" s="131" t="s">
        <v>1056</v>
      </c>
      <c r="D270" s="1"/>
      <c r="E270"/>
      <c r="F270" s="67" t="s">
        <v>162</v>
      </c>
      <c r="G270" s="67" t="s">
        <v>153</v>
      </c>
      <c r="H270" s="67" t="s">
        <v>162</v>
      </c>
      <c r="N270"/>
      <c r="O270"/>
      <c r="P270"/>
      <c r="Q270"/>
      <c r="R270"/>
      <c r="S270"/>
      <c r="T270"/>
      <c r="U270"/>
      <c r="V270"/>
      <c r="W270"/>
    </row>
    <row r="271" spans="1:23" s="3" customFormat="1">
      <c r="A271" s="64" t="s">
        <v>427</v>
      </c>
      <c r="B271" s="64" t="s">
        <v>427</v>
      </c>
      <c r="C271" s="25" t="s">
        <v>404</v>
      </c>
      <c r="D271" s="1"/>
      <c r="E271"/>
      <c r="F271" s="67" t="s">
        <v>405</v>
      </c>
      <c r="G271" s="67" t="s">
        <v>154</v>
      </c>
      <c r="H271" s="67" t="s">
        <v>154</v>
      </c>
      <c r="N271"/>
      <c r="O271"/>
      <c r="P271"/>
      <c r="Q271"/>
      <c r="R271"/>
      <c r="S271"/>
      <c r="T271"/>
      <c r="U271"/>
      <c r="V271"/>
      <c r="W271"/>
    </row>
    <row r="272" spans="1:23" s="3" customFormat="1">
      <c r="A272" s="7" t="s">
        <v>428</v>
      </c>
      <c r="B272" s="7" t="s">
        <v>428</v>
      </c>
      <c r="C272" s="25" t="s">
        <v>287</v>
      </c>
      <c r="D272" s="1"/>
      <c r="E272"/>
      <c r="F272" s="67" t="s">
        <v>407</v>
      </c>
      <c r="G272" s="67" t="s">
        <v>154</v>
      </c>
      <c r="H272" s="67" t="s">
        <v>154</v>
      </c>
      <c r="N272"/>
      <c r="O272"/>
      <c r="P272"/>
      <c r="Q272"/>
      <c r="R272"/>
      <c r="S272"/>
      <c r="T272"/>
      <c r="U272"/>
      <c r="V272"/>
      <c r="W272"/>
    </row>
    <row r="273" spans="1:23" s="3" customFormat="1">
      <c r="A273" s="64" t="s">
        <v>429</v>
      </c>
      <c r="B273" s="64" t="s">
        <v>429</v>
      </c>
      <c r="C273" s="25" t="s">
        <v>409</v>
      </c>
      <c r="D273" s="1"/>
      <c r="E273"/>
      <c r="F273" s="67" t="s">
        <v>405</v>
      </c>
      <c r="G273" s="67" t="s">
        <v>154</v>
      </c>
      <c r="H273" s="67" t="s">
        <v>154</v>
      </c>
      <c r="N273"/>
      <c r="O273"/>
      <c r="P273"/>
      <c r="Q273"/>
      <c r="R273"/>
      <c r="S273"/>
      <c r="T273"/>
      <c r="U273"/>
      <c r="V273"/>
      <c r="W273"/>
    </row>
    <row r="275" spans="1:23" s="3" customFormat="1">
      <c r="A275"/>
      <c r="B275"/>
      <c r="C275"/>
      <c r="D275"/>
      <c r="E275"/>
      <c r="F275" s="44" t="s">
        <v>113</v>
      </c>
      <c r="G275" s="44" t="s">
        <v>82</v>
      </c>
      <c r="H275" s="44" t="s">
        <v>412</v>
      </c>
      <c r="I275" s="44" t="s">
        <v>58</v>
      </c>
      <c r="N275"/>
      <c r="O275"/>
      <c r="P275"/>
      <c r="Q275"/>
      <c r="R275"/>
      <c r="S275"/>
      <c r="T275"/>
      <c r="U275"/>
      <c r="V275"/>
      <c r="W275"/>
    </row>
    <row r="276" spans="1:23" s="3" customFormat="1">
      <c r="A276" s="296" t="s">
        <v>430</v>
      </c>
      <c r="B276" s="33" t="s">
        <v>431</v>
      </c>
      <c r="C276" s="25" t="s">
        <v>1055</v>
      </c>
      <c r="D276" s="1"/>
      <c r="E276"/>
      <c r="F276" s="67" t="s">
        <v>238</v>
      </c>
      <c r="G276" s="2" t="s">
        <v>239</v>
      </c>
      <c r="H276" s="2" t="s">
        <v>239</v>
      </c>
      <c r="I276" s="2" t="s">
        <v>242</v>
      </c>
      <c r="N276"/>
      <c r="O276"/>
      <c r="P276"/>
      <c r="Q276"/>
      <c r="R276"/>
      <c r="S276"/>
      <c r="T276"/>
      <c r="U276"/>
      <c r="V276"/>
      <c r="W276"/>
    </row>
    <row r="277" spans="1:23" s="3" customFormat="1">
      <c r="A277" s="297"/>
      <c r="B277" s="33" t="s">
        <v>432</v>
      </c>
      <c r="C277" s="25" t="s">
        <v>397</v>
      </c>
      <c r="D277" s="1"/>
      <c r="E277"/>
      <c r="F277" s="67" t="s">
        <v>238</v>
      </c>
      <c r="G277" s="2" t="s">
        <v>239</v>
      </c>
      <c r="H277" s="2" t="s">
        <v>239</v>
      </c>
      <c r="I277" s="2" t="s">
        <v>242</v>
      </c>
      <c r="N277"/>
      <c r="O277"/>
      <c r="P277"/>
      <c r="Q277"/>
      <c r="R277"/>
      <c r="S277"/>
      <c r="T277"/>
      <c r="U277"/>
      <c r="V277"/>
      <c r="W277"/>
    </row>
    <row r="278" spans="1:23" s="3" customFormat="1">
      <c r="A278" s="302" t="s">
        <v>433</v>
      </c>
      <c r="B278" s="37" t="s">
        <v>434</v>
      </c>
      <c r="C278" s="25" t="s">
        <v>435</v>
      </c>
      <c r="D278" s="1"/>
      <c r="E278"/>
      <c r="F278" s="67" t="s">
        <v>153</v>
      </c>
      <c r="G278" s="67" t="s">
        <v>154</v>
      </c>
      <c r="H278" s="67" t="s">
        <v>154</v>
      </c>
      <c r="I278" s="67" t="s">
        <v>154</v>
      </c>
      <c r="N278"/>
      <c r="O278"/>
      <c r="P278"/>
      <c r="Q278"/>
      <c r="R278"/>
      <c r="S278"/>
      <c r="T278"/>
      <c r="U278"/>
      <c r="V278"/>
      <c r="W278"/>
    </row>
    <row r="279" spans="1:23" s="3" customFormat="1" ht="57.2">
      <c r="A279" s="302"/>
      <c r="B279" s="63" t="s">
        <v>436</v>
      </c>
      <c r="C279" s="131" t="s">
        <v>1057</v>
      </c>
      <c r="D279" s="1"/>
      <c r="E279"/>
      <c r="F279" s="67" t="s">
        <v>162</v>
      </c>
      <c r="G279" s="67" t="s">
        <v>153</v>
      </c>
      <c r="H279" s="67" t="s">
        <v>162</v>
      </c>
      <c r="I279" s="67" t="s">
        <v>162</v>
      </c>
      <c r="N279"/>
      <c r="O279"/>
      <c r="P279"/>
      <c r="Q279"/>
      <c r="R279"/>
      <c r="S279"/>
      <c r="T279"/>
      <c r="U279"/>
      <c r="V279"/>
      <c r="W279"/>
    </row>
    <row r="280" spans="1:23" s="3" customFormat="1">
      <c r="A280" s="302"/>
      <c r="B280" s="10" t="s">
        <v>1058</v>
      </c>
      <c r="C280" s="25" t="s">
        <v>400</v>
      </c>
      <c r="D280" s="1"/>
      <c r="E280"/>
      <c r="F280" s="67" t="s">
        <v>153</v>
      </c>
      <c r="G280" s="67" t="s">
        <v>154</v>
      </c>
      <c r="H280" s="67"/>
      <c r="I280" s="67"/>
      <c r="N280"/>
      <c r="O280"/>
      <c r="P280"/>
      <c r="Q280"/>
      <c r="R280"/>
      <c r="S280"/>
      <c r="T280"/>
      <c r="U280"/>
      <c r="V280"/>
      <c r="W280"/>
    </row>
    <row r="281" spans="1:23" s="3" customFormat="1">
      <c r="A281" s="302"/>
      <c r="B281" s="10" t="s">
        <v>438</v>
      </c>
      <c r="C281" s="25" t="s">
        <v>439</v>
      </c>
      <c r="D281" s="1"/>
      <c r="E281"/>
      <c r="F281" s="67"/>
      <c r="G281" s="67" t="s">
        <v>440</v>
      </c>
      <c r="H281" s="67" t="s">
        <v>440</v>
      </c>
      <c r="I281" s="67" t="s">
        <v>162</v>
      </c>
      <c r="N281"/>
      <c r="O281"/>
      <c r="P281"/>
      <c r="Q281"/>
      <c r="R281"/>
      <c r="S281"/>
      <c r="T281"/>
      <c r="U281"/>
      <c r="V281"/>
      <c r="W281"/>
    </row>
    <row r="282" spans="1:23" s="3" customFormat="1">
      <c r="A282" s="302"/>
      <c r="B282" s="10" t="s">
        <v>441</v>
      </c>
      <c r="C282" s="25" t="s">
        <v>442</v>
      </c>
      <c r="D282" s="1"/>
      <c r="E282"/>
      <c r="F282" s="67" t="s">
        <v>153</v>
      </c>
      <c r="G282" s="67"/>
      <c r="H282" s="67"/>
      <c r="I282" s="67" t="s">
        <v>154</v>
      </c>
      <c r="N282"/>
      <c r="O282"/>
      <c r="P282"/>
      <c r="Q282"/>
      <c r="R282"/>
      <c r="S282"/>
      <c r="T282"/>
      <c r="U282"/>
      <c r="V282"/>
      <c r="W282"/>
    </row>
    <row r="283" spans="1:23" s="3" customFormat="1">
      <c r="A283" s="64" t="s">
        <v>443</v>
      </c>
      <c r="B283" s="64" t="s">
        <v>443</v>
      </c>
      <c r="C283" s="25" t="s">
        <v>404</v>
      </c>
      <c r="D283" s="1"/>
      <c r="E283"/>
      <c r="F283" s="67" t="s">
        <v>405</v>
      </c>
      <c r="G283" s="67" t="s">
        <v>154</v>
      </c>
      <c r="H283" s="67" t="s">
        <v>154</v>
      </c>
      <c r="I283" s="67" t="s">
        <v>154</v>
      </c>
      <c r="N283"/>
      <c r="O283"/>
      <c r="P283"/>
      <c r="Q283"/>
      <c r="R283"/>
      <c r="S283"/>
      <c r="T283"/>
      <c r="U283"/>
      <c r="V283"/>
      <c r="W283"/>
    </row>
    <row r="284" spans="1:23" s="3" customFormat="1">
      <c r="A284" s="7" t="s">
        <v>444</v>
      </c>
      <c r="B284" s="7" t="s">
        <v>444</v>
      </c>
      <c r="C284" s="25" t="s">
        <v>287</v>
      </c>
      <c r="D284" s="1"/>
      <c r="E284"/>
      <c r="F284" s="67" t="s">
        <v>407</v>
      </c>
      <c r="G284" s="67" t="s">
        <v>154</v>
      </c>
      <c r="H284" s="67" t="s">
        <v>154</v>
      </c>
      <c r="I284" s="67" t="s">
        <v>154</v>
      </c>
      <c r="N284"/>
      <c r="O284"/>
      <c r="P284"/>
      <c r="Q284"/>
      <c r="R284"/>
      <c r="S284"/>
      <c r="T284"/>
      <c r="U284"/>
      <c r="V284"/>
      <c r="W284"/>
    </row>
    <row r="285" spans="1:23" s="3" customFormat="1">
      <c r="A285" s="64" t="s">
        <v>445</v>
      </c>
      <c r="B285" s="64" t="s">
        <v>445</v>
      </c>
      <c r="C285" s="25" t="s">
        <v>409</v>
      </c>
      <c r="D285" s="1"/>
      <c r="E285"/>
      <c r="F285" s="67" t="s">
        <v>405</v>
      </c>
      <c r="G285" s="67" t="s">
        <v>154</v>
      </c>
      <c r="H285" s="67" t="s">
        <v>154</v>
      </c>
      <c r="I285" s="67" t="s">
        <v>154</v>
      </c>
      <c r="N285"/>
      <c r="O285"/>
      <c r="P285"/>
      <c r="Q285"/>
      <c r="R285"/>
      <c r="S285"/>
      <c r="T285"/>
      <c r="U285"/>
      <c r="V285"/>
      <c r="W285"/>
    </row>
    <row r="287" spans="1:23" s="3" customFormat="1">
      <c r="A287"/>
      <c r="B287"/>
      <c r="C287"/>
      <c r="D287"/>
      <c r="E287"/>
      <c r="F287" s="44" t="s">
        <v>113</v>
      </c>
      <c r="G287" s="44" t="s">
        <v>392</v>
      </c>
      <c r="H287" s="44" t="s">
        <v>58</v>
      </c>
      <c r="N287"/>
      <c r="O287"/>
      <c r="P287"/>
      <c r="Q287"/>
      <c r="R287"/>
      <c r="S287"/>
      <c r="T287"/>
      <c r="U287"/>
      <c r="V287"/>
      <c r="W287"/>
    </row>
    <row r="288" spans="1:23" s="3" customFormat="1">
      <c r="A288" s="296" t="s">
        <v>446</v>
      </c>
      <c r="B288" s="33" t="s">
        <v>447</v>
      </c>
      <c r="C288" s="25" t="s">
        <v>1055</v>
      </c>
      <c r="D288" s="1"/>
      <c r="E288"/>
      <c r="F288" s="67" t="s">
        <v>238</v>
      </c>
      <c r="G288" s="2" t="s">
        <v>239</v>
      </c>
      <c r="H288" s="2" t="s">
        <v>242</v>
      </c>
      <c r="N288"/>
      <c r="O288"/>
      <c r="P288"/>
      <c r="Q288"/>
      <c r="R288"/>
      <c r="S288"/>
      <c r="T288"/>
      <c r="U288"/>
      <c r="V288"/>
      <c r="W288"/>
    </row>
    <row r="289" spans="1:23" s="3" customFormat="1">
      <c r="A289" s="297"/>
      <c r="B289" s="33" t="s">
        <v>448</v>
      </c>
      <c r="C289" s="25" t="s">
        <v>397</v>
      </c>
      <c r="D289" s="1"/>
      <c r="E289"/>
      <c r="F289" s="67" t="s">
        <v>238</v>
      </c>
      <c r="G289" s="2" t="s">
        <v>239</v>
      </c>
      <c r="H289" s="2" t="s">
        <v>242</v>
      </c>
      <c r="N289"/>
      <c r="O289"/>
      <c r="P289"/>
      <c r="Q289"/>
      <c r="R289"/>
      <c r="S289"/>
      <c r="T289"/>
      <c r="U289"/>
      <c r="V289"/>
      <c r="W289"/>
    </row>
    <row r="290" spans="1:23" s="3" customFormat="1">
      <c r="A290" s="285" t="s">
        <v>449</v>
      </c>
      <c r="B290" s="33" t="s">
        <v>450</v>
      </c>
      <c r="C290" s="25" t="s">
        <v>400</v>
      </c>
      <c r="D290" s="1"/>
      <c r="E290"/>
      <c r="F290" s="67" t="s">
        <v>153</v>
      </c>
      <c r="G290" s="2" t="s">
        <v>154</v>
      </c>
      <c r="H290" s="67" t="s">
        <v>154</v>
      </c>
      <c r="N290"/>
      <c r="O290"/>
      <c r="P290"/>
      <c r="Q290"/>
      <c r="R290"/>
      <c r="S290"/>
      <c r="T290"/>
      <c r="U290"/>
      <c r="V290"/>
      <c r="W290"/>
    </row>
    <row r="291" spans="1:23" s="3" customFormat="1">
      <c r="A291" s="287"/>
      <c r="B291" s="33" t="s">
        <v>451</v>
      </c>
      <c r="C291" s="25" t="s">
        <v>402</v>
      </c>
      <c r="D291" s="1"/>
      <c r="E291"/>
      <c r="F291" s="2" t="s">
        <v>154</v>
      </c>
      <c r="G291" s="67" t="s">
        <v>153</v>
      </c>
      <c r="H291" s="67" t="s">
        <v>154</v>
      </c>
      <c r="N291"/>
      <c r="O291"/>
      <c r="P291"/>
      <c r="Q291"/>
      <c r="R291"/>
      <c r="S291"/>
      <c r="T291"/>
      <c r="U291"/>
      <c r="V291"/>
      <c r="W291"/>
    </row>
    <row r="293" spans="1:23" s="3" customFormat="1">
      <c r="A293"/>
      <c r="B293"/>
      <c r="C293"/>
      <c r="D293"/>
      <c r="E293"/>
      <c r="F293" s="44" t="s">
        <v>82</v>
      </c>
      <c r="G293" s="44" t="s">
        <v>412</v>
      </c>
      <c r="N293"/>
      <c r="O293"/>
      <c r="P293"/>
      <c r="Q293"/>
      <c r="R293"/>
      <c r="S293"/>
      <c r="T293"/>
      <c r="U293"/>
      <c r="V293"/>
      <c r="W293"/>
    </row>
    <row r="294" spans="1:23" s="3" customFormat="1">
      <c r="A294" s="296" t="s">
        <v>452</v>
      </c>
      <c r="B294" s="33" t="s">
        <v>453</v>
      </c>
      <c r="C294" s="25" t="s">
        <v>454</v>
      </c>
      <c r="D294" s="1"/>
      <c r="E294"/>
      <c r="F294" s="2" t="s">
        <v>238</v>
      </c>
      <c r="G294" s="2" t="s">
        <v>239</v>
      </c>
      <c r="N294"/>
      <c r="O294"/>
      <c r="P294"/>
      <c r="Q294"/>
      <c r="R294"/>
      <c r="S294"/>
      <c r="T294"/>
      <c r="U294"/>
      <c r="V294"/>
      <c r="W294"/>
    </row>
    <row r="295" spans="1:23" s="3" customFormat="1">
      <c r="A295" s="297"/>
      <c r="B295" s="33" t="s">
        <v>455</v>
      </c>
      <c r="C295" s="25" t="s">
        <v>456</v>
      </c>
      <c r="D295" s="1"/>
      <c r="E295"/>
      <c r="F295" s="2" t="s">
        <v>239</v>
      </c>
      <c r="G295" s="2" t="s">
        <v>238</v>
      </c>
      <c r="N295"/>
      <c r="O295"/>
      <c r="P295"/>
      <c r="Q295"/>
      <c r="R295"/>
      <c r="S295"/>
      <c r="T295"/>
      <c r="U295"/>
      <c r="V295"/>
      <c r="W295"/>
    </row>
    <row r="296" spans="1:23" s="3" customFormat="1">
      <c r="A296" s="285" t="s">
        <v>457</v>
      </c>
      <c r="B296" s="37" t="s">
        <v>458</v>
      </c>
      <c r="C296" s="25" t="s">
        <v>459</v>
      </c>
      <c r="D296" s="1"/>
      <c r="E296"/>
      <c r="F296" s="2" t="s">
        <v>154</v>
      </c>
      <c r="G296" s="67" t="s">
        <v>153</v>
      </c>
      <c r="N296"/>
      <c r="O296"/>
      <c r="P296"/>
      <c r="Q296"/>
      <c r="R296"/>
      <c r="S296"/>
      <c r="T296"/>
      <c r="U296"/>
      <c r="V296"/>
      <c r="W296"/>
    </row>
    <row r="297" spans="1:23" s="3" customFormat="1">
      <c r="A297" s="287"/>
      <c r="B297" s="10" t="s">
        <v>460</v>
      </c>
      <c r="C297" s="25" t="s">
        <v>461</v>
      </c>
      <c r="D297" s="1"/>
      <c r="E297"/>
      <c r="F297" s="25" t="s">
        <v>153</v>
      </c>
      <c r="G297" s="2" t="s">
        <v>154</v>
      </c>
      <c r="N297"/>
      <c r="O297"/>
      <c r="P297"/>
      <c r="Q297"/>
      <c r="R297"/>
      <c r="S297"/>
      <c r="T297"/>
      <c r="U297"/>
      <c r="V297"/>
      <c r="W297"/>
    </row>
    <row r="299" spans="1:23" s="3" customFormat="1">
      <c r="A299"/>
      <c r="B299"/>
      <c r="C299"/>
      <c r="D299"/>
      <c r="E299"/>
      <c r="F299" s="44" t="s">
        <v>113</v>
      </c>
      <c r="G299" s="44" t="s">
        <v>412</v>
      </c>
      <c r="N299"/>
      <c r="O299"/>
      <c r="P299"/>
      <c r="Q299"/>
      <c r="R299"/>
      <c r="S299"/>
      <c r="T299"/>
      <c r="U299"/>
      <c r="V299"/>
      <c r="W299"/>
    </row>
    <row r="300" spans="1:23" s="3" customFormat="1">
      <c r="A300" s="296" t="s">
        <v>462</v>
      </c>
      <c r="B300" s="33" t="s">
        <v>463</v>
      </c>
      <c r="C300" s="25" t="s">
        <v>464</v>
      </c>
      <c r="D300" s="1"/>
      <c r="E300"/>
      <c r="F300" s="2" t="s">
        <v>238</v>
      </c>
      <c r="G300" s="2" t="s">
        <v>239</v>
      </c>
      <c r="N300"/>
      <c r="O300"/>
      <c r="P300"/>
      <c r="Q300"/>
      <c r="R300"/>
      <c r="S300"/>
      <c r="T300"/>
      <c r="U300"/>
      <c r="V300"/>
      <c r="W300"/>
    </row>
    <row r="301" spans="1:23" s="3" customFormat="1">
      <c r="A301" s="297"/>
      <c r="B301" s="33" t="s">
        <v>465</v>
      </c>
      <c r="C301" s="25" t="s">
        <v>456</v>
      </c>
      <c r="D301" s="1"/>
      <c r="E301"/>
      <c r="F301" s="2" t="s">
        <v>239</v>
      </c>
      <c r="G301" s="2" t="s">
        <v>238</v>
      </c>
      <c r="N301"/>
      <c r="O301"/>
      <c r="P301"/>
      <c r="Q301"/>
      <c r="R301"/>
      <c r="S301"/>
      <c r="T301"/>
      <c r="U301"/>
      <c r="V301"/>
      <c r="W301"/>
    </row>
    <row r="302" spans="1:23" s="3" customFormat="1">
      <c r="A302" s="285" t="s">
        <v>466</v>
      </c>
      <c r="B302" s="37" t="s">
        <v>467</v>
      </c>
      <c r="C302" s="25" t="s">
        <v>468</v>
      </c>
      <c r="D302" s="1"/>
      <c r="E302"/>
      <c r="F302" s="2" t="s">
        <v>154</v>
      </c>
      <c r="G302" s="67" t="s">
        <v>153</v>
      </c>
      <c r="N302"/>
      <c r="O302"/>
      <c r="P302"/>
      <c r="Q302"/>
      <c r="R302"/>
      <c r="S302"/>
      <c r="T302"/>
      <c r="U302"/>
      <c r="V302"/>
      <c r="W302"/>
    </row>
    <row r="303" spans="1:23" s="3" customFormat="1">
      <c r="A303" s="287"/>
      <c r="B303" s="10" t="s">
        <v>469</v>
      </c>
      <c r="C303" s="25" t="s">
        <v>470</v>
      </c>
      <c r="D303" s="1"/>
      <c r="E303"/>
      <c r="F303" s="25" t="s">
        <v>153</v>
      </c>
      <c r="G303" s="2" t="s">
        <v>154</v>
      </c>
      <c r="N303"/>
      <c r="O303"/>
      <c r="P303"/>
      <c r="Q303"/>
      <c r="R303"/>
      <c r="S303"/>
      <c r="T303"/>
      <c r="U303"/>
      <c r="V303"/>
      <c r="W303"/>
    </row>
    <row r="305" spans="1:23" s="3" customFormat="1">
      <c r="A305"/>
      <c r="B305"/>
      <c r="C305"/>
      <c r="D305"/>
      <c r="E305"/>
      <c r="F305" s="44" t="s">
        <v>113</v>
      </c>
      <c r="G305" s="44" t="s">
        <v>82</v>
      </c>
      <c r="N305"/>
      <c r="O305"/>
      <c r="P305"/>
      <c r="Q305"/>
      <c r="R305"/>
      <c r="S305"/>
      <c r="T305"/>
      <c r="U305"/>
      <c r="V305"/>
      <c r="W305"/>
    </row>
    <row r="306" spans="1:23" s="3" customFormat="1">
      <c r="A306" s="296" t="s">
        <v>471</v>
      </c>
      <c r="B306" s="33" t="s">
        <v>472</v>
      </c>
      <c r="C306" s="25" t="s">
        <v>464</v>
      </c>
      <c r="D306" s="1"/>
      <c r="E306"/>
      <c r="F306" s="2" t="s">
        <v>238</v>
      </c>
      <c r="G306" s="2" t="s">
        <v>239</v>
      </c>
      <c r="N306"/>
      <c r="O306"/>
      <c r="P306"/>
      <c r="Q306"/>
      <c r="R306"/>
      <c r="S306"/>
      <c r="T306"/>
      <c r="U306"/>
      <c r="V306"/>
      <c r="W306"/>
    </row>
    <row r="307" spans="1:23" s="3" customFormat="1">
      <c r="A307" s="297"/>
      <c r="B307" s="33" t="s">
        <v>473</v>
      </c>
      <c r="C307" s="25" t="s">
        <v>454</v>
      </c>
      <c r="D307" s="1"/>
      <c r="E307"/>
      <c r="F307" s="2" t="s">
        <v>239</v>
      </c>
      <c r="G307" s="2" t="s">
        <v>238</v>
      </c>
      <c r="N307"/>
      <c r="O307"/>
      <c r="P307"/>
      <c r="Q307"/>
      <c r="R307"/>
      <c r="S307"/>
      <c r="T307"/>
      <c r="U307"/>
      <c r="V307"/>
      <c r="W307"/>
    </row>
    <row r="308" spans="1:23" s="3" customFormat="1">
      <c r="A308" s="285" t="s">
        <v>474</v>
      </c>
      <c r="B308" s="37" t="s">
        <v>401</v>
      </c>
      <c r="C308" s="25" t="s">
        <v>402</v>
      </c>
      <c r="D308" s="1"/>
      <c r="E308"/>
      <c r="F308" s="2" t="s">
        <v>154</v>
      </c>
      <c r="G308" s="67" t="s">
        <v>153</v>
      </c>
      <c r="N308"/>
      <c r="O308"/>
      <c r="P308"/>
      <c r="Q308"/>
      <c r="R308"/>
      <c r="S308"/>
      <c r="T308"/>
      <c r="U308"/>
      <c r="V308"/>
      <c r="W308"/>
    </row>
    <row r="309" spans="1:23" s="3" customFormat="1">
      <c r="A309" s="287"/>
      <c r="B309" s="10" t="s">
        <v>475</v>
      </c>
      <c r="C309" s="25" t="s">
        <v>476</v>
      </c>
      <c r="D309" s="1"/>
      <c r="E309"/>
      <c r="F309" s="25" t="s">
        <v>153</v>
      </c>
      <c r="G309" s="2" t="s">
        <v>154</v>
      </c>
      <c r="N309"/>
      <c r="O309"/>
      <c r="P309"/>
      <c r="Q309"/>
      <c r="R309"/>
      <c r="S309"/>
      <c r="T309"/>
      <c r="U309"/>
      <c r="V309"/>
      <c r="W309"/>
    </row>
    <row r="311" spans="1:23" s="3" customFormat="1">
      <c r="A311"/>
      <c r="B311"/>
      <c r="C311"/>
      <c r="E311"/>
      <c r="F311" s="43" t="s">
        <v>478</v>
      </c>
      <c r="G311" s="44" t="s">
        <v>479</v>
      </c>
      <c r="H311" s="44" t="s">
        <v>480</v>
      </c>
      <c r="I311" s="44" t="s">
        <v>481</v>
      </c>
      <c r="N311"/>
      <c r="O311"/>
      <c r="P311"/>
      <c r="Q311"/>
      <c r="R311"/>
      <c r="S311"/>
      <c r="T311"/>
      <c r="U311"/>
      <c r="V311"/>
      <c r="W311"/>
    </row>
    <row r="312" spans="1:23" s="3" customFormat="1">
      <c r="A312" s="37" t="s">
        <v>482</v>
      </c>
      <c r="B312" s="37" t="s">
        <v>482</v>
      </c>
      <c r="C312" s="17" t="s">
        <v>312</v>
      </c>
      <c r="D312" s="17" t="s">
        <v>483</v>
      </c>
      <c r="E312"/>
      <c r="F312" s="2" t="s">
        <v>484</v>
      </c>
      <c r="G312" s="2" t="s">
        <v>485</v>
      </c>
      <c r="H312" s="2" t="s">
        <v>486</v>
      </c>
      <c r="I312" s="2" t="s">
        <v>162</v>
      </c>
      <c r="N312"/>
      <c r="O312"/>
      <c r="P312"/>
      <c r="Q312"/>
      <c r="R312"/>
      <c r="S312"/>
      <c r="T312"/>
      <c r="U312"/>
      <c r="V312"/>
      <c r="W312"/>
    </row>
    <row r="314" spans="1:23" s="3" customFormat="1">
      <c r="A314"/>
      <c r="B314"/>
      <c r="C314"/>
      <c r="E314"/>
      <c r="F314" s="44" t="s">
        <v>487</v>
      </c>
      <c r="G314" s="44" t="s">
        <v>488</v>
      </c>
      <c r="N314"/>
      <c r="O314"/>
      <c r="P314"/>
      <c r="Q314"/>
      <c r="R314"/>
      <c r="S314"/>
      <c r="T314"/>
      <c r="U314"/>
      <c r="V314"/>
      <c r="W314"/>
    </row>
    <row r="315" spans="1:23" s="3" customFormat="1">
      <c r="A315" s="37" t="s">
        <v>489</v>
      </c>
      <c r="B315" s="37" t="s">
        <v>489</v>
      </c>
      <c r="C315" s="17" t="s">
        <v>490</v>
      </c>
      <c r="D315" s="17" t="s">
        <v>491</v>
      </c>
      <c r="E315"/>
      <c r="F315" s="2" t="s">
        <v>492</v>
      </c>
      <c r="G315" s="2" t="s">
        <v>154</v>
      </c>
      <c r="N315"/>
      <c r="O315"/>
      <c r="P315"/>
      <c r="Q315"/>
      <c r="R315"/>
      <c r="S315"/>
      <c r="T315"/>
      <c r="U315"/>
      <c r="V315"/>
      <c r="W315"/>
    </row>
    <row r="316" spans="1:23" s="3" customFormat="1">
      <c r="A316" s="37" t="s">
        <v>493</v>
      </c>
      <c r="B316" s="37" t="s">
        <v>493</v>
      </c>
      <c r="C316" s="17" t="s">
        <v>152</v>
      </c>
      <c r="D316" s="17" t="s">
        <v>494</v>
      </c>
      <c r="E316"/>
      <c r="F316" s="2" t="s">
        <v>153</v>
      </c>
      <c r="G316" s="2" t="s">
        <v>154</v>
      </c>
      <c r="N316"/>
      <c r="O316"/>
      <c r="P316"/>
      <c r="Q316"/>
      <c r="R316"/>
      <c r="S316"/>
      <c r="T316"/>
      <c r="U316"/>
      <c r="V316"/>
      <c r="W316"/>
    </row>
    <row r="317" spans="1:23" s="3" customFormat="1">
      <c r="A317" s="37" t="s">
        <v>495</v>
      </c>
      <c r="B317" s="37" t="s">
        <v>495</v>
      </c>
      <c r="C317" s="17" t="s">
        <v>496</v>
      </c>
      <c r="D317" s="17" t="s">
        <v>494</v>
      </c>
      <c r="E317"/>
      <c r="F317" s="2" t="s">
        <v>497</v>
      </c>
      <c r="G317" s="2" t="s">
        <v>239</v>
      </c>
      <c r="N317"/>
      <c r="O317"/>
      <c r="P317"/>
      <c r="Q317"/>
      <c r="R317"/>
      <c r="S317"/>
      <c r="T317"/>
      <c r="U317"/>
      <c r="V317"/>
      <c r="W317"/>
    </row>
    <row r="318" spans="1:23" s="3" customFormat="1">
      <c r="A318" s="37" t="s">
        <v>498</v>
      </c>
      <c r="B318" s="37" t="s">
        <v>498</v>
      </c>
      <c r="C318" s="17" t="s">
        <v>499</v>
      </c>
      <c r="D318" s="17" t="s">
        <v>500</v>
      </c>
      <c r="E318"/>
      <c r="F318" s="2" t="s">
        <v>193</v>
      </c>
      <c r="G318" s="40" t="s">
        <v>162</v>
      </c>
      <c r="N318"/>
      <c r="O318"/>
      <c r="P318"/>
      <c r="Q318"/>
      <c r="R318"/>
      <c r="S318"/>
      <c r="T318"/>
      <c r="U318"/>
      <c r="V318"/>
      <c r="W318"/>
    </row>
    <row r="320" spans="1:23" s="3" customFormat="1">
      <c r="A320"/>
      <c r="B320"/>
      <c r="C320"/>
      <c r="E320"/>
      <c r="F320" s="44" t="s">
        <v>501</v>
      </c>
      <c r="G320" s="44" t="s">
        <v>502</v>
      </c>
      <c r="H320" s="44" t="s">
        <v>503</v>
      </c>
      <c r="N320"/>
      <c r="O320"/>
      <c r="P320"/>
      <c r="Q320"/>
      <c r="R320"/>
      <c r="S320"/>
      <c r="T320"/>
      <c r="U320"/>
      <c r="V320"/>
      <c r="W320"/>
    </row>
    <row r="321" spans="1:23" s="3" customFormat="1">
      <c r="A321" s="37" t="s">
        <v>504</v>
      </c>
      <c r="B321" s="37" t="s">
        <v>504</v>
      </c>
      <c r="C321" s="17" t="s">
        <v>499</v>
      </c>
      <c r="D321" s="17" t="s">
        <v>500</v>
      </c>
      <c r="E321"/>
      <c r="F321" s="40" t="s">
        <v>193</v>
      </c>
      <c r="G321" s="40" t="s">
        <v>162</v>
      </c>
      <c r="H321" s="40" t="s">
        <v>162</v>
      </c>
      <c r="N321"/>
      <c r="O321"/>
      <c r="P321"/>
      <c r="Q321"/>
      <c r="R321"/>
      <c r="S321"/>
      <c r="T321"/>
      <c r="U321"/>
      <c r="V321"/>
      <c r="W321"/>
    </row>
    <row r="322" spans="1:23" s="3" customFormat="1">
      <c r="A322" s="299" t="s">
        <v>505</v>
      </c>
      <c r="B322" s="296" t="s">
        <v>505</v>
      </c>
      <c r="C322" s="41" t="s">
        <v>506</v>
      </c>
      <c r="D322" s="17"/>
      <c r="E322"/>
      <c r="F322" s="42"/>
      <c r="G322" s="42" t="s">
        <v>154</v>
      </c>
      <c r="H322" s="42" t="s">
        <v>507</v>
      </c>
      <c r="N322"/>
      <c r="O322"/>
      <c r="P322"/>
      <c r="Q322"/>
      <c r="R322"/>
      <c r="S322"/>
      <c r="T322"/>
      <c r="U322"/>
      <c r="V322"/>
      <c r="W322"/>
    </row>
    <row r="323" spans="1:23">
      <c r="A323" s="300"/>
      <c r="B323" s="297"/>
      <c r="C323" s="41" t="s">
        <v>508</v>
      </c>
      <c r="D323" s="17"/>
      <c r="F323" s="42" t="s">
        <v>509</v>
      </c>
      <c r="G323" s="42" t="s">
        <v>154</v>
      </c>
      <c r="H323" s="42" t="s">
        <v>154</v>
      </c>
    </row>
    <row r="324" spans="1:23">
      <c r="A324" s="284" t="s">
        <v>510</v>
      </c>
      <c r="B324" s="284" t="s">
        <v>510</v>
      </c>
      <c r="C324" s="17" t="s">
        <v>511</v>
      </c>
      <c r="D324" s="17"/>
      <c r="F324" s="42" t="s">
        <v>512</v>
      </c>
      <c r="G324" s="42" t="s">
        <v>162</v>
      </c>
      <c r="H324" s="42" t="s">
        <v>162</v>
      </c>
    </row>
    <row r="325" spans="1:23">
      <c r="A325" s="284"/>
      <c r="B325" s="284"/>
      <c r="C325" s="17" t="s">
        <v>513</v>
      </c>
      <c r="D325" s="17"/>
      <c r="F325" s="42" t="s">
        <v>514</v>
      </c>
      <c r="G325" s="42" t="s">
        <v>162</v>
      </c>
      <c r="H325" s="42" t="s">
        <v>162</v>
      </c>
    </row>
    <row r="326" spans="1:23">
      <c r="A326" s="284"/>
      <c r="B326" s="284"/>
      <c r="C326" s="17" t="s">
        <v>515</v>
      </c>
      <c r="D326" s="17"/>
      <c r="F326" s="42" t="s">
        <v>516</v>
      </c>
      <c r="G326" s="42" t="s">
        <v>162</v>
      </c>
      <c r="H326" s="42" t="s">
        <v>162</v>
      </c>
    </row>
    <row r="327" spans="1:23">
      <c r="A327" s="284"/>
      <c r="B327" s="284"/>
      <c r="C327" s="17" t="s">
        <v>517</v>
      </c>
      <c r="D327" s="17"/>
      <c r="F327" s="42" t="s">
        <v>518</v>
      </c>
      <c r="G327" s="42" t="s">
        <v>162</v>
      </c>
      <c r="H327" s="42" t="s">
        <v>162</v>
      </c>
    </row>
    <row r="328" spans="1:23">
      <c r="A328" s="284"/>
      <c r="B328" s="284"/>
      <c r="C328" s="17" t="s">
        <v>519</v>
      </c>
      <c r="D328" s="17"/>
      <c r="F328" s="42" t="s">
        <v>520</v>
      </c>
      <c r="G328" s="42" t="s">
        <v>162</v>
      </c>
      <c r="H328" s="42" t="s">
        <v>162</v>
      </c>
    </row>
    <row r="329" spans="1:23">
      <c r="A329" s="284"/>
      <c r="B329" s="284"/>
      <c r="C329" s="17" t="s">
        <v>521</v>
      </c>
      <c r="D329" s="17"/>
      <c r="F329" s="42" t="s">
        <v>522</v>
      </c>
      <c r="G329" s="42" t="s">
        <v>162</v>
      </c>
      <c r="H329" s="42" t="s">
        <v>162</v>
      </c>
    </row>
    <row r="330" spans="1:23" ht="28.5">
      <c r="A330" s="10" t="s">
        <v>1059</v>
      </c>
      <c r="B330" s="10" t="s">
        <v>1059</v>
      </c>
      <c r="C330" s="41" t="s">
        <v>1060</v>
      </c>
    </row>
    <row r="332" spans="1:23">
      <c r="D332" s="14"/>
      <c r="E332" s="4"/>
      <c r="F332" s="23" t="s">
        <v>83</v>
      </c>
      <c r="G332" s="23" t="s">
        <v>82</v>
      </c>
      <c r="H332" s="23" t="s">
        <v>84</v>
      </c>
      <c r="I332" s="23" t="s">
        <v>79</v>
      </c>
      <c r="J332" s="23" t="s">
        <v>78</v>
      </c>
      <c r="K332" s="23" t="s">
        <v>75</v>
      </c>
      <c r="L332"/>
      <c r="M332"/>
      <c r="R332" s="4"/>
    </row>
    <row r="333" spans="1:23">
      <c r="A333" s="37" t="s">
        <v>523</v>
      </c>
      <c r="B333" s="37" t="s">
        <v>523</v>
      </c>
      <c r="C333" s="17"/>
      <c r="D333" s="36"/>
      <c r="F333" s="2" t="s">
        <v>524</v>
      </c>
      <c r="G333" s="2" t="s">
        <v>524</v>
      </c>
      <c r="H333" s="2" t="s">
        <v>524</v>
      </c>
      <c r="I333" s="2" t="s">
        <v>524</v>
      </c>
      <c r="J333" s="39" t="s">
        <v>524</v>
      </c>
      <c r="K333" s="2" t="s">
        <v>524</v>
      </c>
      <c r="L333"/>
      <c r="M333"/>
    </row>
    <row r="335" spans="1:23">
      <c r="D335" s="28"/>
      <c r="F335" s="44" t="s">
        <v>10</v>
      </c>
      <c r="G335" s="44" t="s">
        <v>9</v>
      </c>
      <c r="H335" s="44" t="s">
        <v>525</v>
      </c>
      <c r="I335" s="44" t="s">
        <v>526</v>
      </c>
    </row>
    <row r="336" spans="1:23">
      <c r="A336" s="37" t="s">
        <v>527</v>
      </c>
      <c r="B336" s="37" t="s">
        <v>527</v>
      </c>
      <c r="C336" s="17" t="s">
        <v>152</v>
      </c>
      <c r="D336" s="36"/>
      <c r="F336" s="2" t="s">
        <v>153</v>
      </c>
      <c r="G336" s="2" t="s">
        <v>154</v>
      </c>
      <c r="H336" s="2" t="s">
        <v>154</v>
      </c>
    </row>
    <row r="338" spans="1:10">
      <c r="F338" s="44" t="s">
        <v>501</v>
      </c>
      <c r="G338" s="44" t="s">
        <v>502</v>
      </c>
    </row>
    <row r="339" spans="1:10">
      <c r="A339" s="37" t="s">
        <v>528</v>
      </c>
      <c r="B339" s="37" t="s">
        <v>528</v>
      </c>
      <c r="C339" s="17" t="s">
        <v>499</v>
      </c>
      <c r="D339" s="17"/>
      <c r="F339" s="40" t="s">
        <v>193</v>
      </c>
      <c r="G339" s="40" t="s">
        <v>162</v>
      </c>
    </row>
    <row r="340" spans="1:10">
      <c r="A340" s="10" t="s">
        <v>529</v>
      </c>
      <c r="B340" s="10" t="s">
        <v>529</v>
      </c>
      <c r="C340" s="41" t="s">
        <v>508</v>
      </c>
      <c r="D340" s="17"/>
      <c r="F340" s="42" t="s">
        <v>509</v>
      </c>
      <c r="G340" s="42" t="s">
        <v>154</v>
      </c>
    </row>
    <row r="341" spans="1:10">
      <c r="A341" s="284" t="s">
        <v>530</v>
      </c>
      <c r="B341" s="284" t="s">
        <v>530</v>
      </c>
      <c r="C341" s="17" t="s">
        <v>531</v>
      </c>
      <c r="D341" s="17"/>
      <c r="F341" s="42" t="s">
        <v>512</v>
      </c>
      <c r="G341" s="42" t="s">
        <v>162</v>
      </c>
    </row>
    <row r="342" spans="1:10">
      <c r="A342" s="284"/>
      <c r="B342" s="284"/>
      <c r="C342" s="17" t="s">
        <v>532</v>
      </c>
      <c r="D342" s="17"/>
      <c r="F342" s="42" t="s">
        <v>514</v>
      </c>
      <c r="G342" s="42" t="s">
        <v>162</v>
      </c>
    </row>
    <row r="343" spans="1:10">
      <c r="A343" s="284"/>
      <c r="B343" s="284"/>
      <c r="C343" s="17" t="s">
        <v>533</v>
      </c>
      <c r="D343" s="17"/>
      <c r="F343" s="42" t="s">
        <v>516</v>
      </c>
      <c r="G343" s="42" t="s">
        <v>162</v>
      </c>
    </row>
    <row r="344" spans="1:10">
      <c r="A344" s="284"/>
      <c r="B344" s="284"/>
      <c r="C344" s="17" t="s">
        <v>534</v>
      </c>
      <c r="D344" s="17"/>
      <c r="F344" s="42" t="s">
        <v>518</v>
      </c>
      <c r="G344" s="42" t="s">
        <v>162</v>
      </c>
    </row>
    <row r="345" spans="1:10">
      <c r="A345" s="284"/>
      <c r="B345" s="284"/>
      <c r="C345" s="17" t="s">
        <v>535</v>
      </c>
      <c r="D345" s="17"/>
      <c r="F345" s="42" t="s">
        <v>520</v>
      </c>
      <c r="G345" s="42" t="s">
        <v>162</v>
      </c>
    </row>
    <row r="346" spans="1:10">
      <c r="A346" s="284"/>
      <c r="B346" s="284"/>
      <c r="C346" s="17" t="s">
        <v>536</v>
      </c>
      <c r="D346" s="17"/>
      <c r="F346" s="42" t="s">
        <v>522</v>
      </c>
      <c r="G346" s="42" t="s">
        <v>162</v>
      </c>
    </row>
    <row r="348" spans="1:10">
      <c r="D348" s="28"/>
      <c r="F348" s="44" t="s">
        <v>10</v>
      </c>
      <c r="G348" s="44" t="s">
        <v>9</v>
      </c>
      <c r="H348" s="44" t="s">
        <v>525</v>
      </c>
      <c r="I348" s="44" t="s">
        <v>526</v>
      </c>
    </row>
    <row r="349" spans="1:10">
      <c r="A349" s="37" t="s">
        <v>537</v>
      </c>
      <c r="B349" s="37" t="s">
        <v>537</v>
      </c>
      <c r="C349" s="17" t="s">
        <v>152</v>
      </c>
      <c r="D349" s="36"/>
      <c r="H349" s="2" t="s">
        <v>153</v>
      </c>
      <c r="I349" s="2" t="s">
        <v>154</v>
      </c>
    </row>
    <row r="351" spans="1:10">
      <c r="F351" s="44" t="s">
        <v>1226</v>
      </c>
      <c r="G351" s="44" t="s">
        <v>1061</v>
      </c>
      <c r="H351" s="44" t="s">
        <v>1063</v>
      </c>
      <c r="I351" s="44" t="s">
        <v>1227</v>
      </c>
      <c r="J351" s="44" t="s">
        <v>1065</v>
      </c>
    </row>
    <row r="352" spans="1:10">
      <c r="A352" s="37" t="s">
        <v>1066</v>
      </c>
      <c r="B352" s="37" t="s">
        <v>1066</v>
      </c>
      <c r="C352" s="17" t="s">
        <v>1067</v>
      </c>
      <c r="D352" s="17" t="s">
        <v>1228</v>
      </c>
      <c r="F352" s="2" t="s">
        <v>1069</v>
      </c>
      <c r="G352" s="2" t="s">
        <v>154</v>
      </c>
      <c r="H352" s="2" t="s">
        <v>1069</v>
      </c>
      <c r="I352" s="2" t="s">
        <v>1229</v>
      </c>
      <c r="J352" s="2" t="s">
        <v>1071</v>
      </c>
    </row>
    <row r="353" spans="1:23">
      <c r="A353" s="37" t="s">
        <v>1072</v>
      </c>
      <c r="B353" s="37" t="s">
        <v>1072</v>
      </c>
      <c r="C353" s="17" t="s">
        <v>1073</v>
      </c>
      <c r="D353" s="17" t="s">
        <v>1228</v>
      </c>
      <c r="F353" s="2" t="s">
        <v>1069</v>
      </c>
      <c r="G353" s="2" t="s">
        <v>154</v>
      </c>
      <c r="H353" s="2" t="s">
        <v>1069</v>
      </c>
      <c r="I353" s="2" t="s">
        <v>1229</v>
      </c>
      <c r="J353" s="2" t="s">
        <v>1074</v>
      </c>
    </row>
    <row r="354" spans="1:23">
      <c r="A354" s="37" t="s">
        <v>1075</v>
      </c>
      <c r="B354" s="37" t="s">
        <v>1075</v>
      </c>
      <c r="C354" s="17" t="s">
        <v>1076</v>
      </c>
      <c r="D354" s="17" t="s">
        <v>1228</v>
      </c>
      <c r="F354" s="2" t="s">
        <v>1069</v>
      </c>
      <c r="G354" s="2" t="s">
        <v>154</v>
      </c>
      <c r="H354" s="2" t="s">
        <v>1069</v>
      </c>
      <c r="I354" s="2" t="s">
        <v>1229</v>
      </c>
      <c r="J354" s="2" t="s">
        <v>1077</v>
      </c>
    </row>
    <row r="356" spans="1:23">
      <c r="F356" s="44" t="s">
        <v>82</v>
      </c>
      <c r="G356" s="44" t="s">
        <v>76</v>
      </c>
      <c r="H356" s="44" t="s">
        <v>84</v>
      </c>
      <c r="I356" s="44" t="s">
        <v>77</v>
      </c>
      <c r="J356" s="44" t="s">
        <v>78</v>
      </c>
      <c r="K356" s="44" t="s">
        <v>79</v>
      </c>
      <c r="L356" s="44" t="s">
        <v>83</v>
      </c>
      <c r="M356" s="44" t="s">
        <v>75</v>
      </c>
    </row>
    <row r="357" spans="1:23" ht="156.94999999999999">
      <c r="A357" s="10" t="s">
        <v>1078</v>
      </c>
      <c r="B357" s="10" t="s">
        <v>1078</v>
      </c>
      <c r="C357" s="41" t="s">
        <v>1079</v>
      </c>
      <c r="D357" s="133" t="s">
        <v>1080</v>
      </c>
      <c r="F357" s="67" t="s">
        <v>1069</v>
      </c>
      <c r="G357" s="67" t="s">
        <v>1081</v>
      </c>
      <c r="H357" s="67" t="s">
        <v>1069</v>
      </c>
      <c r="I357" s="67" t="s">
        <v>1069</v>
      </c>
      <c r="J357" s="67" t="s">
        <v>1069</v>
      </c>
      <c r="K357" s="67" t="s">
        <v>154</v>
      </c>
      <c r="L357" s="67" t="s">
        <v>1071</v>
      </c>
      <c r="M357" s="67" t="s">
        <v>1071</v>
      </c>
    </row>
    <row r="358" spans="1:23" ht="156.94999999999999">
      <c r="A358" s="10" t="s">
        <v>1082</v>
      </c>
      <c r="B358" s="10" t="s">
        <v>1082</v>
      </c>
      <c r="C358" s="41" t="s">
        <v>1083</v>
      </c>
      <c r="D358" s="133" t="s">
        <v>1080</v>
      </c>
      <c r="F358" s="67" t="s">
        <v>1069</v>
      </c>
      <c r="G358" s="67" t="s">
        <v>1081</v>
      </c>
      <c r="H358" s="67" t="s">
        <v>1069</v>
      </c>
      <c r="I358" s="67" t="s">
        <v>1069</v>
      </c>
      <c r="J358" s="67" t="s">
        <v>1069</v>
      </c>
      <c r="K358" s="67" t="s">
        <v>154</v>
      </c>
      <c r="L358" s="67" t="s">
        <v>1074</v>
      </c>
      <c r="M358" s="67" t="s">
        <v>1074</v>
      </c>
    </row>
    <row r="359" spans="1:23" ht="156.94999999999999">
      <c r="A359" s="10" t="s">
        <v>1084</v>
      </c>
      <c r="B359" s="10" t="s">
        <v>1084</v>
      </c>
      <c r="C359" s="41" t="s">
        <v>1085</v>
      </c>
      <c r="D359" s="133" t="s">
        <v>1080</v>
      </c>
      <c r="F359" s="67" t="s">
        <v>1069</v>
      </c>
      <c r="G359" s="67" t="s">
        <v>1081</v>
      </c>
      <c r="H359" s="67" t="s">
        <v>1069</v>
      </c>
      <c r="I359" s="67" t="s">
        <v>1069</v>
      </c>
      <c r="J359" s="67" t="s">
        <v>1069</v>
      </c>
      <c r="K359" s="67" t="s">
        <v>154</v>
      </c>
      <c r="L359" s="67" t="s">
        <v>1077</v>
      </c>
      <c r="M359" s="67" t="s">
        <v>1077</v>
      </c>
    </row>
    <row r="361" spans="1:23" s="3" customFormat="1">
      <c r="A361"/>
      <c r="B361"/>
      <c r="C361"/>
      <c r="D361"/>
      <c r="E361" s="4"/>
      <c r="F361" s="23" t="s">
        <v>82</v>
      </c>
      <c r="G361" s="23" t="s">
        <v>79</v>
      </c>
      <c r="H361" s="23" t="s">
        <v>113</v>
      </c>
      <c r="N361"/>
      <c r="O361"/>
      <c r="P361"/>
      <c r="Q361"/>
      <c r="R361"/>
      <c r="S361"/>
      <c r="T361"/>
      <c r="U361"/>
      <c r="V361"/>
      <c r="W361"/>
    </row>
    <row r="362" spans="1:23" s="3" customFormat="1">
      <c r="A362" s="7" t="s">
        <v>1086</v>
      </c>
      <c r="B362" s="7" t="s">
        <v>1086</v>
      </c>
      <c r="C362" s="25" t="s">
        <v>1087</v>
      </c>
      <c r="D362" s="1"/>
      <c r="E362" s="6"/>
      <c r="F362" s="67" t="s">
        <v>153</v>
      </c>
      <c r="G362" s="67" t="s">
        <v>154</v>
      </c>
      <c r="H362" s="67" t="s">
        <v>154</v>
      </c>
      <c r="N362"/>
      <c r="O362"/>
      <c r="P362"/>
      <c r="Q362"/>
      <c r="R362"/>
      <c r="S362"/>
      <c r="T362"/>
      <c r="U362"/>
      <c r="V362"/>
      <c r="W362"/>
    </row>
    <row r="364" spans="1:23" s="3" customFormat="1">
      <c r="A364"/>
      <c r="B364"/>
      <c r="C364"/>
      <c r="D364"/>
      <c r="E364" s="4"/>
      <c r="F364" s="23" t="s">
        <v>82</v>
      </c>
      <c r="G364" s="23" t="s">
        <v>79</v>
      </c>
      <c r="H364" s="23" t="s">
        <v>58</v>
      </c>
      <c r="N364"/>
      <c r="O364"/>
      <c r="P364"/>
      <c r="Q364"/>
      <c r="R364"/>
      <c r="S364"/>
      <c r="T364"/>
      <c r="U364"/>
      <c r="V364"/>
      <c r="W364"/>
    </row>
    <row r="365" spans="1:23" s="3" customFormat="1" ht="42.75">
      <c r="A365" s="7" t="s">
        <v>1088</v>
      </c>
      <c r="B365" s="7" t="s">
        <v>1088</v>
      </c>
      <c r="C365" s="131" t="s">
        <v>1089</v>
      </c>
      <c r="D365" s="1"/>
      <c r="E365" s="6"/>
      <c r="F365" s="67" t="s">
        <v>153</v>
      </c>
      <c r="G365" s="67" t="s">
        <v>162</v>
      </c>
      <c r="H365" s="67" t="s">
        <v>162</v>
      </c>
      <c r="N365"/>
      <c r="O365"/>
      <c r="P365"/>
      <c r="Q365"/>
      <c r="R365"/>
      <c r="S365"/>
      <c r="T365"/>
      <c r="U365"/>
      <c r="V365"/>
      <c r="W365"/>
    </row>
    <row r="366" spans="1:23" s="3" customFormat="1" ht="42.75">
      <c r="A366" s="7" t="s">
        <v>1090</v>
      </c>
      <c r="B366" s="7" t="s">
        <v>1090</v>
      </c>
      <c r="C366" s="131" t="s">
        <v>1091</v>
      </c>
      <c r="D366" s="1"/>
      <c r="E366" s="6"/>
      <c r="F366" s="67" t="s">
        <v>162</v>
      </c>
      <c r="G366" s="67" t="s">
        <v>153</v>
      </c>
      <c r="H366" s="67" t="s">
        <v>162</v>
      </c>
      <c r="N366"/>
      <c r="O366"/>
      <c r="P366"/>
      <c r="Q366"/>
      <c r="R366"/>
      <c r="S366"/>
      <c r="T366"/>
      <c r="U366"/>
      <c r="V366"/>
      <c r="W366"/>
    </row>
    <row r="368" spans="1:23" s="22" customFormat="1">
      <c r="F368" s="27"/>
      <c r="G368" s="27"/>
      <c r="H368" s="27"/>
      <c r="I368" s="27"/>
      <c r="J368" s="27"/>
      <c r="K368" s="27"/>
      <c r="L368" s="27"/>
      <c r="M368" s="27"/>
    </row>
    <row r="369" spans="1:12">
      <c r="F369" s="44" t="s">
        <v>1092</v>
      </c>
      <c r="G369" s="44" t="s">
        <v>1093</v>
      </c>
      <c r="H369" s="44" t="s">
        <v>1094</v>
      </c>
      <c r="I369" s="44" t="s">
        <v>1095</v>
      </c>
      <c r="J369" s="44" t="s">
        <v>1096</v>
      </c>
    </row>
    <row r="370" spans="1:12" ht="71.45">
      <c r="A370" s="10" t="s">
        <v>1097</v>
      </c>
      <c r="B370" s="10" t="s">
        <v>1097</v>
      </c>
      <c r="C370" s="41" t="s">
        <v>1098</v>
      </c>
      <c r="F370" s="2" t="s">
        <v>153</v>
      </c>
      <c r="G370" s="2" t="s">
        <v>153</v>
      </c>
      <c r="H370" s="2">
        <v>0</v>
      </c>
      <c r="I370" s="2" t="s">
        <v>153</v>
      </c>
      <c r="J370" s="2">
        <v>0</v>
      </c>
    </row>
    <row r="372" spans="1:12">
      <c r="F372" s="44" t="s">
        <v>1099</v>
      </c>
      <c r="G372" s="44" t="s">
        <v>1100</v>
      </c>
      <c r="H372" s="44" t="s">
        <v>1101</v>
      </c>
      <c r="I372" s="44" t="s">
        <v>1102</v>
      </c>
      <c r="J372" s="44" t="s">
        <v>1103</v>
      </c>
      <c r="K372" s="44" t="s">
        <v>1104</v>
      </c>
      <c r="L372" s="44" t="s">
        <v>1105</v>
      </c>
    </row>
    <row r="373" spans="1:12" ht="99.95">
      <c r="A373" s="10" t="s">
        <v>1106</v>
      </c>
      <c r="B373" s="10" t="s">
        <v>1106</v>
      </c>
      <c r="C373" s="41" t="s">
        <v>1107</v>
      </c>
      <c r="F373" s="2" t="s">
        <v>153</v>
      </c>
      <c r="G373" s="2" t="s">
        <v>153</v>
      </c>
      <c r="H373" s="2">
        <v>0</v>
      </c>
      <c r="I373" s="2" t="s">
        <v>153</v>
      </c>
      <c r="J373" s="2">
        <v>0</v>
      </c>
      <c r="K373" s="2">
        <v>0</v>
      </c>
      <c r="L373" s="2" t="s">
        <v>153</v>
      </c>
    </row>
    <row r="374" spans="1:12">
      <c r="A374" s="1"/>
      <c r="B374" s="1"/>
      <c r="C374" s="6"/>
    </row>
    <row r="375" spans="1:12">
      <c r="F375" s="270" t="s">
        <v>1092</v>
      </c>
      <c r="G375" s="270" t="s">
        <v>1093</v>
      </c>
      <c r="H375" s="270" t="s">
        <v>1094</v>
      </c>
      <c r="I375" s="270" t="s">
        <v>1095</v>
      </c>
      <c r="J375" s="270" t="s">
        <v>1096</v>
      </c>
      <c r="K375" s="141"/>
      <c r="L375" s="141"/>
    </row>
    <row r="376" spans="1:12">
      <c r="A376" s="306" t="s">
        <v>1230</v>
      </c>
      <c r="B376" s="306" t="s">
        <v>1230</v>
      </c>
      <c r="C376" s="13" t="s">
        <v>1231</v>
      </c>
      <c r="D376" s="271" t="s">
        <v>1232</v>
      </c>
      <c r="F376" s="213" t="s">
        <v>242</v>
      </c>
      <c r="G376" s="213" t="s">
        <v>238</v>
      </c>
      <c r="H376" s="213" t="s">
        <v>239</v>
      </c>
      <c r="I376" s="213" t="s">
        <v>242</v>
      </c>
      <c r="J376" s="213" t="s">
        <v>242</v>
      </c>
      <c r="K376" s="141"/>
      <c r="L376" s="141"/>
    </row>
    <row r="377" spans="1:12">
      <c r="A377" s="310"/>
      <c r="B377" s="310"/>
      <c r="C377" s="47" t="s">
        <v>1233</v>
      </c>
      <c r="F377" s="213" t="s">
        <v>239</v>
      </c>
      <c r="G377" s="213" t="s">
        <v>238</v>
      </c>
      <c r="H377" s="213" t="s">
        <v>242</v>
      </c>
      <c r="I377" s="213" t="s">
        <v>242</v>
      </c>
      <c r="J377" s="213" t="s">
        <v>242</v>
      </c>
      <c r="K377" s="141"/>
      <c r="L377" s="141"/>
    </row>
    <row r="378" spans="1:12">
      <c r="A378" s="307"/>
      <c r="B378" s="307"/>
      <c r="C378" s="48" t="s">
        <v>1234</v>
      </c>
      <c r="F378" s="213" t="s">
        <v>242</v>
      </c>
      <c r="G378" s="213" t="s">
        <v>238</v>
      </c>
      <c r="H378" s="213" t="s">
        <v>242</v>
      </c>
      <c r="I378" s="213" t="s">
        <v>242</v>
      </c>
      <c r="J378" s="213" t="s">
        <v>239</v>
      </c>
      <c r="K378" s="141"/>
      <c r="L378" s="141"/>
    </row>
    <row r="379" spans="1:12">
      <c r="A379" s="15"/>
      <c r="B379" s="15"/>
      <c r="F379" s="141"/>
      <c r="G379" s="141"/>
      <c r="H379" s="141"/>
      <c r="I379" s="141"/>
      <c r="J379" s="141"/>
      <c r="K379" s="141"/>
      <c r="L379" s="141"/>
    </row>
    <row r="380" spans="1:12">
      <c r="F380" s="270" t="s">
        <v>1099</v>
      </c>
      <c r="G380" s="270" t="s">
        <v>1100</v>
      </c>
      <c r="H380" s="270" t="s">
        <v>1101</v>
      </c>
      <c r="I380" s="270" t="s">
        <v>1102</v>
      </c>
      <c r="J380" s="270" t="s">
        <v>1103</v>
      </c>
      <c r="K380" s="270" t="s">
        <v>1104</v>
      </c>
      <c r="L380" s="270" t="s">
        <v>1105</v>
      </c>
    </row>
    <row r="381" spans="1:12">
      <c r="A381" s="306" t="s">
        <v>1235</v>
      </c>
      <c r="B381" s="306" t="s">
        <v>1235</v>
      </c>
      <c r="C381" s="13" t="s">
        <v>1236</v>
      </c>
      <c r="D381" s="271" t="s">
        <v>1232</v>
      </c>
      <c r="F381" s="213" t="s">
        <v>242</v>
      </c>
      <c r="G381" s="213" t="s">
        <v>238</v>
      </c>
      <c r="H381" s="213" t="s">
        <v>239</v>
      </c>
      <c r="I381" s="213" t="s">
        <v>242</v>
      </c>
      <c r="J381" s="213" t="s">
        <v>242</v>
      </c>
      <c r="K381" s="213" t="s">
        <v>242</v>
      </c>
      <c r="L381" s="213" t="s">
        <v>242</v>
      </c>
    </row>
    <row r="382" spans="1:12">
      <c r="A382" s="310"/>
      <c r="B382" s="310"/>
      <c r="C382" s="47" t="s">
        <v>1237</v>
      </c>
      <c r="F382" s="213" t="s">
        <v>242</v>
      </c>
      <c r="G382" s="213" t="s">
        <v>238</v>
      </c>
      <c r="H382" s="213" t="s">
        <v>242</v>
      </c>
      <c r="I382" s="213" t="s">
        <v>242</v>
      </c>
      <c r="J382" s="213" t="s">
        <v>242</v>
      </c>
      <c r="K382" s="213" t="s">
        <v>239</v>
      </c>
      <c r="L382" s="213" t="s">
        <v>242</v>
      </c>
    </row>
    <row r="383" spans="1:12">
      <c r="A383" s="310"/>
      <c r="B383" s="310"/>
      <c r="C383" s="47" t="s">
        <v>1238</v>
      </c>
      <c r="F383" s="213" t="s">
        <v>239</v>
      </c>
      <c r="G383" s="213" t="s">
        <v>238</v>
      </c>
      <c r="H383" s="213" t="s">
        <v>242</v>
      </c>
      <c r="I383" s="213" t="s">
        <v>242</v>
      </c>
      <c r="J383" s="213" t="s">
        <v>242</v>
      </c>
      <c r="K383" s="213" t="s">
        <v>242</v>
      </c>
      <c r="L383" s="213" t="s">
        <v>242</v>
      </c>
    </row>
    <row r="384" spans="1:12">
      <c r="A384" s="310"/>
      <c r="B384" s="310"/>
      <c r="C384" s="47" t="s">
        <v>1239</v>
      </c>
      <c r="F384" s="213" t="s">
        <v>242</v>
      </c>
      <c r="G384" s="213" t="s">
        <v>238</v>
      </c>
      <c r="H384" s="213" t="s">
        <v>242</v>
      </c>
      <c r="I384" s="213" t="s">
        <v>242</v>
      </c>
      <c r="J384" s="213" t="s">
        <v>239</v>
      </c>
      <c r="K384" s="213" t="s">
        <v>242</v>
      </c>
      <c r="L384" s="213" t="s">
        <v>242</v>
      </c>
    </row>
    <row r="385" spans="1:12">
      <c r="A385" s="310"/>
      <c r="B385" s="310"/>
      <c r="C385" s="47" t="s">
        <v>1240</v>
      </c>
      <c r="F385" s="213" t="s">
        <v>242</v>
      </c>
      <c r="G385" s="213" t="s">
        <v>242</v>
      </c>
      <c r="H385" s="213" t="s">
        <v>239</v>
      </c>
      <c r="I385" s="213" t="s">
        <v>242</v>
      </c>
      <c r="J385" s="213" t="s">
        <v>242</v>
      </c>
      <c r="K385" s="213" t="s">
        <v>242</v>
      </c>
      <c r="L385" s="213" t="s">
        <v>238</v>
      </c>
    </row>
    <row r="386" spans="1:12">
      <c r="A386" s="310"/>
      <c r="B386" s="310"/>
      <c r="C386" s="47" t="s">
        <v>1241</v>
      </c>
      <c r="F386" s="213" t="s">
        <v>242</v>
      </c>
      <c r="G386" s="213" t="s">
        <v>242</v>
      </c>
      <c r="H386" s="213" t="s">
        <v>242</v>
      </c>
      <c r="I386" s="213" t="s">
        <v>242</v>
      </c>
      <c r="J386" s="213" t="s">
        <v>242</v>
      </c>
      <c r="K386" s="213" t="s">
        <v>239</v>
      </c>
      <c r="L386" s="213" t="s">
        <v>238</v>
      </c>
    </row>
    <row r="387" spans="1:12">
      <c r="A387" s="310"/>
      <c r="B387" s="310"/>
      <c r="C387" s="47" t="s">
        <v>1242</v>
      </c>
      <c r="F387" s="213" t="s">
        <v>239</v>
      </c>
      <c r="G387" s="213" t="s">
        <v>242</v>
      </c>
      <c r="H387" s="213" t="s">
        <v>242</v>
      </c>
      <c r="I387" s="213" t="s">
        <v>242</v>
      </c>
      <c r="J387" s="213" t="s">
        <v>242</v>
      </c>
      <c r="K387" s="213" t="s">
        <v>242</v>
      </c>
      <c r="L387" s="213" t="s">
        <v>238</v>
      </c>
    </row>
    <row r="388" spans="1:12">
      <c r="A388" s="307"/>
      <c r="B388" s="307"/>
      <c r="C388" s="48" t="s">
        <v>1243</v>
      </c>
      <c r="F388" s="213" t="s">
        <v>242</v>
      </c>
      <c r="G388" s="213" t="s">
        <v>242</v>
      </c>
      <c r="H388" s="213" t="s">
        <v>242</v>
      </c>
      <c r="I388" s="213" t="s">
        <v>242</v>
      </c>
      <c r="J388" s="213" t="s">
        <v>239</v>
      </c>
      <c r="K388" s="213" t="s">
        <v>242</v>
      </c>
      <c r="L388" s="213" t="s">
        <v>238</v>
      </c>
    </row>
    <row r="403" spans="1:3">
      <c r="A403" s="37" t="s">
        <v>1108</v>
      </c>
      <c r="B403" s="37" t="s">
        <v>1108</v>
      </c>
      <c r="C403" s="17" t="s">
        <v>1109</v>
      </c>
    </row>
    <row r="404" spans="1:3">
      <c r="A404" s="37" t="s">
        <v>1110</v>
      </c>
      <c r="B404" s="37" t="s">
        <v>1110</v>
      </c>
      <c r="C404" s="18" t="s">
        <v>1111</v>
      </c>
    </row>
    <row r="405" spans="1:3">
      <c r="A405" s="37" t="s">
        <v>1112</v>
      </c>
      <c r="B405" s="37" t="s">
        <v>1112</v>
      </c>
      <c r="C405" s="18" t="s">
        <v>1113</v>
      </c>
    </row>
    <row r="406" spans="1:3">
      <c r="A406" s="37" t="s">
        <v>1114</v>
      </c>
      <c r="B406" s="37" t="s">
        <v>1114</v>
      </c>
      <c r="C406" s="18" t="s">
        <v>1115</v>
      </c>
    </row>
    <row r="407" spans="1:3">
      <c r="A407" s="37" t="s">
        <v>1116</v>
      </c>
      <c r="B407" s="37" t="s">
        <v>1116</v>
      </c>
      <c r="C407" s="18" t="s">
        <v>1117</v>
      </c>
    </row>
    <row r="408" spans="1:3">
      <c r="A408" s="37" t="s">
        <v>1118</v>
      </c>
      <c r="B408" s="37" t="s">
        <v>1118</v>
      </c>
      <c r="C408" s="17" t="s">
        <v>1119</v>
      </c>
    </row>
    <row r="409" spans="1:3">
      <c r="A409" s="37" t="s">
        <v>1120</v>
      </c>
      <c r="B409" s="37" t="s">
        <v>1120</v>
      </c>
      <c r="C409" s="18" t="s">
        <v>1121</v>
      </c>
    </row>
    <row r="410" spans="1:3">
      <c r="A410" s="37" t="s">
        <v>1122</v>
      </c>
      <c r="B410" s="37" t="s">
        <v>1122</v>
      </c>
      <c r="C410" s="17" t="s">
        <v>1122</v>
      </c>
    </row>
    <row r="413" spans="1:3">
      <c r="A413" s="296" t="s">
        <v>1123</v>
      </c>
      <c r="B413" s="33" t="s">
        <v>1124</v>
      </c>
      <c r="C413" s="25" t="s">
        <v>1125</v>
      </c>
    </row>
    <row r="414" spans="1:3">
      <c r="A414" s="297"/>
      <c r="B414" s="33" t="s">
        <v>1126</v>
      </c>
      <c r="C414" s="25" t="s">
        <v>397</v>
      </c>
    </row>
    <row r="417" spans="1:3">
      <c r="A417" s="37" t="s">
        <v>1127</v>
      </c>
      <c r="B417" s="37" t="s">
        <v>1127</v>
      </c>
      <c r="C417" s="17" t="s">
        <v>1128</v>
      </c>
    </row>
    <row r="418" spans="1:3">
      <c r="A418" s="37" t="s">
        <v>1129</v>
      </c>
      <c r="B418" s="37" t="s">
        <v>1129</v>
      </c>
      <c r="C418" s="17" t="s">
        <v>1130</v>
      </c>
    </row>
    <row r="420" spans="1:3">
      <c r="A420" s="37" t="s">
        <v>1131</v>
      </c>
      <c r="B420" s="37" t="s">
        <v>1131</v>
      </c>
      <c r="C420" s="17" t="s">
        <v>1132</v>
      </c>
    </row>
    <row r="421" spans="1:3">
      <c r="A421" s="37" t="s">
        <v>1133</v>
      </c>
      <c r="B421" s="37" t="s">
        <v>1133</v>
      </c>
      <c r="C421" s="17" t="s">
        <v>1134</v>
      </c>
    </row>
    <row r="422" spans="1:3">
      <c r="A422" s="37" t="s">
        <v>1135</v>
      </c>
      <c r="B422" s="37" t="s">
        <v>1135</v>
      </c>
      <c r="C422" s="17" t="s">
        <v>1136</v>
      </c>
    </row>
    <row r="425" spans="1:3">
      <c r="A425" s="37" t="s">
        <v>1137</v>
      </c>
      <c r="B425" s="37" t="s">
        <v>1137</v>
      </c>
      <c r="C425" s="17" t="s">
        <v>404</v>
      </c>
    </row>
    <row r="426" spans="1:3">
      <c r="A426" s="37" t="s">
        <v>287</v>
      </c>
      <c r="B426" s="37" t="s">
        <v>287</v>
      </c>
      <c r="C426" s="17" t="s">
        <v>287</v>
      </c>
    </row>
    <row r="427" spans="1:3">
      <c r="A427" s="37" t="s">
        <v>1138</v>
      </c>
      <c r="B427" s="37" t="s">
        <v>1138</v>
      </c>
      <c r="C427" s="17" t="s">
        <v>1139</v>
      </c>
    </row>
    <row r="430" spans="1:3">
      <c r="A430" s="37" t="s">
        <v>1140</v>
      </c>
      <c r="B430" s="37" t="s">
        <v>1140</v>
      </c>
      <c r="C430" s="17" t="s">
        <v>404</v>
      </c>
    </row>
    <row r="431" spans="1:3">
      <c r="A431" s="37" t="s">
        <v>287</v>
      </c>
      <c r="B431" s="37" t="s">
        <v>287</v>
      </c>
      <c r="C431" s="17" t="s">
        <v>287</v>
      </c>
    </row>
    <row r="432" spans="1:3">
      <c r="A432" s="37" t="s">
        <v>1141</v>
      </c>
      <c r="B432" s="37" t="s">
        <v>1141</v>
      </c>
      <c r="C432" s="17" t="s">
        <v>1139</v>
      </c>
    </row>
    <row r="435" spans="1:3">
      <c r="A435" s="37" t="s">
        <v>1142</v>
      </c>
      <c r="B435" s="37" t="s">
        <v>1142</v>
      </c>
      <c r="C435" s="17" t="s">
        <v>404</v>
      </c>
    </row>
    <row r="436" spans="1:3">
      <c r="A436" s="37" t="s">
        <v>287</v>
      </c>
      <c r="B436" s="37" t="s">
        <v>287</v>
      </c>
      <c r="C436" s="17" t="s">
        <v>287</v>
      </c>
    </row>
    <row r="437" spans="1:3">
      <c r="A437" s="37" t="s">
        <v>1143</v>
      </c>
      <c r="B437" s="37" t="s">
        <v>1143</v>
      </c>
      <c r="C437" s="17" t="s">
        <v>1139</v>
      </c>
    </row>
    <row r="440" spans="1:3">
      <c r="A440" s="37" t="s">
        <v>1144</v>
      </c>
      <c r="B440" s="37" t="s">
        <v>1144</v>
      </c>
      <c r="C440" s="17" t="s">
        <v>404</v>
      </c>
    </row>
    <row r="441" spans="1:3">
      <c r="A441" s="37" t="s">
        <v>287</v>
      </c>
      <c r="B441" s="37" t="s">
        <v>287</v>
      </c>
      <c r="C441" s="17" t="s">
        <v>287</v>
      </c>
    </row>
    <row r="442" spans="1:3">
      <c r="A442" s="37" t="s">
        <v>1145</v>
      </c>
      <c r="B442" s="37" t="s">
        <v>1145</v>
      </c>
      <c r="C442" s="17" t="s">
        <v>1139</v>
      </c>
    </row>
    <row r="445" spans="1:3">
      <c r="A445" s="37" t="s">
        <v>1146</v>
      </c>
      <c r="B445" s="37" t="s">
        <v>1146</v>
      </c>
      <c r="C445" s="17" t="s">
        <v>1147</v>
      </c>
    </row>
    <row r="446" spans="1:3">
      <c r="A446" s="37" t="s">
        <v>1148</v>
      </c>
      <c r="B446" s="37" t="s">
        <v>1148</v>
      </c>
      <c r="C446" s="17" t="s">
        <v>1149</v>
      </c>
    </row>
    <row r="447" spans="1:3">
      <c r="A447" s="37" t="s">
        <v>1150</v>
      </c>
      <c r="B447" s="37" t="s">
        <v>1150</v>
      </c>
      <c r="C447" s="17" t="s">
        <v>1151</v>
      </c>
    </row>
    <row r="448" spans="1:3">
      <c r="A448" s="37" t="s">
        <v>1152</v>
      </c>
      <c r="B448" s="37" t="s">
        <v>1152</v>
      </c>
      <c r="C448" s="17" t="s">
        <v>1153</v>
      </c>
    </row>
    <row r="449" spans="1:3">
      <c r="A449" s="37" t="s">
        <v>1154</v>
      </c>
      <c r="B449" s="37" t="s">
        <v>1154</v>
      </c>
      <c r="C449" s="17" t="s">
        <v>1155</v>
      </c>
    </row>
    <row r="452" spans="1:3">
      <c r="A452" s="37" t="s">
        <v>1156</v>
      </c>
      <c r="B452" s="37" t="s">
        <v>1156</v>
      </c>
      <c r="C452" s="17"/>
    </row>
    <row r="455" spans="1:3">
      <c r="A455" s="37" t="s">
        <v>1157</v>
      </c>
      <c r="B455" s="37" t="s">
        <v>1157</v>
      </c>
      <c r="C455" s="17" t="s">
        <v>1158</v>
      </c>
    </row>
    <row r="458" spans="1:3" ht="42.75">
      <c r="A458" s="284" t="s">
        <v>1159</v>
      </c>
      <c r="B458" s="301" t="s">
        <v>1159</v>
      </c>
      <c r="C458" s="41" t="s">
        <v>1160</v>
      </c>
    </row>
    <row r="459" spans="1:3" ht="42.75">
      <c r="A459" s="284"/>
      <c r="B459" s="301"/>
      <c r="C459" s="41" t="s">
        <v>1161</v>
      </c>
    </row>
    <row r="460" spans="1:3" ht="42.75">
      <c r="A460" s="284"/>
      <c r="B460" s="301"/>
      <c r="C460" s="41" t="s">
        <v>1162</v>
      </c>
    </row>
    <row r="461" spans="1:3" ht="42.75">
      <c r="A461" s="284"/>
      <c r="B461" s="301"/>
      <c r="C461" s="41" t="s">
        <v>1163</v>
      </c>
    </row>
    <row r="462" spans="1:3" ht="57.2">
      <c r="A462" s="302" t="s">
        <v>1164</v>
      </c>
      <c r="B462" s="301" t="s">
        <v>1164</v>
      </c>
      <c r="C462" s="41" t="s">
        <v>1165</v>
      </c>
    </row>
    <row r="463" spans="1:3" ht="57.2">
      <c r="A463" s="302"/>
      <c r="B463" s="301"/>
      <c r="C463" s="41" t="s">
        <v>1166</v>
      </c>
    </row>
    <row r="464" spans="1:3" ht="57.2">
      <c r="A464" s="302"/>
      <c r="B464" s="301"/>
      <c r="C464" s="41" t="s">
        <v>1167</v>
      </c>
    </row>
    <row r="465" spans="1:7" ht="57.2">
      <c r="A465" s="302"/>
      <c r="B465" s="301"/>
      <c r="C465" s="41" t="s">
        <v>1168</v>
      </c>
    </row>
    <row r="466" spans="1:7" ht="57.2">
      <c r="A466" s="302"/>
      <c r="B466" s="301"/>
      <c r="C466" s="41" t="s">
        <v>1169</v>
      </c>
    </row>
    <row r="468" spans="1:7">
      <c r="F468" s="2" t="s">
        <v>1170</v>
      </c>
      <c r="G468" s="2" t="s">
        <v>1171</v>
      </c>
    </row>
    <row r="469" spans="1:7">
      <c r="A469" s="284" t="s">
        <v>1172</v>
      </c>
      <c r="B469" s="301" t="s">
        <v>1172</v>
      </c>
      <c r="C469" s="159" t="s">
        <v>1173</v>
      </c>
      <c r="F469" s="2" t="s">
        <v>1174</v>
      </c>
      <c r="G469" s="2" t="s">
        <v>1175</v>
      </c>
    </row>
    <row r="470" spans="1:7">
      <c r="A470" s="284"/>
      <c r="B470" s="301"/>
      <c r="C470" s="160" t="s">
        <v>1176</v>
      </c>
    </row>
    <row r="472" spans="1:7">
      <c r="A472" s="170" t="s">
        <v>1177</v>
      </c>
      <c r="B472" s="170" t="s">
        <v>1177</v>
      </c>
      <c r="C472" s="13" t="s">
        <v>1178</v>
      </c>
      <c r="F472" s="2" t="s">
        <v>1170</v>
      </c>
      <c r="G472" s="2" t="s">
        <v>1171</v>
      </c>
    </row>
    <row r="473" spans="1:7">
      <c r="A473" s="171"/>
      <c r="B473" s="171"/>
      <c r="C473" s="47" t="s">
        <v>1179</v>
      </c>
      <c r="F473" s="2" t="s">
        <v>1174</v>
      </c>
      <c r="G473" s="2" t="s">
        <v>1175</v>
      </c>
    </row>
    <row r="474" spans="1:7">
      <c r="A474" s="171"/>
      <c r="B474" s="171"/>
      <c r="C474" s="47" t="s">
        <v>1180</v>
      </c>
    </row>
    <row r="475" spans="1:7">
      <c r="A475" s="172"/>
      <c r="B475" s="172"/>
      <c r="C475" s="48" t="s">
        <v>1181</v>
      </c>
    </row>
    <row r="477" spans="1:7">
      <c r="A477" s="33" t="s">
        <v>1182</v>
      </c>
      <c r="B477" s="161" t="s">
        <v>1182</v>
      </c>
      <c r="C477" s="17" t="s">
        <v>1183</v>
      </c>
      <c r="D477" s="17" t="s">
        <v>1184</v>
      </c>
    </row>
    <row r="478" spans="1:7">
      <c r="B478" s="3"/>
    </row>
    <row r="479" spans="1:7">
      <c r="A479" s="33" t="s">
        <v>1185</v>
      </c>
      <c r="B479" s="161" t="s">
        <v>1185</v>
      </c>
      <c r="C479" s="17" t="s">
        <v>1186</v>
      </c>
      <c r="D479" s="17" t="s">
        <v>1184</v>
      </c>
    </row>
    <row r="480" spans="1:7">
      <c r="B480" s="3"/>
    </row>
    <row r="481" spans="1:11">
      <c r="A481" s="296" t="s">
        <v>1187</v>
      </c>
      <c r="B481" s="306" t="s">
        <v>1187</v>
      </c>
      <c r="C481" s="17" t="s">
        <v>1188</v>
      </c>
      <c r="D481" s="17" t="s">
        <v>1184</v>
      </c>
    </row>
    <row r="482" spans="1:11">
      <c r="A482" s="297"/>
      <c r="B482" s="307"/>
      <c r="C482" s="17" t="s">
        <v>1189</v>
      </c>
      <c r="D482" s="17" t="s">
        <v>1190</v>
      </c>
    </row>
    <row r="484" spans="1:11">
      <c r="A484" s="296" t="s">
        <v>1191</v>
      </c>
      <c r="B484" s="306" t="s">
        <v>1191</v>
      </c>
      <c r="C484" s="17" t="s">
        <v>1192</v>
      </c>
      <c r="D484" s="17" t="s">
        <v>1184</v>
      </c>
    </row>
    <row r="485" spans="1:11">
      <c r="A485" s="297"/>
      <c r="B485" s="307"/>
      <c r="C485" s="17" t="s">
        <v>1193</v>
      </c>
      <c r="D485" s="17" t="s">
        <v>1190</v>
      </c>
    </row>
    <row r="487" spans="1:11">
      <c r="A487" s="296" t="s">
        <v>1194</v>
      </c>
      <c r="B487" s="306" t="s">
        <v>1194</v>
      </c>
      <c r="C487" s="17" t="s">
        <v>1195</v>
      </c>
      <c r="D487" s="17" t="s">
        <v>1190</v>
      </c>
    </row>
    <row r="488" spans="1:11">
      <c r="A488" s="297"/>
      <c r="B488" s="307"/>
      <c r="C488" s="17" t="s">
        <v>1196</v>
      </c>
      <c r="D488" s="17" t="s">
        <v>1184</v>
      </c>
    </row>
    <row r="490" spans="1:11">
      <c r="A490" s="33" t="s">
        <v>1197</v>
      </c>
      <c r="B490" s="33" t="s">
        <v>1197</v>
      </c>
      <c r="C490" s="17" t="s">
        <v>1198</v>
      </c>
    </row>
    <row r="492" spans="1:11">
      <c r="A492" s="33" t="s">
        <v>1199</v>
      </c>
      <c r="B492" s="33" t="s">
        <v>1199</v>
      </c>
      <c r="C492" s="17" t="s">
        <v>1200</v>
      </c>
    </row>
    <row r="494" spans="1:11">
      <c r="A494" s="33" t="s">
        <v>1244</v>
      </c>
      <c r="B494" s="33" t="s">
        <v>1245</v>
      </c>
      <c r="C494" s="17" t="s">
        <v>1246</v>
      </c>
      <c r="F494" s="2" t="s">
        <v>1247</v>
      </c>
      <c r="G494" s="2" t="s">
        <v>1248</v>
      </c>
      <c r="H494" s="2" t="s">
        <v>1249</v>
      </c>
      <c r="I494" s="2" t="s">
        <v>1250</v>
      </c>
      <c r="J494" s="2" t="s">
        <v>1251</v>
      </c>
      <c r="K494" s="2" t="s">
        <v>1252</v>
      </c>
    </row>
    <row r="495" spans="1:11">
      <c r="F495" s="2" t="s">
        <v>1253</v>
      </c>
      <c r="G495" s="2" t="s">
        <v>1253</v>
      </c>
      <c r="H495" s="2" t="s">
        <v>1254</v>
      </c>
      <c r="I495" s="2" t="s">
        <v>1255</v>
      </c>
      <c r="J495" s="2" t="s">
        <v>1256</v>
      </c>
      <c r="K495" s="2" t="s">
        <v>1257</v>
      </c>
    </row>
    <row r="498" spans="1:21">
      <c r="A498" t="s">
        <v>1258</v>
      </c>
      <c r="B498" t="s">
        <v>1258</v>
      </c>
      <c r="C498" t="s">
        <v>1259</v>
      </c>
      <c r="F498" s="17" t="s">
        <v>1260</v>
      </c>
      <c r="G498" s="17" t="s">
        <v>1261</v>
      </c>
      <c r="H498" s="17" t="s">
        <v>1262</v>
      </c>
      <c r="I498" s="17" t="s">
        <v>1263</v>
      </c>
      <c r="J498" s="17" t="s">
        <v>1264</v>
      </c>
      <c r="K498" s="17" t="s">
        <v>1249</v>
      </c>
      <c r="L498" s="17" t="s">
        <v>1250</v>
      </c>
      <c r="M498" s="17" t="s">
        <v>1265</v>
      </c>
      <c r="N498" s="17" t="s">
        <v>1266</v>
      </c>
      <c r="O498" s="17" t="s">
        <v>1267</v>
      </c>
      <c r="P498" s="17" t="s">
        <v>1268</v>
      </c>
      <c r="Q498" s="17" t="s">
        <v>1269</v>
      </c>
      <c r="R498" s="17" t="s">
        <v>1270</v>
      </c>
      <c r="S498" s="17" t="s">
        <v>1271</v>
      </c>
      <c r="T498" s="17" t="s">
        <v>1272</v>
      </c>
      <c r="U498" s="17" t="s">
        <v>1273</v>
      </c>
    </row>
    <row r="499" spans="1:21">
      <c r="C499" t="s">
        <v>1274</v>
      </c>
      <c r="F499" s="2" t="s">
        <v>1253</v>
      </c>
      <c r="G499" s="2" t="s">
        <v>1253</v>
      </c>
      <c r="H499" s="2" t="s">
        <v>1253</v>
      </c>
      <c r="I499" s="2" t="s">
        <v>1253</v>
      </c>
      <c r="J499" s="2" t="s">
        <v>1253</v>
      </c>
      <c r="K499" s="2" t="s">
        <v>1254</v>
      </c>
      <c r="L499" s="2" t="s">
        <v>1255</v>
      </c>
      <c r="M499" s="2" t="s">
        <v>1275</v>
      </c>
      <c r="N499" s="2" t="s">
        <v>1276</v>
      </c>
      <c r="O499" s="2" t="s">
        <v>1276</v>
      </c>
      <c r="P499" s="2" t="s">
        <v>1276</v>
      </c>
      <c r="Q499" s="2" t="s">
        <v>1276</v>
      </c>
      <c r="R499" s="2" t="s">
        <v>1276</v>
      </c>
      <c r="S499" s="2" t="s">
        <v>1276</v>
      </c>
      <c r="T499" s="2" t="s">
        <v>1276</v>
      </c>
      <c r="U499" s="2" t="s">
        <v>1276</v>
      </c>
    </row>
    <row r="500" spans="1:21">
      <c r="C500" t="s">
        <v>1277</v>
      </c>
    </row>
    <row r="501" spans="1:21">
      <c r="C501" t="s">
        <v>1278</v>
      </c>
    </row>
    <row r="502" spans="1:21">
      <c r="C502" t="s">
        <v>1279</v>
      </c>
    </row>
    <row r="503" spans="1:21">
      <c r="C503" t="s">
        <v>1280</v>
      </c>
    </row>
    <row r="504" spans="1:21">
      <c r="C504" t="s">
        <v>1281</v>
      </c>
    </row>
    <row r="505" spans="1:21">
      <c r="C505" t="s">
        <v>1282</v>
      </c>
    </row>
    <row r="511" spans="1:21">
      <c r="B511" t="s">
        <v>1260</v>
      </c>
    </row>
    <row r="512" spans="1:21">
      <c r="B512" t="s">
        <v>1261</v>
      </c>
    </row>
    <row r="513" spans="2:2">
      <c r="B513" t="s">
        <v>1262</v>
      </c>
    </row>
    <row r="514" spans="2:2">
      <c r="B514" t="s">
        <v>1263</v>
      </c>
    </row>
    <row r="515" spans="2:2">
      <c r="B515" t="s">
        <v>1264</v>
      </c>
    </row>
    <row r="516" spans="2:2">
      <c r="B516" t="s">
        <v>1249</v>
      </c>
    </row>
    <row r="517" spans="2:2">
      <c r="B517" t="s">
        <v>1250</v>
      </c>
    </row>
    <row r="518" spans="2:2">
      <c r="B518" t="s">
        <v>1265</v>
      </c>
    </row>
    <row r="519" spans="2:2">
      <c r="B519" t="s">
        <v>1266</v>
      </c>
    </row>
    <row r="520" spans="2:2">
      <c r="B520" t="s">
        <v>1267</v>
      </c>
    </row>
    <row r="521" spans="2:2">
      <c r="B521" t="s">
        <v>1268</v>
      </c>
    </row>
    <row r="522" spans="2:2">
      <c r="B522" t="s">
        <v>1269</v>
      </c>
    </row>
    <row r="523" spans="2:2">
      <c r="B523" t="s">
        <v>1270</v>
      </c>
    </row>
    <row r="524" spans="2:2">
      <c r="B524" t="s">
        <v>1271</v>
      </c>
    </row>
    <row r="525" spans="2:2">
      <c r="B525" t="s">
        <v>1272</v>
      </c>
    </row>
    <row r="526" spans="2:2">
      <c r="B526" t="s">
        <v>1273</v>
      </c>
    </row>
  </sheetData>
  <autoFilter ref="A1:C368" xr:uid="{8E3F79CB-D784-409C-8264-830D7DBF82CD}"/>
  <mergeCells count="113">
    <mergeCell ref="A487:A488"/>
    <mergeCell ref="B487:B488"/>
    <mergeCell ref="A458:A461"/>
    <mergeCell ref="B458:B461"/>
    <mergeCell ref="A462:A466"/>
    <mergeCell ref="B462:B466"/>
    <mergeCell ref="A469:A470"/>
    <mergeCell ref="B469:B470"/>
    <mergeCell ref="A481:A482"/>
    <mergeCell ref="B481:B482"/>
    <mergeCell ref="A484:A485"/>
    <mergeCell ref="B484:B485"/>
    <mergeCell ref="A413:A414"/>
    <mergeCell ref="A296:A297"/>
    <mergeCell ref="A300:A301"/>
    <mergeCell ref="A302:A303"/>
    <mergeCell ref="A306:A307"/>
    <mergeCell ref="A308:A309"/>
    <mergeCell ref="A322:A323"/>
    <mergeCell ref="A376:A378"/>
    <mergeCell ref="B322:B323"/>
    <mergeCell ref="A324:A329"/>
    <mergeCell ref="B324:B329"/>
    <mergeCell ref="A341:A346"/>
    <mergeCell ref="B341:B346"/>
    <mergeCell ref="B376:B378"/>
    <mergeCell ref="A381:A388"/>
    <mergeCell ref="B381:B388"/>
    <mergeCell ref="A294:A295"/>
    <mergeCell ref="A215:A223"/>
    <mergeCell ref="A228:A236"/>
    <mergeCell ref="A239:A247"/>
    <mergeCell ref="A250:A251"/>
    <mergeCell ref="A252:A253"/>
    <mergeCell ref="A265:A268"/>
    <mergeCell ref="A269:A270"/>
    <mergeCell ref="A276:A277"/>
    <mergeCell ref="A278:A282"/>
    <mergeCell ref="A288:A289"/>
    <mergeCell ref="A290:A291"/>
    <mergeCell ref="F192:F195"/>
    <mergeCell ref="G192:G195"/>
    <mergeCell ref="H192:H195"/>
    <mergeCell ref="I192:I195"/>
    <mergeCell ref="P192:P195"/>
    <mergeCell ref="Q192:Q195"/>
    <mergeCell ref="J196:J200"/>
    <mergeCell ref="P196:P200"/>
    <mergeCell ref="H189:H191"/>
    <mergeCell ref="J189:J191"/>
    <mergeCell ref="P189:P191"/>
    <mergeCell ref="Q196:Q200"/>
    <mergeCell ref="G196:G200"/>
    <mergeCell ref="H196:H200"/>
    <mergeCell ref="I196:I200"/>
    <mergeCell ref="B189:B191"/>
    <mergeCell ref="F189:F191"/>
    <mergeCell ref="B196:B200"/>
    <mergeCell ref="F196:F200"/>
    <mergeCell ref="P180:P181"/>
    <mergeCell ref="Q180:Q181"/>
    <mergeCell ref="B182:B183"/>
    <mergeCell ref="F182:F183"/>
    <mergeCell ref="H182:H183"/>
    <mergeCell ref="P182:P183"/>
    <mergeCell ref="Q182:Q183"/>
    <mergeCell ref="G180:G181"/>
    <mergeCell ref="H184:H185"/>
    <mergeCell ref="P184:P185"/>
    <mergeCell ref="Q184:Q185"/>
    <mergeCell ref="B186:B188"/>
    <mergeCell ref="G186:G188"/>
    <mergeCell ref="H186:H188"/>
    <mergeCell ref="I186:I188"/>
    <mergeCell ref="P186:P188"/>
    <mergeCell ref="Q186:Q188"/>
    <mergeCell ref="G184:G185"/>
    <mergeCell ref="Q189:Q191"/>
    <mergeCell ref="B192:B195"/>
    <mergeCell ref="A149:A150"/>
    <mergeCell ref="A165:A169"/>
    <mergeCell ref="A177:A212"/>
    <mergeCell ref="F1:Q1"/>
    <mergeCell ref="A9:A11"/>
    <mergeCell ref="A12:A14"/>
    <mergeCell ref="A15:A17"/>
    <mergeCell ref="A44:A45"/>
    <mergeCell ref="B44:B45"/>
    <mergeCell ref="A98:A102"/>
    <mergeCell ref="A46:A47"/>
    <mergeCell ref="B46:B47"/>
    <mergeCell ref="A53:A54"/>
    <mergeCell ref="A55:A57"/>
    <mergeCell ref="A58:A60"/>
    <mergeCell ref="A61:A63"/>
    <mergeCell ref="A66:A71"/>
    <mergeCell ref="A72:A78"/>
    <mergeCell ref="A81:A85"/>
    <mergeCell ref="A86:A90"/>
    <mergeCell ref="A93:A97"/>
    <mergeCell ref="B180:B181"/>
    <mergeCell ref="F180:F181"/>
    <mergeCell ref="B184:B185"/>
    <mergeCell ref="G135:I135"/>
    <mergeCell ref="G138:I138"/>
    <mergeCell ref="G140:I140"/>
    <mergeCell ref="G143:I143"/>
    <mergeCell ref="G125:I125"/>
    <mergeCell ref="G128:I128"/>
    <mergeCell ref="F129:I129"/>
    <mergeCell ref="G130:I130"/>
    <mergeCell ref="G133:I133"/>
    <mergeCell ref="F134:I134"/>
  </mergeCells>
  <phoneticPr fontId="16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222D-036C-41B0-A8C2-0A634B91EC29}">
  <sheetPr codeName="Sheet2"/>
  <dimension ref="A1:S303"/>
  <sheetViews>
    <sheetView zoomScale="85" zoomScaleNormal="85" workbookViewId="0">
      <pane ySplit="1" topLeftCell="A2" activePane="bottomLeft" state="frozen"/>
      <selection pane="bottomLeft" activeCell="D33" sqref="D33"/>
    </sheetView>
  </sheetViews>
  <sheetFormatPr defaultRowHeight="14.25"/>
  <cols>
    <col min="1" max="1" width="17.42578125" bestFit="1" customWidth="1"/>
    <col min="2" max="2" width="23.42578125" customWidth="1"/>
    <col min="3" max="3" width="27.140625" style="3" customWidth="1"/>
    <col min="4" max="4" width="17.5703125" style="3" bestFit="1" customWidth="1"/>
    <col min="5" max="5" width="11.85546875" bestFit="1" customWidth="1"/>
    <col min="6" max="6" width="14.42578125" style="3" bestFit="1" customWidth="1"/>
    <col min="7" max="7" width="11.140625" style="61" bestFit="1" customWidth="1"/>
    <col min="8" max="8" width="56.42578125" style="15" bestFit="1" customWidth="1"/>
    <col min="9" max="12" width="8.5703125" style="15" customWidth="1"/>
    <col min="14" max="14" width="11.140625" bestFit="1" customWidth="1"/>
    <col min="15" max="15" width="13.5703125" bestFit="1" customWidth="1"/>
  </cols>
  <sheetData>
    <row r="1" spans="1:14">
      <c r="A1" s="32" t="s">
        <v>371</v>
      </c>
      <c r="B1" s="78" t="s">
        <v>149</v>
      </c>
      <c r="C1" s="78" t="s">
        <v>296</v>
      </c>
      <c r="D1" s="79" t="s">
        <v>538</v>
      </c>
      <c r="E1" s="4" t="s">
        <v>539</v>
      </c>
      <c r="F1" s="79" t="s">
        <v>540</v>
      </c>
      <c r="G1" s="62" t="s">
        <v>541</v>
      </c>
      <c r="H1" s="80" t="s">
        <v>83</v>
      </c>
      <c r="I1" s="80" t="s">
        <v>82</v>
      </c>
      <c r="J1" s="80" t="s">
        <v>84</v>
      </c>
      <c r="K1" s="80" t="s">
        <v>358</v>
      </c>
      <c r="L1" s="80" t="s">
        <v>359</v>
      </c>
      <c r="N1" s="49" t="s">
        <v>57</v>
      </c>
    </row>
    <row r="2" spans="1:14" s="53" customFormat="1">
      <c r="A2" s="63" t="s">
        <v>361</v>
      </c>
      <c r="B2" s="63" t="s">
        <v>361</v>
      </c>
      <c r="C2" s="13" t="s">
        <v>542</v>
      </c>
      <c r="D2" s="81" t="s">
        <v>543</v>
      </c>
      <c r="F2" s="81">
        <f>(1/0.05)+1</f>
        <v>21</v>
      </c>
      <c r="G2" s="82">
        <v>1547.91</v>
      </c>
      <c r="H2" s="83" t="s">
        <v>544</v>
      </c>
      <c r="I2" s="83" t="s">
        <v>545</v>
      </c>
      <c r="J2" s="83" t="s">
        <v>546</v>
      </c>
      <c r="K2" s="83" t="s">
        <v>547</v>
      </c>
      <c r="L2" s="83" t="s">
        <v>546</v>
      </c>
    </row>
    <row r="3" spans="1:14">
      <c r="A3" s="66"/>
      <c r="B3" s="66"/>
      <c r="C3" s="47" t="s">
        <v>548</v>
      </c>
      <c r="D3" s="1" t="s">
        <v>543</v>
      </c>
      <c r="F3" s="1">
        <f>1/0.1+1</f>
        <v>11</v>
      </c>
      <c r="G3" s="61">
        <v>921.77099999999996</v>
      </c>
      <c r="H3" s="15" t="s">
        <v>549</v>
      </c>
      <c r="I3" s="15" t="s">
        <v>550</v>
      </c>
      <c r="J3" s="15" t="s">
        <v>546</v>
      </c>
      <c r="K3" s="15" t="s">
        <v>547</v>
      </c>
      <c r="L3" s="15" t="s">
        <v>546</v>
      </c>
    </row>
    <row r="4" spans="1:14">
      <c r="A4" s="66"/>
      <c r="B4" s="66"/>
      <c r="C4" s="47" t="s">
        <v>551</v>
      </c>
      <c r="D4" s="1" t="s">
        <v>543</v>
      </c>
      <c r="F4" s="1">
        <f>1/0.1+1</f>
        <v>11</v>
      </c>
      <c r="G4" s="61">
        <v>982.66600000000005</v>
      </c>
      <c r="H4" s="15" t="s">
        <v>549</v>
      </c>
      <c r="I4" s="15" t="s">
        <v>552</v>
      </c>
      <c r="J4" s="15" t="s">
        <v>546</v>
      </c>
      <c r="K4" s="15" t="s">
        <v>547</v>
      </c>
      <c r="L4" s="15" t="s">
        <v>546</v>
      </c>
    </row>
    <row r="5" spans="1:14" s="54" customFormat="1">
      <c r="A5" s="64"/>
      <c r="B5" s="64"/>
      <c r="C5" s="48" t="s">
        <v>553</v>
      </c>
      <c r="D5" s="84" t="s">
        <v>543</v>
      </c>
      <c r="F5" s="84">
        <f>1/0.1+1</f>
        <v>11</v>
      </c>
      <c r="G5" s="85">
        <v>1086.02</v>
      </c>
      <c r="H5" s="86" t="s">
        <v>549</v>
      </c>
      <c r="I5" s="86" t="s">
        <v>554</v>
      </c>
      <c r="J5" s="86" t="s">
        <v>546</v>
      </c>
      <c r="K5" s="86" t="s">
        <v>547</v>
      </c>
      <c r="L5" s="86" t="s">
        <v>546</v>
      </c>
    </row>
    <row r="6" spans="1:14">
      <c r="A6" s="77" t="s">
        <v>360</v>
      </c>
      <c r="B6" s="87" t="s">
        <v>555</v>
      </c>
      <c r="C6" s="13" t="s">
        <v>556</v>
      </c>
      <c r="D6" s="81" t="s">
        <v>543</v>
      </c>
      <c r="E6" s="53"/>
      <c r="F6" s="81"/>
      <c r="G6" s="82">
        <v>600</v>
      </c>
      <c r="H6" s="83" t="s">
        <v>544</v>
      </c>
      <c r="I6" s="83" t="s">
        <v>545</v>
      </c>
      <c r="J6" s="83" t="s">
        <v>546</v>
      </c>
      <c r="K6" s="83" t="s">
        <v>547</v>
      </c>
      <c r="L6" s="83" t="s">
        <v>546</v>
      </c>
      <c r="M6" s="53"/>
      <c r="N6" s="16"/>
    </row>
    <row r="7" spans="1:14">
      <c r="A7" s="52"/>
      <c r="B7" s="64"/>
      <c r="C7" s="48" t="s">
        <v>557</v>
      </c>
      <c r="D7" s="84" t="s">
        <v>558</v>
      </c>
      <c r="E7" s="54"/>
      <c r="F7" s="84"/>
      <c r="G7" s="85">
        <v>15</v>
      </c>
      <c r="H7" s="86"/>
      <c r="I7" s="86"/>
      <c r="J7" s="86"/>
      <c r="K7" s="86"/>
      <c r="L7" s="86"/>
      <c r="M7" s="54"/>
      <c r="N7" s="46"/>
    </row>
    <row r="8" spans="1:14">
      <c r="A8" s="66"/>
      <c r="B8" s="63" t="s">
        <v>362</v>
      </c>
      <c r="C8" s="16" t="s">
        <v>560</v>
      </c>
      <c r="D8" s="53" t="s">
        <v>561</v>
      </c>
      <c r="E8" s="53"/>
      <c r="F8" s="53">
        <v>1</v>
      </c>
      <c r="G8" s="82">
        <v>41.522300000000001</v>
      </c>
      <c r="H8" s="83"/>
      <c r="I8" s="83" t="s">
        <v>552</v>
      </c>
      <c r="J8" s="83" t="s">
        <v>547</v>
      </c>
      <c r="K8" s="83"/>
      <c r="L8" s="83"/>
      <c r="M8" s="53"/>
      <c r="N8" s="16"/>
    </row>
    <row r="9" spans="1:14">
      <c r="A9" s="66"/>
      <c r="B9" s="66"/>
      <c r="C9" s="45" t="s">
        <v>562</v>
      </c>
      <c r="D9" t="s">
        <v>561</v>
      </c>
      <c r="F9">
        <v>1</v>
      </c>
      <c r="G9" s="61">
        <v>41.316299999999998</v>
      </c>
      <c r="K9" s="15" t="s">
        <v>552</v>
      </c>
      <c r="L9" s="15" t="s">
        <v>547</v>
      </c>
      <c r="N9" s="45"/>
    </row>
    <row r="10" spans="1:14">
      <c r="A10" s="66"/>
      <c r="B10" s="66"/>
      <c r="C10" s="45" t="s">
        <v>563</v>
      </c>
      <c r="D10" t="s">
        <v>561</v>
      </c>
      <c r="F10">
        <v>1</v>
      </c>
      <c r="G10" s="61">
        <v>54.264800000000001</v>
      </c>
      <c r="H10" s="15" t="s">
        <v>554</v>
      </c>
      <c r="K10" s="15" t="s">
        <v>547</v>
      </c>
      <c r="N10" s="45"/>
    </row>
    <row r="11" spans="1:14">
      <c r="A11" s="66"/>
      <c r="B11" s="66"/>
      <c r="C11" s="45" t="s">
        <v>564</v>
      </c>
      <c r="D11" t="s">
        <v>561</v>
      </c>
      <c r="F11">
        <v>1</v>
      </c>
      <c r="G11" s="61">
        <v>55.015099999999997</v>
      </c>
      <c r="H11" s="15" t="s">
        <v>554</v>
      </c>
      <c r="I11" s="15" t="s">
        <v>547</v>
      </c>
      <c r="N11" s="45"/>
    </row>
    <row r="12" spans="1:14">
      <c r="A12" s="66"/>
      <c r="B12" s="66"/>
      <c r="C12" s="45" t="s">
        <v>565</v>
      </c>
      <c r="D12" t="s">
        <v>561</v>
      </c>
      <c r="F12">
        <v>1</v>
      </c>
      <c r="G12" s="61">
        <v>57.929400000000001</v>
      </c>
      <c r="H12" s="15" t="s">
        <v>547</v>
      </c>
      <c r="I12" s="15" t="s">
        <v>554</v>
      </c>
      <c r="K12" s="15" t="s">
        <v>547</v>
      </c>
      <c r="N12" s="45"/>
    </row>
    <row r="13" spans="1:14">
      <c r="A13" s="66"/>
      <c r="B13" s="66"/>
      <c r="C13" s="45" t="s">
        <v>566</v>
      </c>
      <c r="D13" t="s">
        <v>561</v>
      </c>
      <c r="F13">
        <v>1</v>
      </c>
      <c r="G13" s="61">
        <v>50.990299999999998</v>
      </c>
      <c r="I13" s="15" t="s">
        <v>554</v>
      </c>
      <c r="K13" s="15" t="s">
        <v>547</v>
      </c>
      <c r="N13" s="45"/>
    </row>
    <row r="14" spans="1:14">
      <c r="A14" s="66"/>
      <c r="B14" s="64"/>
      <c r="C14" s="46" t="s">
        <v>1283</v>
      </c>
      <c r="D14" s="54" t="s">
        <v>1284</v>
      </c>
      <c r="E14" s="54"/>
      <c r="F14" s="54"/>
      <c r="G14" s="85"/>
      <c r="H14" s="86"/>
      <c r="I14" s="86"/>
      <c r="J14" s="86"/>
      <c r="K14" s="86"/>
      <c r="L14" s="86"/>
      <c r="M14" s="54"/>
      <c r="N14" s="46"/>
    </row>
    <row r="15" spans="1:14">
      <c r="A15" s="66"/>
      <c r="B15" s="63" t="s">
        <v>363</v>
      </c>
      <c r="C15" s="13" t="s">
        <v>567</v>
      </c>
      <c r="D15" s="81" t="s">
        <v>543</v>
      </c>
      <c r="E15" s="53"/>
      <c r="F15" s="81">
        <v>1</v>
      </c>
      <c r="G15" s="82">
        <v>103.48699999999999</v>
      </c>
      <c r="H15" s="83" t="s">
        <v>554</v>
      </c>
      <c r="I15" s="83" t="s">
        <v>547</v>
      </c>
      <c r="J15" s="83" t="s">
        <v>546</v>
      </c>
      <c r="K15" s="83" t="s">
        <v>547</v>
      </c>
      <c r="L15" s="83" t="s">
        <v>546</v>
      </c>
      <c r="M15" s="53"/>
      <c r="N15" s="16"/>
    </row>
    <row r="16" spans="1:14">
      <c r="A16" s="66"/>
      <c r="B16" s="66"/>
      <c r="C16" s="47" t="s">
        <v>568</v>
      </c>
      <c r="D16" s="1" t="s">
        <v>569</v>
      </c>
      <c r="F16" s="1"/>
      <c r="H16" s="15" t="s">
        <v>554</v>
      </c>
      <c r="I16" s="15" t="s">
        <v>547</v>
      </c>
      <c r="K16" s="15" t="s">
        <v>547</v>
      </c>
      <c r="N16" s="45"/>
    </row>
    <row r="17" spans="1:14">
      <c r="A17" s="66"/>
      <c r="B17" s="66"/>
      <c r="C17" s="47" t="s">
        <v>570</v>
      </c>
      <c r="D17" s="1" t="s">
        <v>543</v>
      </c>
      <c r="F17" s="1">
        <v>1</v>
      </c>
      <c r="G17" s="61">
        <v>92.689899999999994</v>
      </c>
      <c r="H17" s="15" t="s">
        <v>554</v>
      </c>
      <c r="I17" s="15" t="s">
        <v>571</v>
      </c>
      <c r="J17" s="15" t="s">
        <v>546</v>
      </c>
      <c r="K17" s="15" t="s">
        <v>547</v>
      </c>
      <c r="L17" s="15" t="s">
        <v>546</v>
      </c>
      <c r="N17" s="45"/>
    </row>
    <row r="18" spans="1:14">
      <c r="A18" s="66"/>
      <c r="B18" s="66"/>
      <c r="C18" s="47" t="s">
        <v>572</v>
      </c>
      <c r="D18" s="1" t="s">
        <v>569</v>
      </c>
      <c r="F18" s="1"/>
      <c r="H18" s="15" t="s">
        <v>554</v>
      </c>
      <c r="I18" s="15" t="s">
        <v>571</v>
      </c>
      <c r="K18" s="15" t="s">
        <v>547</v>
      </c>
      <c r="N18" s="45"/>
    </row>
    <row r="19" spans="1:14">
      <c r="A19" s="66"/>
      <c r="B19" s="66"/>
      <c r="C19" s="47" t="s">
        <v>573</v>
      </c>
      <c r="D19" s="1" t="s">
        <v>543</v>
      </c>
      <c r="F19" s="1">
        <v>1</v>
      </c>
      <c r="G19" s="61">
        <v>98.132099999999994</v>
      </c>
      <c r="H19" s="15" t="s">
        <v>554</v>
      </c>
      <c r="I19" s="15" t="s">
        <v>550</v>
      </c>
      <c r="J19" s="15" t="s">
        <v>546</v>
      </c>
      <c r="K19" s="15" t="s">
        <v>547</v>
      </c>
      <c r="L19" s="15" t="s">
        <v>546</v>
      </c>
      <c r="N19" s="45"/>
    </row>
    <row r="20" spans="1:14">
      <c r="A20" s="66"/>
      <c r="B20" s="66"/>
      <c r="C20" s="47" t="s">
        <v>574</v>
      </c>
      <c r="D20" s="1" t="s">
        <v>569</v>
      </c>
      <c r="F20" s="1"/>
      <c r="H20" s="15" t="s">
        <v>554</v>
      </c>
      <c r="I20" s="15" t="s">
        <v>550</v>
      </c>
      <c r="K20" s="15" t="s">
        <v>547</v>
      </c>
      <c r="N20" s="45"/>
    </row>
    <row r="21" spans="1:14">
      <c r="A21" s="66"/>
      <c r="B21" s="66"/>
      <c r="C21" s="47" t="s">
        <v>575</v>
      </c>
      <c r="D21" s="1" t="s">
        <v>543</v>
      </c>
      <c r="F21" s="1">
        <v>1</v>
      </c>
      <c r="G21" s="61">
        <v>100.773</v>
      </c>
      <c r="H21" s="15" t="s">
        <v>554</v>
      </c>
      <c r="I21" s="15" t="s">
        <v>576</v>
      </c>
      <c r="J21" s="15" t="s">
        <v>546</v>
      </c>
      <c r="K21" s="15" t="s">
        <v>547</v>
      </c>
      <c r="L21" s="15" t="s">
        <v>546</v>
      </c>
      <c r="N21" s="45"/>
    </row>
    <row r="22" spans="1:14">
      <c r="A22" s="66"/>
      <c r="B22" s="66"/>
      <c r="C22" s="47" t="s">
        <v>577</v>
      </c>
      <c r="D22" s="1" t="s">
        <v>569</v>
      </c>
      <c r="F22" s="1"/>
      <c r="H22" s="15" t="s">
        <v>554</v>
      </c>
      <c r="I22" s="15" t="s">
        <v>576</v>
      </c>
      <c r="K22" s="15" t="s">
        <v>547</v>
      </c>
      <c r="N22" s="45"/>
    </row>
    <row r="23" spans="1:14">
      <c r="A23" s="66"/>
      <c r="B23" s="66"/>
      <c r="C23" s="47" t="s">
        <v>578</v>
      </c>
      <c r="D23" s="1" t="s">
        <v>543</v>
      </c>
      <c r="F23" s="1">
        <v>1</v>
      </c>
      <c r="G23" s="61">
        <v>75.372</v>
      </c>
      <c r="H23" s="15" t="s">
        <v>554</v>
      </c>
      <c r="I23" s="15" t="s">
        <v>545</v>
      </c>
      <c r="J23" s="15" t="s">
        <v>546</v>
      </c>
      <c r="K23" s="15" t="s">
        <v>547</v>
      </c>
      <c r="L23" s="15" t="s">
        <v>546</v>
      </c>
      <c r="N23" s="45"/>
    </row>
    <row r="24" spans="1:14">
      <c r="A24" s="66"/>
      <c r="B24" s="66"/>
      <c r="C24" s="47" t="s">
        <v>579</v>
      </c>
      <c r="D24" s="1" t="s">
        <v>569</v>
      </c>
      <c r="F24" s="1"/>
      <c r="H24" s="15" t="s">
        <v>554</v>
      </c>
      <c r="I24" s="15" t="s">
        <v>545</v>
      </c>
      <c r="K24" s="15" t="s">
        <v>547</v>
      </c>
      <c r="N24" s="45"/>
    </row>
    <row r="25" spans="1:14">
      <c r="A25" s="66"/>
      <c r="B25" s="66"/>
      <c r="C25" s="47" t="s">
        <v>580</v>
      </c>
      <c r="D25" s="1" t="s">
        <v>543</v>
      </c>
      <c r="F25" s="1">
        <v>1</v>
      </c>
      <c r="G25" s="61">
        <v>85.988699999999994</v>
      </c>
      <c r="H25" s="15" t="s">
        <v>554</v>
      </c>
      <c r="I25" s="15" t="s">
        <v>547</v>
      </c>
      <c r="J25" s="15" t="s">
        <v>546</v>
      </c>
      <c r="K25" s="15" t="s">
        <v>547</v>
      </c>
      <c r="L25" s="15" t="s">
        <v>546</v>
      </c>
      <c r="N25" s="45"/>
    </row>
    <row r="26" spans="1:14">
      <c r="A26" s="66"/>
      <c r="B26" s="66"/>
      <c r="C26" s="47" t="s">
        <v>581</v>
      </c>
      <c r="D26" s="1" t="s">
        <v>569</v>
      </c>
      <c r="F26" s="1"/>
      <c r="H26" s="15" t="s">
        <v>554</v>
      </c>
      <c r="I26" s="15" t="s">
        <v>547</v>
      </c>
      <c r="K26" s="15" t="s">
        <v>547</v>
      </c>
      <c r="N26" s="45"/>
    </row>
    <row r="27" spans="1:14">
      <c r="A27" s="66"/>
      <c r="B27" s="66"/>
      <c r="C27" s="47" t="s">
        <v>582</v>
      </c>
      <c r="D27" s="1" t="s">
        <v>543</v>
      </c>
      <c r="F27" s="1">
        <v>1</v>
      </c>
      <c r="G27" s="61">
        <v>4728.33</v>
      </c>
      <c r="H27" s="15" t="s">
        <v>583</v>
      </c>
      <c r="I27" s="15" t="s">
        <v>545</v>
      </c>
      <c r="J27" s="15" t="s">
        <v>546</v>
      </c>
      <c r="K27" s="15" t="s">
        <v>547</v>
      </c>
      <c r="L27" s="15" t="s">
        <v>546</v>
      </c>
      <c r="N27" s="45"/>
    </row>
    <row r="28" spans="1:14">
      <c r="A28" s="66"/>
      <c r="B28" s="66"/>
      <c r="C28" s="47" t="s">
        <v>584</v>
      </c>
      <c r="D28" s="1" t="s">
        <v>585</v>
      </c>
      <c r="F28" s="1"/>
      <c r="K28" s="15" t="s">
        <v>547</v>
      </c>
      <c r="N28" s="45"/>
    </row>
    <row r="29" spans="1:14">
      <c r="A29" s="66"/>
      <c r="B29" s="66"/>
      <c r="C29" s="47" t="s">
        <v>586</v>
      </c>
      <c r="D29" s="1"/>
      <c r="F29" s="1"/>
      <c r="N29" s="45"/>
    </row>
    <row r="30" spans="1:14">
      <c r="A30" s="66"/>
      <c r="B30" s="66"/>
      <c r="C30" s="47" t="s">
        <v>587</v>
      </c>
      <c r="D30" s="1" t="s">
        <v>569</v>
      </c>
      <c r="F30" s="1"/>
      <c r="H30" s="15" t="s">
        <v>586</v>
      </c>
      <c r="I30" s="15" t="s">
        <v>545</v>
      </c>
      <c r="K30" s="15" t="s">
        <v>547</v>
      </c>
      <c r="N30" s="45"/>
    </row>
    <row r="31" spans="1:14">
      <c r="A31" s="66"/>
      <c r="B31" s="66"/>
      <c r="C31" s="47" t="s">
        <v>588</v>
      </c>
      <c r="D31" s="1" t="s">
        <v>569</v>
      </c>
      <c r="F31" s="1"/>
      <c r="H31" s="15" t="s">
        <v>586</v>
      </c>
      <c r="I31" s="15" t="s">
        <v>545</v>
      </c>
      <c r="K31" s="15" t="s">
        <v>547</v>
      </c>
      <c r="N31" s="45"/>
    </row>
    <row r="32" spans="1:14">
      <c r="A32" s="66"/>
      <c r="B32" s="64"/>
      <c r="C32" s="48" t="s">
        <v>1285</v>
      </c>
      <c r="D32" s="84" t="s">
        <v>1284</v>
      </c>
      <c r="E32" s="54"/>
      <c r="F32" s="84"/>
      <c r="G32" s="85"/>
      <c r="H32" s="86"/>
      <c r="I32" s="86"/>
      <c r="J32" s="86"/>
      <c r="K32" s="86"/>
      <c r="L32" s="86"/>
      <c r="M32" s="54"/>
      <c r="N32" s="46"/>
    </row>
    <row r="33" spans="1:19">
      <c r="A33" s="66"/>
      <c r="B33" s="63" t="s">
        <v>364</v>
      </c>
      <c r="C33" s="13" t="s">
        <v>1286</v>
      </c>
      <c r="D33" s="53" t="s">
        <v>543</v>
      </c>
      <c r="E33" s="53"/>
      <c r="F33" s="81">
        <v>1</v>
      </c>
      <c r="G33" s="82">
        <v>75.7684</v>
      </c>
      <c r="H33" s="88" t="s">
        <v>686</v>
      </c>
      <c r="I33" s="53" t="s">
        <v>545</v>
      </c>
      <c r="J33" s="83" t="s">
        <v>546</v>
      </c>
      <c r="K33" s="83" t="s">
        <v>547</v>
      </c>
      <c r="L33" s="83" t="s">
        <v>546</v>
      </c>
      <c r="M33" s="53"/>
      <c r="N33" s="16"/>
    </row>
    <row r="34" spans="1:19">
      <c r="A34" s="66"/>
      <c r="B34" s="66"/>
      <c r="C34" s="47" t="s">
        <v>1287</v>
      </c>
      <c r="D34" t="s">
        <v>569</v>
      </c>
      <c r="F34"/>
      <c r="H34" s="3" t="s">
        <v>686</v>
      </c>
      <c r="I34" t="s">
        <v>545</v>
      </c>
      <c r="K34" s="15" t="s">
        <v>547</v>
      </c>
      <c r="N34" s="45"/>
      <c r="P34" t="s">
        <v>1288</v>
      </c>
      <c r="Q34" t="s">
        <v>1289</v>
      </c>
      <c r="R34" t="s">
        <v>1290</v>
      </c>
    </row>
    <row r="35" spans="1:19">
      <c r="A35" s="66"/>
      <c r="B35" s="66"/>
      <c r="C35" s="47" t="s">
        <v>589</v>
      </c>
      <c r="D35" t="s">
        <v>543</v>
      </c>
      <c r="F35" s="1">
        <v>1</v>
      </c>
      <c r="G35" s="61">
        <v>4208.09</v>
      </c>
      <c r="H35" s="3" t="s">
        <v>583</v>
      </c>
      <c r="I35" t="s">
        <v>552</v>
      </c>
      <c r="J35" s="15" t="s">
        <v>546</v>
      </c>
      <c r="K35" s="15" t="s">
        <v>547</v>
      </c>
      <c r="L35" s="15" t="s">
        <v>546</v>
      </c>
      <c r="N35" s="45"/>
      <c r="O35">
        <f>G35*3</f>
        <v>12624.27</v>
      </c>
      <c r="P35">
        <f>G35/5</f>
        <v>841.61800000000005</v>
      </c>
      <c r="Q35">
        <f>P35</f>
        <v>841.61800000000005</v>
      </c>
      <c r="R35">
        <f>Q35</f>
        <v>841.61800000000005</v>
      </c>
    </row>
    <row r="36" spans="1:19">
      <c r="A36" s="66"/>
      <c r="B36" s="66"/>
      <c r="C36" s="47" t="s">
        <v>590</v>
      </c>
      <c r="D36" t="s">
        <v>585</v>
      </c>
      <c r="F36"/>
      <c r="H36" s="3" t="s">
        <v>583</v>
      </c>
      <c r="I36" t="s">
        <v>552</v>
      </c>
      <c r="K36" s="15" t="s">
        <v>547</v>
      </c>
      <c r="N36" s="45"/>
      <c r="O36" t="s">
        <v>1291</v>
      </c>
      <c r="P36">
        <v>300</v>
      </c>
      <c r="Q36">
        <v>300</v>
      </c>
      <c r="R36">
        <v>300</v>
      </c>
    </row>
    <row r="37" spans="1:19">
      <c r="A37" s="66"/>
      <c r="B37" s="66"/>
      <c r="C37" s="47" t="s">
        <v>591</v>
      </c>
      <c r="D37"/>
      <c r="F37"/>
      <c r="H37" s="3"/>
      <c r="I37"/>
      <c r="N37" s="45"/>
      <c r="O37" t="s">
        <v>1292</v>
      </c>
      <c r="P37">
        <v>600</v>
      </c>
    </row>
    <row r="38" spans="1:19">
      <c r="A38" s="66"/>
      <c r="B38" s="66"/>
      <c r="C38" s="47" t="s">
        <v>592</v>
      </c>
      <c r="D38" t="s">
        <v>569</v>
      </c>
      <c r="F38"/>
      <c r="H38" s="3" t="s">
        <v>591</v>
      </c>
      <c r="I38" t="s">
        <v>552</v>
      </c>
      <c r="K38" s="15" t="s">
        <v>547</v>
      </c>
      <c r="N38" s="45"/>
      <c r="O38" t="s">
        <v>1293</v>
      </c>
      <c r="Q38">
        <v>600</v>
      </c>
      <c r="R38">
        <v>600</v>
      </c>
    </row>
    <row r="39" spans="1:19">
      <c r="A39" s="66"/>
      <c r="B39" s="64"/>
      <c r="C39" s="47" t="s">
        <v>1294</v>
      </c>
      <c r="D39" t="s">
        <v>1284</v>
      </c>
      <c r="F39"/>
      <c r="H39" s="3"/>
      <c r="I39"/>
      <c r="N39" s="45"/>
      <c r="O39" t="s">
        <v>1295</v>
      </c>
      <c r="Q39">
        <v>600</v>
      </c>
      <c r="R39">
        <v>600</v>
      </c>
    </row>
    <row r="40" spans="1:19">
      <c r="A40" s="66"/>
      <c r="B40" s="52" t="s">
        <v>365</v>
      </c>
      <c r="C40" s="89" t="s">
        <v>593</v>
      </c>
      <c r="D40" s="53" t="s">
        <v>561</v>
      </c>
      <c r="E40" s="53"/>
      <c r="F40" s="53">
        <v>1</v>
      </c>
      <c r="G40" s="82">
        <v>200.27799999999999</v>
      </c>
      <c r="H40" s="88" t="s">
        <v>547</v>
      </c>
      <c r="I40" s="53" t="s">
        <v>552</v>
      </c>
      <c r="J40" s="83"/>
      <c r="K40" s="83"/>
      <c r="L40" s="83"/>
      <c r="M40" s="53"/>
      <c r="N40" s="16"/>
      <c r="O40" t="s">
        <v>1296</v>
      </c>
      <c r="Q40">
        <v>600</v>
      </c>
      <c r="R40">
        <v>600</v>
      </c>
    </row>
    <row r="41" spans="1:19">
      <c r="A41" s="66"/>
      <c r="B41" s="52"/>
      <c r="C41" s="90" t="s">
        <v>594</v>
      </c>
      <c r="D41"/>
      <c r="F41"/>
      <c r="H41" s="3"/>
      <c r="I41"/>
      <c r="N41" s="45"/>
    </row>
    <row r="42" spans="1:19">
      <c r="A42" s="66"/>
      <c r="B42" s="52"/>
      <c r="C42" s="90" t="s">
        <v>595</v>
      </c>
      <c r="D42"/>
      <c r="F42"/>
      <c r="H42" s="3"/>
      <c r="I42"/>
      <c r="N42" s="45"/>
      <c r="S42">
        <f>SUM(P35:R40)</f>
        <v>7624.8540000000003</v>
      </c>
    </row>
    <row r="43" spans="1:19">
      <c r="A43" s="66"/>
      <c r="B43" s="52"/>
      <c r="C43" s="90" t="s">
        <v>596</v>
      </c>
      <c r="D43" t="s">
        <v>561</v>
      </c>
      <c r="F43" s="1">
        <v>1</v>
      </c>
      <c r="G43" s="61">
        <v>53.270200000000003</v>
      </c>
      <c r="H43" s="3" t="s">
        <v>597</v>
      </c>
      <c r="I43" t="s">
        <v>552</v>
      </c>
      <c r="N43" s="45"/>
    </row>
    <row r="44" spans="1:19">
      <c r="A44" s="66"/>
      <c r="B44" s="52"/>
      <c r="C44" s="90" t="s">
        <v>598</v>
      </c>
      <c r="D44" t="s">
        <v>561</v>
      </c>
      <c r="F44" s="1">
        <v>1</v>
      </c>
      <c r="G44" s="61">
        <v>50.950600000000001</v>
      </c>
      <c r="H44" s="3" t="s">
        <v>599</v>
      </c>
      <c r="I44" t="s">
        <v>552</v>
      </c>
      <c r="N44" s="45"/>
    </row>
    <row r="45" spans="1:19">
      <c r="A45" s="66"/>
      <c r="B45" s="52"/>
      <c r="C45" s="90" t="s">
        <v>600</v>
      </c>
      <c r="D45" t="s">
        <v>561</v>
      </c>
      <c r="F45" s="1">
        <v>1</v>
      </c>
      <c r="G45" s="61">
        <v>95.314700000000002</v>
      </c>
      <c r="H45" s="58" t="s">
        <v>601</v>
      </c>
      <c r="I45" t="s">
        <v>552</v>
      </c>
      <c r="N45" s="45"/>
    </row>
    <row r="46" spans="1:19">
      <c r="A46" s="66"/>
      <c r="B46" s="52"/>
      <c r="C46" s="90" t="s">
        <v>602</v>
      </c>
      <c r="D46" t="s">
        <v>561</v>
      </c>
      <c r="F46" s="1">
        <v>1</v>
      </c>
      <c r="G46" s="61">
        <v>92.903999999999996</v>
      </c>
      <c r="H46" s="3" t="s">
        <v>552</v>
      </c>
      <c r="I46" t="s">
        <v>547</v>
      </c>
      <c r="N46" s="45"/>
    </row>
    <row r="47" spans="1:19">
      <c r="A47" s="66"/>
      <c r="B47" s="52"/>
      <c r="C47" s="90" t="s">
        <v>603</v>
      </c>
      <c r="D47" t="s">
        <v>543</v>
      </c>
      <c r="F47" s="1">
        <v>4</v>
      </c>
      <c r="G47" s="61">
        <v>165.78899999999999</v>
      </c>
      <c r="H47" s="3" t="s">
        <v>604</v>
      </c>
      <c r="I47" t="s">
        <v>545</v>
      </c>
      <c r="J47" s="15" t="s">
        <v>546</v>
      </c>
      <c r="K47" s="15" t="s">
        <v>547</v>
      </c>
      <c r="L47" s="15" t="s">
        <v>546</v>
      </c>
      <c r="N47" s="45"/>
    </row>
    <row r="48" spans="1:19">
      <c r="A48" s="66"/>
      <c r="B48" s="52"/>
      <c r="C48" s="90" t="s">
        <v>605</v>
      </c>
      <c r="D48" t="s">
        <v>569</v>
      </c>
      <c r="F48"/>
      <c r="H48" s="3" t="s">
        <v>552</v>
      </c>
      <c r="I48" t="s">
        <v>545</v>
      </c>
      <c r="N48" s="45"/>
    </row>
    <row r="49" spans="1:14">
      <c r="A49" s="66"/>
      <c r="B49" s="52"/>
      <c r="C49" s="90" t="s">
        <v>606</v>
      </c>
      <c r="D49" t="s">
        <v>569</v>
      </c>
      <c r="F49"/>
      <c r="H49" s="3" t="s">
        <v>607</v>
      </c>
      <c r="I49" t="s">
        <v>545</v>
      </c>
      <c r="N49" s="45"/>
    </row>
    <row r="50" spans="1:14">
      <c r="A50" s="66"/>
      <c r="B50" s="52"/>
      <c r="C50" s="90" t="s">
        <v>608</v>
      </c>
      <c r="D50" t="s">
        <v>569</v>
      </c>
      <c r="F50"/>
      <c r="H50" s="3" t="s">
        <v>609</v>
      </c>
      <c r="I50" t="s">
        <v>545</v>
      </c>
      <c r="N50" s="45"/>
    </row>
    <row r="51" spans="1:14">
      <c r="A51" s="66"/>
      <c r="B51" s="52"/>
      <c r="C51" s="90" t="s">
        <v>610</v>
      </c>
      <c r="D51" t="s">
        <v>569</v>
      </c>
      <c r="F51"/>
      <c r="H51" s="3" t="s">
        <v>611</v>
      </c>
      <c r="I51" t="s">
        <v>545</v>
      </c>
      <c r="N51" s="45"/>
    </row>
    <row r="52" spans="1:14">
      <c r="A52" s="66"/>
      <c r="B52" s="52"/>
      <c r="C52" s="90" t="s">
        <v>612</v>
      </c>
      <c r="D52" t="s">
        <v>543</v>
      </c>
      <c r="F52" s="1">
        <v>4</v>
      </c>
      <c r="G52" s="61">
        <v>169.65799999999999</v>
      </c>
      <c r="H52" s="3" t="s">
        <v>604</v>
      </c>
      <c r="I52" t="s">
        <v>552</v>
      </c>
      <c r="J52" s="15" t="s">
        <v>546</v>
      </c>
      <c r="K52" s="15" t="s">
        <v>547</v>
      </c>
      <c r="L52" s="15" t="s">
        <v>546</v>
      </c>
      <c r="N52" s="45"/>
    </row>
    <row r="53" spans="1:14">
      <c r="A53" s="66"/>
      <c r="B53" s="52"/>
      <c r="C53" s="90" t="s">
        <v>613</v>
      </c>
      <c r="D53" t="s">
        <v>569</v>
      </c>
      <c r="F53"/>
      <c r="H53" s="3" t="s">
        <v>552</v>
      </c>
      <c r="I53" t="s">
        <v>552</v>
      </c>
      <c r="N53" s="45"/>
    </row>
    <row r="54" spans="1:14">
      <c r="A54" s="66"/>
      <c r="B54" s="52"/>
      <c r="C54" s="90" t="s">
        <v>614</v>
      </c>
      <c r="D54" t="s">
        <v>569</v>
      </c>
      <c r="F54"/>
      <c r="H54" s="3" t="s">
        <v>607</v>
      </c>
      <c r="I54" t="s">
        <v>552</v>
      </c>
      <c r="N54" s="45"/>
    </row>
    <row r="55" spans="1:14">
      <c r="A55" s="66"/>
      <c r="B55" s="52"/>
      <c r="C55" s="90" t="s">
        <v>615</v>
      </c>
      <c r="D55" t="s">
        <v>569</v>
      </c>
      <c r="F55"/>
      <c r="H55" s="3" t="s">
        <v>609</v>
      </c>
      <c r="I55" t="s">
        <v>552</v>
      </c>
      <c r="N55" s="45"/>
    </row>
    <row r="56" spans="1:14">
      <c r="A56" s="66"/>
      <c r="B56" s="52"/>
      <c r="C56" s="90" t="s">
        <v>616</v>
      </c>
      <c r="D56" t="s">
        <v>569</v>
      </c>
      <c r="F56"/>
      <c r="H56" s="3" t="s">
        <v>611</v>
      </c>
      <c r="I56" t="s">
        <v>552</v>
      </c>
      <c r="N56" s="45"/>
    </row>
    <row r="57" spans="1:14">
      <c r="A57" s="66"/>
      <c r="B57" s="52"/>
      <c r="C57" s="90" t="s">
        <v>617</v>
      </c>
      <c r="D57" t="s">
        <v>543</v>
      </c>
      <c r="F57" s="1">
        <v>4</v>
      </c>
      <c r="G57" s="61">
        <v>170.47900000000001</v>
      </c>
      <c r="H57" s="3" t="s">
        <v>618</v>
      </c>
      <c r="I57" t="s">
        <v>552</v>
      </c>
      <c r="J57" s="15" t="s">
        <v>546</v>
      </c>
      <c r="K57" s="15" t="s">
        <v>547</v>
      </c>
      <c r="L57" s="15" t="s">
        <v>546</v>
      </c>
      <c r="N57" s="45"/>
    </row>
    <row r="58" spans="1:14">
      <c r="A58" s="66"/>
      <c r="B58" s="52"/>
      <c r="C58" s="90" t="s">
        <v>619</v>
      </c>
      <c r="D58" t="s">
        <v>569</v>
      </c>
      <c r="F58"/>
      <c r="H58" s="3" t="s">
        <v>620</v>
      </c>
      <c r="I58" t="s">
        <v>552</v>
      </c>
      <c r="N58" s="45"/>
    </row>
    <row r="59" spans="1:14">
      <c r="A59" s="66"/>
      <c r="B59" s="52"/>
      <c r="C59" s="90" t="s">
        <v>621</v>
      </c>
      <c r="D59" t="s">
        <v>569</v>
      </c>
      <c r="F59"/>
      <c r="H59" s="3" t="s">
        <v>622</v>
      </c>
      <c r="I59" t="s">
        <v>552</v>
      </c>
      <c r="N59" s="45"/>
    </row>
    <row r="60" spans="1:14">
      <c r="A60" s="66"/>
      <c r="B60" s="52"/>
      <c r="C60" s="90" t="s">
        <v>623</v>
      </c>
      <c r="D60" t="s">
        <v>569</v>
      </c>
      <c r="F60"/>
      <c r="H60" s="3" t="s">
        <v>624</v>
      </c>
      <c r="I60" t="s">
        <v>552</v>
      </c>
      <c r="N60" s="45"/>
    </row>
    <row r="61" spans="1:14">
      <c r="A61" s="66"/>
      <c r="B61" s="52"/>
      <c r="C61" s="90" t="s">
        <v>625</v>
      </c>
      <c r="D61" t="s">
        <v>569</v>
      </c>
      <c r="F61"/>
      <c r="H61" s="3" t="s">
        <v>550</v>
      </c>
      <c r="I61" t="s">
        <v>552</v>
      </c>
      <c r="N61" s="45"/>
    </row>
    <row r="62" spans="1:14">
      <c r="A62" s="66"/>
      <c r="B62" s="52"/>
      <c r="C62" s="90" t="s">
        <v>626</v>
      </c>
      <c r="D62" t="s">
        <v>543</v>
      </c>
      <c r="F62" s="1">
        <v>4</v>
      </c>
      <c r="G62" s="61">
        <v>171.91</v>
      </c>
      <c r="H62" s="3" t="s">
        <v>604</v>
      </c>
      <c r="I62" t="s">
        <v>620</v>
      </c>
      <c r="J62" s="15" t="s">
        <v>546</v>
      </c>
      <c r="K62" s="15" t="s">
        <v>547</v>
      </c>
      <c r="L62" s="15" t="s">
        <v>546</v>
      </c>
      <c r="N62" s="45"/>
    </row>
    <row r="63" spans="1:14">
      <c r="A63" s="66"/>
      <c r="B63" s="52"/>
      <c r="C63" s="90" t="s">
        <v>627</v>
      </c>
      <c r="D63" t="s">
        <v>569</v>
      </c>
      <c r="F63"/>
      <c r="H63" s="3" t="s">
        <v>552</v>
      </c>
      <c r="I63" t="s">
        <v>620</v>
      </c>
      <c r="N63" s="45"/>
    </row>
    <row r="64" spans="1:14">
      <c r="A64" s="66"/>
      <c r="B64" s="52"/>
      <c r="C64" s="90" t="s">
        <v>628</v>
      </c>
      <c r="D64" t="s">
        <v>569</v>
      </c>
      <c r="F64"/>
      <c r="H64" s="3" t="s">
        <v>607</v>
      </c>
      <c r="I64" t="s">
        <v>620</v>
      </c>
      <c r="N64" s="45"/>
    </row>
    <row r="65" spans="1:14">
      <c r="A65" s="66"/>
      <c r="B65" s="52"/>
      <c r="C65" s="90" t="s">
        <v>629</v>
      </c>
      <c r="D65" t="s">
        <v>569</v>
      </c>
      <c r="F65"/>
      <c r="H65" s="3" t="s">
        <v>609</v>
      </c>
      <c r="I65" t="s">
        <v>620</v>
      </c>
      <c r="N65" s="45"/>
    </row>
    <row r="66" spans="1:14">
      <c r="A66" s="66"/>
      <c r="B66" s="52"/>
      <c r="C66" s="90" t="s">
        <v>630</v>
      </c>
      <c r="D66" t="s">
        <v>569</v>
      </c>
      <c r="F66"/>
      <c r="H66" s="3" t="s">
        <v>611</v>
      </c>
      <c r="I66" t="s">
        <v>620</v>
      </c>
      <c r="N66" s="45"/>
    </row>
    <row r="67" spans="1:14">
      <c r="A67" s="66"/>
      <c r="B67" s="52"/>
      <c r="C67" s="90" t="s">
        <v>631</v>
      </c>
      <c r="D67" t="s">
        <v>632</v>
      </c>
      <c r="F67"/>
      <c r="H67" s="3"/>
      <c r="I67"/>
      <c r="N67" s="45"/>
    </row>
    <row r="68" spans="1:14">
      <c r="A68" s="66"/>
      <c r="B68" s="52"/>
      <c r="C68" s="90" t="s">
        <v>633</v>
      </c>
      <c r="D68" t="s">
        <v>632</v>
      </c>
      <c r="F68"/>
      <c r="H68" s="3"/>
      <c r="I68"/>
      <c r="N68" s="45"/>
    </row>
    <row r="69" spans="1:14">
      <c r="A69" s="66"/>
      <c r="B69" s="52"/>
      <c r="C69" s="90" t="s">
        <v>634</v>
      </c>
      <c r="D69" t="s">
        <v>632</v>
      </c>
      <c r="F69"/>
      <c r="H69" s="3"/>
      <c r="I69"/>
      <c r="N69" s="45"/>
    </row>
    <row r="70" spans="1:14">
      <c r="A70" s="66"/>
      <c r="B70" s="52"/>
      <c r="C70" s="90" t="s">
        <v>635</v>
      </c>
      <c r="D70" t="s">
        <v>632</v>
      </c>
      <c r="F70"/>
      <c r="H70" s="3"/>
      <c r="I70"/>
      <c r="N70" s="45"/>
    </row>
    <row r="71" spans="1:14">
      <c r="A71" s="66"/>
      <c r="B71" s="52"/>
      <c r="C71" s="90" t="s">
        <v>636</v>
      </c>
      <c r="D71" t="s">
        <v>543</v>
      </c>
      <c r="F71" s="1">
        <v>1</v>
      </c>
      <c r="G71" s="61">
        <v>68.386399999999995</v>
      </c>
      <c r="H71" s="3" t="s">
        <v>557</v>
      </c>
      <c r="I71" t="s">
        <v>545</v>
      </c>
      <c r="J71" s="15" t="s">
        <v>546</v>
      </c>
      <c r="K71" s="15" t="s">
        <v>547</v>
      </c>
      <c r="L71" s="15" t="s">
        <v>546</v>
      </c>
      <c r="N71" s="45"/>
    </row>
    <row r="72" spans="1:14">
      <c r="A72" s="66"/>
      <c r="B72" s="52"/>
      <c r="C72" s="90" t="s">
        <v>637</v>
      </c>
      <c r="D72" t="s">
        <v>569</v>
      </c>
      <c r="F72"/>
      <c r="H72" s="3" t="s">
        <v>557</v>
      </c>
      <c r="I72" t="s">
        <v>545</v>
      </c>
      <c r="N72" s="45"/>
    </row>
    <row r="73" spans="1:14">
      <c r="A73" s="66"/>
      <c r="B73" s="52"/>
      <c r="C73" s="90" t="s">
        <v>638</v>
      </c>
      <c r="D73" t="s">
        <v>639</v>
      </c>
      <c r="F73"/>
      <c r="H73" s="3" t="s">
        <v>640</v>
      </c>
      <c r="I73" t="s">
        <v>552</v>
      </c>
      <c r="N73" s="45"/>
    </row>
    <row r="74" spans="1:14">
      <c r="A74" s="66"/>
      <c r="B74" s="52"/>
      <c r="C74" s="90" t="s">
        <v>641</v>
      </c>
      <c r="D74" t="s">
        <v>639</v>
      </c>
      <c r="F74"/>
      <c r="H74" s="3" t="s">
        <v>1297</v>
      </c>
      <c r="I74" t="s">
        <v>545</v>
      </c>
      <c r="N74" s="45"/>
    </row>
    <row r="75" spans="1:14">
      <c r="A75" s="66"/>
      <c r="B75" s="52"/>
      <c r="C75" s="90" t="s">
        <v>642</v>
      </c>
      <c r="D75" t="s">
        <v>639</v>
      </c>
      <c r="F75"/>
      <c r="H75" s="3" t="s">
        <v>1297</v>
      </c>
      <c r="I75" t="s">
        <v>545</v>
      </c>
      <c r="N75" s="45"/>
    </row>
    <row r="76" spans="1:14">
      <c r="A76" s="66"/>
      <c r="B76" s="52"/>
      <c r="C76" s="90" t="s">
        <v>643</v>
      </c>
      <c r="D76" t="s">
        <v>569</v>
      </c>
      <c r="F76"/>
      <c r="H76" s="3" t="s">
        <v>641</v>
      </c>
      <c r="I76" t="s">
        <v>545</v>
      </c>
      <c r="N76" s="45"/>
    </row>
    <row r="77" spans="1:14">
      <c r="A77" s="66"/>
      <c r="B77" s="52"/>
      <c r="C77" s="90" t="s">
        <v>1298</v>
      </c>
      <c r="D77" t="s">
        <v>561</v>
      </c>
      <c r="F77" s="1">
        <v>1</v>
      </c>
      <c r="G77" s="61">
        <v>96.375100000000003</v>
      </c>
      <c r="H77" s="3" t="s">
        <v>641</v>
      </c>
      <c r="I77" t="s">
        <v>545</v>
      </c>
      <c r="N77" s="45"/>
    </row>
    <row r="78" spans="1:14" s="15" customFormat="1">
      <c r="A78" s="66"/>
      <c r="B78" s="52"/>
      <c r="C78" s="90" t="s">
        <v>644</v>
      </c>
      <c r="D78" t="s">
        <v>569</v>
      </c>
      <c r="E78"/>
      <c r="F78"/>
      <c r="G78" s="61"/>
      <c r="H78" s="3" t="s">
        <v>645</v>
      </c>
      <c r="I78" t="s">
        <v>545</v>
      </c>
      <c r="M78"/>
      <c r="N78" s="45"/>
    </row>
    <row r="79" spans="1:14" s="15" customFormat="1">
      <c r="A79" s="66"/>
      <c r="B79" s="52"/>
      <c r="C79" s="90" t="s">
        <v>646</v>
      </c>
      <c r="D79" t="s">
        <v>569</v>
      </c>
      <c r="E79"/>
      <c r="F79"/>
      <c r="G79" s="61"/>
      <c r="H79" s="3" t="s">
        <v>647</v>
      </c>
      <c r="I79" t="s">
        <v>545</v>
      </c>
      <c r="M79"/>
      <c r="N79" s="45"/>
    </row>
    <row r="80" spans="1:14" s="15" customFormat="1">
      <c r="A80" s="66"/>
      <c r="B80" s="52"/>
      <c r="C80" s="90" t="s">
        <v>648</v>
      </c>
      <c r="D80" t="s">
        <v>569</v>
      </c>
      <c r="E80"/>
      <c r="F80"/>
      <c r="G80" s="61"/>
      <c r="H80" s="3" t="s">
        <v>649</v>
      </c>
      <c r="I80" t="s">
        <v>545</v>
      </c>
      <c r="M80"/>
      <c r="N80" s="45"/>
    </row>
    <row r="81" spans="1:17" s="15" customFormat="1">
      <c r="A81" s="66"/>
      <c r="B81" s="52"/>
      <c r="C81" s="90" t="s">
        <v>650</v>
      </c>
      <c r="D81" t="s">
        <v>569</v>
      </c>
      <c r="E81"/>
      <c r="F81"/>
      <c r="G81" s="61"/>
      <c r="H81" s="3" t="s">
        <v>651</v>
      </c>
      <c r="I81" t="s">
        <v>545</v>
      </c>
      <c r="M81"/>
      <c r="N81" s="45"/>
    </row>
    <row r="82" spans="1:17" s="15" customFormat="1">
      <c r="A82" s="66"/>
      <c r="B82" s="52"/>
      <c r="C82" s="90" t="s">
        <v>653</v>
      </c>
      <c r="D82" t="s">
        <v>639</v>
      </c>
      <c r="E82"/>
      <c r="F82"/>
      <c r="G82" s="61"/>
      <c r="H82" s="3" t="s">
        <v>1299</v>
      </c>
      <c r="I82" t="s">
        <v>552</v>
      </c>
      <c r="M82"/>
      <c r="N82" s="45"/>
    </row>
    <row r="83" spans="1:17" s="15" customFormat="1">
      <c r="A83" s="66"/>
      <c r="B83" s="52"/>
      <c r="C83" s="90" t="s">
        <v>654</v>
      </c>
      <c r="D83" t="s">
        <v>639</v>
      </c>
      <c r="E83"/>
      <c r="F83"/>
      <c r="G83" s="61"/>
      <c r="H83" s="3" t="s">
        <v>1299</v>
      </c>
      <c r="I83" t="s">
        <v>552</v>
      </c>
      <c r="M83"/>
      <c r="N83" s="45"/>
    </row>
    <row r="84" spans="1:17" s="15" customFormat="1">
      <c r="A84" s="66"/>
      <c r="B84" s="52"/>
      <c r="C84" s="90" t="s">
        <v>655</v>
      </c>
      <c r="D84" t="s">
        <v>569</v>
      </c>
      <c r="E84"/>
      <c r="F84"/>
      <c r="G84" s="61"/>
      <c r="H84" s="3" t="s">
        <v>653</v>
      </c>
      <c r="I84" t="s">
        <v>552</v>
      </c>
      <c r="M84"/>
      <c r="N84" s="45"/>
    </row>
    <row r="85" spans="1:17" s="15" customFormat="1">
      <c r="A85" s="66"/>
      <c r="B85" s="52"/>
      <c r="C85" s="90" t="s">
        <v>1300</v>
      </c>
      <c r="D85" t="s">
        <v>569</v>
      </c>
      <c r="E85"/>
      <c r="F85"/>
      <c r="G85" s="61"/>
      <c r="H85" s="3" t="s">
        <v>653</v>
      </c>
      <c r="I85" t="s">
        <v>552</v>
      </c>
      <c r="M85"/>
      <c r="N85" s="45"/>
    </row>
    <row r="86" spans="1:17" s="15" customFormat="1">
      <c r="A86" s="66"/>
      <c r="B86" s="52"/>
      <c r="C86" s="90" t="s">
        <v>656</v>
      </c>
      <c r="D86" t="s">
        <v>569</v>
      </c>
      <c r="E86"/>
      <c r="F86"/>
      <c r="G86" s="61"/>
      <c r="H86" s="3" t="s">
        <v>657</v>
      </c>
      <c r="I86" t="s">
        <v>552</v>
      </c>
      <c r="M86"/>
      <c r="N86" s="45"/>
    </row>
    <row r="87" spans="1:17" s="15" customFormat="1">
      <c r="A87" s="66"/>
      <c r="B87" s="52"/>
      <c r="C87" s="90" t="s">
        <v>658</v>
      </c>
      <c r="D87" t="s">
        <v>569</v>
      </c>
      <c r="E87"/>
      <c r="F87"/>
      <c r="G87" s="61"/>
      <c r="H87" s="3" t="s">
        <v>659</v>
      </c>
      <c r="I87" t="s">
        <v>552</v>
      </c>
      <c r="M87"/>
      <c r="N87" s="45"/>
    </row>
    <row r="88" spans="1:17" s="15" customFormat="1">
      <c r="A88" s="66"/>
      <c r="B88" s="52"/>
      <c r="C88" s="90" t="s">
        <v>660</v>
      </c>
      <c r="D88" t="s">
        <v>569</v>
      </c>
      <c r="E88"/>
      <c r="F88"/>
      <c r="G88" s="61"/>
      <c r="H88" s="3" t="s">
        <v>661</v>
      </c>
      <c r="I88" t="s">
        <v>552</v>
      </c>
      <c r="M88"/>
      <c r="N88" s="45"/>
    </row>
    <row r="89" spans="1:17" s="15" customFormat="1">
      <c r="A89" s="66"/>
      <c r="B89" s="52"/>
      <c r="C89" s="90" t="s">
        <v>662</v>
      </c>
      <c r="D89" t="s">
        <v>569</v>
      </c>
      <c r="E89"/>
      <c r="F89"/>
      <c r="G89" s="61"/>
      <c r="H89" s="3" t="s">
        <v>663</v>
      </c>
      <c r="I89" t="s">
        <v>552</v>
      </c>
      <c r="M89"/>
      <c r="N89" s="45"/>
    </row>
    <row r="90" spans="1:17" s="15" customFormat="1">
      <c r="A90" s="66"/>
      <c r="B90" s="52"/>
      <c r="C90" s="90" t="s">
        <v>664</v>
      </c>
      <c r="D90" t="s">
        <v>632</v>
      </c>
      <c r="E90"/>
      <c r="F90"/>
      <c r="G90" s="61"/>
      <c r="H90" s="3"/>
      <c r="I90"/>
      <c r="M90"/>
      <c r="N90" s="45"/>
    </row>
    <row r="91" spans="1:17" s="15" customFormat="1">
      <c r="A91" s="66"/>
      <c r="B91" s="52"/>
      <c r="C91" s="90" t="s">
        <v>665</v>
      </c>
      <c r="D91" t="s">
        <v>632</v>
      </c>
      <c r="E91"/>
      <c r="F91"/>
      <c r="G91" s="61"/>
      <c r="H91" s="3"/>
      <c r="I91"/>
      <c r="M91"/>
      <c r="N91" s="45"/>
    </row>
    <row r="92" spans="1:17" s="15" customFormat="1">
      <c r="A92" s="66"/>
      <c r="B92" s="52"/>
      <c r="C92" s="90" t="s">
        <v>666</v>
      </c>
      <c r="D92" t="s">
        <v>632</v>
      </c>
      <c r="E92"/>
      <c r="F92"/>
      <c r="G92" s="61"/>
      <c r="H92" s="3"/>
      <c r="I92"/>
      <c r="M92"/>
      <c r="N92" s="45"/>
    </row>
    <row r="93" spans="1:17">
      <c r="A93" s="66"/>
      <c r="B93" s="52"/>
      <c r="C93" s="90" t="s">
        <v>667</v>
      </c>
      <c r="D93" t="s">
        <v>632</v>
      </c>
      <c r="F93"/>
      <c r="H93" s="3"/>
      <c r="I93"/>
      <c r="N93" s="45"/>
    </row>
    <row r="94" spans="1:17">
      <c r="A94" s="66"/>
      <c r="B94" s="52"/>
      <c r="C94" s="90" t="s">
        <v>668</v>
      </c>
      <c r="D94" t="s">
        <v>561</v>
      </c>
      <c r="F94" s="1">
        <v>1</v>
      </c>
      <c r="G94" s="61">
        <v>95.685400000000001</v>
      </c>
      <c r="H94" s="3" t="s">
        <v>669</v>
      </c>
      <c r="I94" t="s">
        <v>552</v>
      </c>
      <c r="N94" s="45"/>
    </row>
    <row r="95" spans="1:17">
      <c r="A95" s="66"/>
      <c r="B95" s="52"/>
      <c r="C95" s="100" t="s">
        <v>671</v>
      </c>
      <c r="D95" s="20" t="s">
        <v>543</v>
      </c>
      <c r="E95" s="20"/>
      <c r="F95" s="70">
        <v>6</v>
      </c>
      <c r="G95" s="69">
        <v>252.827</v>
      </c>
      <c r="H95" s="59" t="s">
        <v>672</v>
      </c>
      <c r="I95" s="20" t="s">
        <v>545</v>
      </c>
      <c r="J95" s="114" t="s">
        <v>546</v>
      </c>
      <c r="K95" s="114" t="s">
        <v>547</v>
      </c>
      <c r="L95" s="114" t="s">
        <v>546</v>
      </c>
      <c r="N95" s="45"/>
      <c r="Q95" s="61"/>
    </row>
    <row r="96" spans="1:17">
      <c r="A96" s="66"/>
      <c r="B96" s="52"/>
      <c r="C96" s="90" t="s">
        <v>673</v>
      </c>
      <c r="D96" t="s">
        <v>569</v>
      </c>
      <c r="F96"/>
      <c r="H96" s="3" t="s">
        <v>674</v>
      </c>
      <c r="I96" t="s">
        <v>545</v>
      </c>
      <c r="N96" s="45"/>
    </row>
    <row r="97" spans="1:14">
      <c r="A97" s="66"/>
      <c r="B97" s="52"/>
      <c r="C97" s="90" t="s">
        <v>675</v>
      </c>
      <c r="D97" t="s">
        <v>569</v>
      </c>
      <c r="F97"/>
      <c r="H97" s="3" t="s">
        <v>676</v>
      </c>
      <c r="I97" t="s">
        <v>545</v>
      </c>
      <c r="N97" s="45"/>
    </row>
    <row r="98" spans="1:14">
      <c r="A98" s="66"/>
      <c r="B98" s="52"/>
      <c r="C98" s="90" t="s">
        <v>677</v>
      </c>
      <c r="D98" t="s">
        <v>569</v>
      </c>
      <c r="F98"/>
      <c r="H98" s="3" t="s">
        <v>678</v>
      </c>
      <c r="I98" t="s">
        <v>545</v>
      </c>
      <c r="N98" s="45"/>
    </row>
    <row r="99" spans="1:14">
      <c r="A99" s="66"/>
      <c r="B99" s="52"/>
      <c r="C99" s="100" t="s">
        <v>679</v>
      </c>
      <c r="D99" s="20" t="s">
        <v>543</v>
      </c>
      <c r="E99" s="20"/>
      <c r="F99" s="70">
        <v>6</v>
      </c>
      <c r="G99" s="69">
        <v>231.37100000000001</v>
      </c>
      <c r="H99" s="59" t="s">
        <v>680</v>
      </c>
      <c r="I99" s="20" t="s">
        <v>552</v>
      </c>
      <c r="J99" s="114" t="s">
        <v>546</v>
      </c>
      <c r="K99" s="114" t="s">
        <v>547</v>
      </c>
      <c r="L99" s="114" t="s">
        <v>546</v>
      </c>
      <c r="N99" s="45"/>
    </row>
    <row r="100" spans="1:14">
      <c r="A100" s="66"/>
      <c r="B100" s="52"/>
      <c r="C100" s="90" t="s">
        <v>681</v>
      </c>
      <c r="D100" t="s">
        <v>569</v>
      </c>
      <c r="F100"/>
      <c r="H100" s="3" t="s">
        <v>682</v>
      </c>
      <c r="I100" t="s">
        <v>552</v>
      </c>
      <c r="N100" s="45"/>
    </row>
    <row r="101" spans="1:14">
      <c r="A101" s="66"/>
      <c r="B101" s="52"/>
      <c r="C101" s="90" t="s">
        <v>683</v>
      </c>
      <c r="D101" t="s">
        <v>569</v>
      </c>
      <c r="F101"/>
      <c r="H101" s="3" t="s">
        <v>684</v>
      </c>
      <c r="I101" t="s">
        <v>552</v>
      </c>
      <c r="N101" s="45"/>
    </row>
    <row r="102" spans="1:14">
      <c r="A102" s="66"/>
      <c r="B102" s="52"/>
      <c r="C102" s="90" t="s">
        <v>685</v>
      </c>
      <c r="D102" t="s">
        <v>569</v>
      </c>
      <c r="F102"/>
      <c r="H102" s="3" t="s">
        <v>686</v>
      </c>
      <c r="I102" t="s">
        <v>552</v>
      </c>
      <c r="N102" s="45"/>
    </row>
    <row r="103" spans="1:14">
      <c r="A103" s="66"/>
      <c r="B103" s="52"/>
      <c r="C103" s="90" t="s">
        <v>687</v>
      </c>
      <c r="D103" t="s">
        <v>543</v>
      </c>
      <c r="F103" s="1">
        <v>2</v>
      </c>
      <c r="G103" s="61">
        <v>106.18899999999999</v>
      </c>
      <c r="H103" s="3" t="s">
        <v>688</v>
      </c>
      <c r="I103" t="s">
        <v>545</v>
      </c>
      <c r="J103" s="15" t="s">
        <v>546</v>
      </c>
      <c r="K103" s="15" t="s">
        <v>547</v>
      </c>
      <c r="L103" s="15" t="s">
        <v>546</v>
      </c>
      <c r="N103" s="45"/>
    </row>
    <row r="104" spans="1:14">
      <c r="A104" s="66"/>
      <c r="B104" s="52"/>
      <c r="C104" s="90" t="s">
        <v>689</v>
      </c>
      <c r="D104" t="s">
        <v>543</v>
      </c>
      <c r="F104">
        <f>(1.1-0.65)/0.05+1</f>
        <v>10</v>
      </c>
      <c r="G104" s="61">
        <v>360.38400000000001</v>
      </c>
      <c r="H104" s="3" t="s">
        <v>690</v>
      </c>
      <c r="I104" t="s">
        <v>545</v>
      </c>
      <c r="J104" s="15" t="s">
        <v>546</v>
      </c>
      <c r="K104" s="15" t="s">
        <v>547</v>
      </c>
      <c r="L104" s="15" t="s">
        <v>546</v>
      </c>
      <c r="N104" s="45"/>
    </row>
    <row r="105" spans="1:14">
      <c r="A105" s="66"/>
      <c r="B105" s="52"/>
      <c r="C105" s="90" t="s">
        <v>691</v>
      </c>
      <c r="D105" t="s">
        <v>569</v>
      </c>
      <c r="F105"/>
      <c r="H105" s="3" t="s">
        <v>692</v>
      </c>
      <c r="I105" t="s">
        <v>545</v>
      </c>
      <c r="N105" s="45"/>
    </row>
    <row r="106" spans="1:14">
      <c r="A106" s="66"/>
      <c r="B106" s="52"/>
      <c r="C106" s="90" t="s">
        <v>693</v>
      </c>
      <c r="D106" t="s">
        <v>569</v>
      </c>
      <c r="F106"/>
      <c r="H106" s="3" t="s">
        <v>694</v>
      </c>
      <c r="I106" t="s">
        <v>545</v>
      </c>
      <c r="N106" s="45"/>
    </row>
    <row r="107" spans="1:14">
      <c r="A107" s="66"/>
      <c r="B107" s="52"/>
      <c r="C107" s="90" t="s">
        <v>695</v>
      </c>
      <c r="D107" t="s">
        <v>569</v>
      </c>
      <c r="F107"/>
      <c r="H107" s="3" t="s">
        <v>696</v>
      </c>
      <c r="I107" t="s">
        <v>545</v>
      </c>
      <c r="N107" s="45"/>
    </row>
    <row r="108" spans="1:14">
      <c r="A108" s="66"/>
      <c r="B108" s="52"/>
      <c r="C108" s="90" t="s">
        <v>697</v>
      </c>
      <c r="D108" t="s">
        <v>569</v>
      </c>
      <c r="F108"/>
      <c r="H108" s="3" t="s">
        <v>698</v>
      </c>
      <c r="I108" t="s">
        <v>545</v>
      </c>
      <c r="N108" s="45"/>
    </row>
    <row r="109" spans="1:14">
      <c r="A109" s="66"/>
      <c r="B109" s="52"/>
      <c r="C109" s="90" t="s">
        <v>699</v>
      </c>
      <c r="D109" t="s">
        <v>569</v>
      </c>
      <c r="F109"/>
      <c r="H109" s="3" t="s">
        <v>700</v>
      </c>
      <c r="I109" t="s">
        <v>545</v>
      </c>
      <c r="N109" s="45"/>
    </row>
    <row r="110" spans="1:14">
      <c r="A110" s="66"/>
      <c r="B110" s="52"/>
      <c r="C110" s="90" t="s">
        <v>701</v>
      </c>
      <c r="D110" t="s">
        <v>569</v>
      </c>
      <c r="F110"/>
      <c r="H110" s="3" t="s">
        <v>702</v>
      </c>
      <c r="I110" t="s">
        <v>545</v>
      </c>
      <c r="N110" s="45"/>
    </row>
    <row r="111" spans="1:14">
      <c r="A111" s="66"/>
      <c r="B111" s="52"/>
      <c r="C111" s="90" t="s">
        <v>703</v>
      </c>
      <c r="D111" t="s">
        <v>569</v>
      </c>
      <c r="F111"/>
      <c r="H111" s="3" t="s">
        <v>704</v>
      </c>
      <c r="I111" t="s">
        <v>545</v>
      </c>
      <c r="N111" s="45"/>
    </row>
    <row r="112" spans="1:14">
      <c r="A112" s="66"/>
      <c r="B112" s="52"/>
      <c r="C112" s="90" t="s">
        <v>705</v>
      </c>
      <c r="D112" t="s">
        <v>569</v>
      </c>
      <c r="F112"/>
      <c r="H112" s="3" t="s">
        <v>706</v>
      </c>
      <c r="I112" t="s">
        <v>545</v>
      </c>
      <c r="N112" s="45"/>
    </row>
    <row r="113" spans="1:14">
      <c r="A113" s="66"/>
      <c r="B113" s="52"/>
      <c r="C113" s="90" t="s">
        <v>707</v>
      </c>
      <c r="D113" t="s">
        <v>569</v>
      </c>
      <c r="F113"/>
      <c r="H113" s="3" t="s">
        <v>708</v>
      </c>
      <c r="I113" t="s">
        <v>545</v>
      </c>
      <c r="N113" s="45"/>
    </row>
    <row r="114" spans="1:14">
      <c r="A114" s="66"/>
      <c r="B114" s="52"/>
      <c r="C114" s="90" t="s">
        <v>709</v>
      </c>
      <c r="D114" t="s">
        <v>543</v>
      </c>
      <c r="F114" s="1">
        <v>2</v>
      </c>
      <c r="G114" s="61">
        <v>108.983</v>
      </c>
      <c r="H114" s="3" t="s">
        <v>710</v>
      </c>
      <c r="I114" t="s">
        <v>545</v>
      </c>
      <c r="J114" s="15" t="s">
        <v>546</v>
      </c>
      <c r="K114" s="15" t="s">
        <v>547</v>
      </c>
      <c r="L114" s="15" t="s">
        <v>546</v>
      </c>
      <c r="N114" s="45"/>
    </row>
    <row r="115" spans="1:14">
      <c r="A115" s="66"/>
      <c r="B115" s="52"/>
      <c r="C115" s="90" t="s">
        <v>711</v>
      </c>
      <c r="D115" t="s">
        <v>543</v>
      </c>
      <c r="F115" s="1">
        <v>2</v>
      </c>
      <c r="G115" s="61">
        <v>107.95099999999999</v>
      </c>
      <c r="H115" s="3" t="s">
        <v>712</v>
      </c>
      <c r="I115" t="s">
        <v>552</v>
      </c>
      <c r="J115" s="15" t="s">
        <v>546</v>
      </c>
      <c r="K115" s="15" t="s">
        <v>547</v>
      </c>
      <c r="L115" s="15" t="s">
        <v>546</v>
      </c>
      <c r="N115" s="45"/>
    </row>
    <row r="116" spans="1:14">
      <c r="A116" s="66"/>
      <c r="B116" s="52"/>
      <c r="C116" s="90" t="s">
        <v>713</v>
      </c>
      <c r="D116" t="s">
        <v>569</v>
      </c>
      <c r="F116"/>
      <c r="H116" s="3" t="s">
        <v>714</v>
      </c>
      <c r="I116" t="s">
        <v>545</v>
      </c>
      <c r="N116" s="45"/>
    </row>
    <row r="117" spans="1:14">
      <c r="A117" s="66"/>
      <c r="B117" s="52"/>
      <c r="C117" s="90" t="s">
        <v>715</v>
      </c>
      <c r="D117" t="s">
        <v>569</v>
      </c>
      <c r="F117"/>
      <c r="H117" s="3" t="s">
        <v>716</v>
      </c>
      <c r="I117" t="s">
        <v>545</v>
      </c>
      <c r="N117" s="45"/>
    </row>
    <row r="118" spans="1:14">
      <c r="A118" s="66"/>
      <c r="B118" s="52"/>
      <c r="C118" s="90" t="s">
        <v>717</v>
      </c>
      <c r="D118" t="s">
        <v>569</v>
      </c>
      <c r="F118"/>
      <c r="H118" s="3" t="s">
        <v>718</v>
      </c>
      <c r="I118" t="s">
        <v>552</v>
      </c>
      <c r="N118" s="45"/>
    </row>
    <row r="119" spans="1:14">
      <c r="A119" s="66"/>
      <c r="B119" s="52"/>
      <c r="C119" s="90" t="s">
        <v>719</v>
      </c>
      <c r="D119" t="s">
        <v>569</v>
      </c>
      <c r="F119"/>
      <c r="H119" s="3" t="s">
        <v>720</v>
      </c>
      <c r="I119" t="s">
        <v>552</v>
      </c>
      <c r="N119" s="45"/>
    </row>
    <row r="120" spans="1:14">
      <c r="A120" s="66"/>
      <c r="B120" s="52"/>
      <c r="C120" s="90" t="s">
        <v>721</v>
      </c>
      <c r="D120" t="s">
        <v>543</v>
      </c>
      <c r="F120" s="1">
        <v>2</v>
      </c>
      <c r="G120" s="61">
        <v>103.82</v>
      </c>
      <c r="H120" s="3" t="s">
        <v>722</v>
      </c>
      <c r="I120" t="s">
        <v>552</v>
      </c>
      <c r="J120" s="15" t="s">
        <v>546</v>
      </c>
      <c r="K120" s="15" t="s">
        <v>547</v>
      </c>
      <c r="L120" s="15" t="s">
        <v>546</v>
      </c>
      <c r="N120" s="45"/>
    </row>
    <row r="121" spans="1:14">
      <c r="A121" s="66"/>
      <c r="B121" s="52"/>
      <c r="C121" s="90" t="s">
        <v>723</v>
      </c>
      <c r="D121" t="s">
        <v>543</v>
      </c>
      <c r="F121" s="1">
        <v>1</v>
      </c>
      <c r="G121" s="61">
        <v>74.339200000000005</v>
      </c>
      <c r="H121" s="3" t="s">
        <v>718</v>
      </c>
      <c r="I121" t="s">
        <v>552</v>
      </c>
      <c r="J121" s="15" t="s">
        <v>546</v>
      </c>
      <c r="K121" s="15" t="s">
        <v>547</v>
      </c>
      <c r="L121" s="15" t="s">
        <v>546</v>
      </c>
      <c r="N121" s="45"/>
    </row>
    <row r="122" spans="1:14">
      <c r="A122" s="66"/>
      <c r="B122" s="52"/>
      <c r="C122" s="90" t="s">
        <v>724</v>
      </c>
      <c r="D122" t="s">
        <v>569</v>
      </c>
      <c r="F122"/>
      <c r="H122" s="3" t="s">
        <v>725</v>
      </c>
      <c r="I122" t="s">
        <v>552</v>
      </c>
      <c r="N122" s="45"/>
    </row>
    <row r="123" spans="1:14">
      <c r="A123" s="66"/>
      <c r="B123" s="52"/>
      <c r="C123" s="90" t="s">
        <v>726</v>
      </c>
      <c r="D123" t="s">
        <v>569</v>
      </c>
      <c r="F123"/>
      <c r="H123" s="3" t="s">
        <v>727</v>
      </c>
      <c r="I123" t="s">
        <v>552</v>
      </c>
      <c r="N123" s="45"/>
    </row>
    <row r="124" spans="1:14">
      <c r="A124" s="66"/>
      <c r="B124" s="52"/>
      <c r="C124" s="90" t="s">
        <v>728</v>
      </c>
      <c r="D124" t="s">
        <v>569</v>
      </c>
      <c r="F124"/>
      <c r="H124" s="3" t="s">
        <v>718</v>
      </c>
      <c r="I124" t="s">
        <v>552</v>
      </c>
      <c r="N124" s="45"/>
    </row>
    <row r="125" spans="1:14">
      <c r="A125" s="66"/>
      <c r="B125" s="52"/>
      <c r="C125" s="90" t="s">
        <v>729</v>
      </c>
      <c r="D125" t="s">
        <v>543</v>
      </c>
      <c r="F125" s="1">
        <v>2</v>
      </c>
      <c r="G125" s="61">
        <v>102.636</v>
      </c>
      <c r="H125" s="3" t="s">
        <v>722</v>
      </c>
      <c r="I125" t="s">
        <v>554</v>
      </c>
      <c r="J125" s="15" t="s">
        <v>546</v>
      </c>
      <c r="K125" s="15" t="s">
        <v>547</v>
      </c>
      <c r="L125" s="15" t="s">
        <v>546</v>
      </c>
      <c r="N125" s="45"/>
    </row>
    <row r="126" spans="1:14">
      <c r="A126" s="66"/>
      <c r="B126" s="52"/>
      <c r="C126" s="90" t="s">
        <v>730</v>
      </c>
      <c r="D126" t="s">
        <v>543</v>
      </c>
      <c r="F126" s="1">
        <v>1</v>
      </c>
      <c r="G126" s="61">
        <v>74.065200000000004</v>
      </c>
      <c r="H126" s="3" t="s">
        <v>718</v>
      </c>
      <c r="I126" t="s">
        <v>554</v>
      </c>
      <c r="J126" s="15" t="s">
        <v>546</v>
      </c>
      <c r="K126" s="15" t="s">
        <v>547</v>
      </c>
      <c r="L126" s="15" t="s">
        <v>546</v>
      </c>
      <c r="N126" s="45"/>
    </row>
    <row r="127" spans="1:14">
      <c r="A127" s="66"/>
      <c r="B127" s="52"/>
      <c r="C127" s="90" t="s">
        <v>731</v>
      </c>
      <c r="D127" t="s">
        <v>569</v>
      </c>
      <c r="F127"/>
      <c r="H127" s="3" t="s">
        <v>725</v>
      </c>
      <c r="I127" t="s">
        <v>554</v>
      </c>
      <c r="N127" s="45"/>
    </row>
    <row r="128" spans="1:14">
      <c r="A128" s="66"/>
      <c r="B128" s="52"/>
      <c r="C128" s="90" t="s">
        <v>732</v>
      </c>
      <c r="D128" t="s">
        <v>569</v>
      </c>
      <c r="F128"/>
      <c r="H128" s="3" t="s">
        <v>727</v>
      </c>
      <c r="I128" t="s">
        <v>554</v>
      </c>
      <c r="N128" s="45"/>
    </row>
    <row r="129" spans="1:14">
      <c r="A129" s="66"/>
      <c r="B129" s="52"/>
      <c r="C129" s="90" t="s">
        <v>733</v>
      </c>
      <c r="D129" t="s">
        <v>569</v>
      </c>
      <c r="F129"/>
      <c r="H129" s="3" t="s">
        <v>718</v>
      </c>
      <c r="I129" t="s">
        <v>554</v>
      </c>
      <c r="N129" s="45"/>
    </row>
    <row r="130" spans="1:14">
      <c r="A130" s="52"/>
      <c r="B130" s="63" t="s">
        <v>366</v>
      </c>
      <c r="C130" s="53" t="s">
        <v>734</v>
      </c>
      <c r="D130" s="53" t="s">
        <v>543</v>
      </c>
      <c r="E130" s="53"/>
      <c r="F130" s="53">
        <f>0.6/0.02+1</f>
        <v>31</v>
      </c>
      <c r="G130" s="82">
        <v>986.60400000000004</v>
      </c>
      <c r="H130" s="88" t="s">
        <v>735</v>
      </c>
      <c r="I130" s="53" t="s">
        <v>545</v>
      </c>
      <c r="J130" s="83" t="s">
        <v>546</v>
      </c>
      <c r="K130" s="83" t="s">
        <v>547</v>
      </c>
      <c r="L130" s="83" t="s">
        <v>546</v>
      </c>
      <c r="M130" s="53"/>
      <c r="N130" s="16"/>
    </row>
    <row r="131" spans="1:14">
      <c r="A131" s="52"/>
      <c r="B131" s="66"/>
      <c r="C131" t="s">
        <v>736</v>
      </c>
      <c r="D131" t="s">
        <v>737</v>
      </c>
      <c r="F131"/>
      <c r="H131" s="3"/>
      <c r="I131"/>
      <c r="N131" s="45"/>
    </row>
    <row r="132" spans="1:14">
      <c r="A132" s="52"/>
      <c r="B132" s="66"/>
      <c r="C132" t="s">
        <v>738</v>
      </c>
      <c r="D132"/>
      <c r="F132"/>
      <c r="H132" s="3"/>
      <c r="I132"/>
      <c r="N132" s="45"/>
    </row>
    <row r="133" spans="1:14">
      <c r="A133" s="52"/>
      <c r="B133" s="64"/>
      <c r="C133" s="54" t="s">
        <v>739</v>
      </c>
      <c r="D133" s="54"/>
      <c r="E133" s="54"/>
      <c r="F133" s="54"/>
      <c r="G133" s="85"/>
      <c r="H133" s="91"/>
      <c r="I133" s="54"/>
      <c r="J133" s="86"/>
      <c r="K133" s="86"/>
      <c r="L133" s="86"/>
      <c r="M133" s="54"/>
      <c r="N133" s="46"/>
    </row>
    <row r="134" spans="1:14">
      <c r="A134" s="66"/>
      <c r="B134" s="63" t="s">
        <v>368</v>
      </c>
      <c r="C134" s="13" t="s">
        <v>741</v>
      </c>
      <c r="D134" s="53" t="s">
        <v>543</v>
      </c>
      <c r="E134" s="53"/>
      <c r="F134" s="53">
        <f>0.2/0.05+1</f>
        <v>5</v>
      </c>
      <c r="G134" s="82">
        <v>199.61199999999999</v>
      </c>
      <c r="H134" s="88" t="s">
        <v>742</v>
      </c>
      <c r="I134" s="53" t="s">
        <v>571</v>
      </c>
      <c r="J134" s="83" t="s">
        <v>546</v>
      </c>
      <c r="K134" s="83" t="s">
        <v>547</v>
      </c>
      <c r="L134" s="83" t="s">
        <v>546</v>
      </c>
      <c r="M134" s="53"/>
      <c r="N134" s="16"/>
    </row>
    <row r="135" spans="1:14">
      <c r="A135" s="66"/>
      <c r="B135" s="66"/>
      <c r="C135" s="47" t="s">
        <v>743</v>
      </c>
      <c r="D135" t="s">
        <v>543</v>
      </c>
      <c r="F135">
        <f t="shared" ref="F135:F140" si="0">0.2/0.05+1</f>
        <v>5</v>
      </c>
      <c r="G135" s="61">
        <v>199.101</v>
      </c>
      <c r="H135" s="3" t="s">
        <v>742</v>
      </c>
      <c r="I135" t="s">
        <v>599</v>
      </c>
      <c r="J135" s="15" t="s">
        <v>546</v>
      </c>
      <c r="K135" s="15" t="s">
        <v>547</v>
      </c>
      <c r="L135" s="15" t="s">
        <v>546</v>
      </c>
      <c r="N135" s="45"/>
    </row>
    <row r="136" spans="1:14">
      <c r="A136" s="66"/>
      <c r="B136" s="66"/>
      <c r="C136" s="47" t="s">
        <v>744</v>
      </c>
      <c r="D136" t="s">
        <v>543</v>
      </c>
      <c r="F136">
        <f t="shared" si="0"/>
        <v>5</v>
      </c>
      <c r="G136" s="61">
        <v>199.09</v>
      </c>
      <c r="H136" s="3" t="s">
        <v>742</v>
      </c>
      <c r="I136" t="s">
        <v>745</v>
      </c>
      <c r="J136" s="15" t="s">
        <v>546</v>
      </c>
      <c r="K136" s="15" t="s">
        <v>547</v>
      </c>
      <c r="L136" s="15" t="s">
        <v>546</v>
      </c>
      <c r="N136" s="45"/>
    </row>
    <row r="137" spans="1:14">
      <c r="A137" s="66"/>
      <c r="B137" s="66"/>
      <c r="C137" s="47" t="s">
        <v>746</v>
      </c>
      <c r="D137" t="s">
        <v>543</v>
      </c>
      <c r="F137">
        <f t="shared" si="0"/>
        <v>5</v>
      </c>
      <c r="G137" s="61">
        <v>197.84700000000001</v>
      </c>
      <c r="H137" s="3" t="s">
        <v>742</v>
      </c>
      <c r="I137" t="s">
        <v>550</v>
      </c>
      <c r="J137" s="15" t="s">
        <v>546</v>
      </c>
      <c r="K137" s="15" t="s">
        <v>547</v>
      </c>
      <c r="L137" s="15" t="s">
        <v>546</v>
      </c>
      <c r="N137" s="45"/>
    </row>
    <row r="138" spans="1:14">
      <c r="A138" s="66"/>
      <c r="B138" s="66"/>
      <c r="C138" s="47" t="s">
        <v>747</v>
      </c>
      <c r="D138" t="s">
        <v>543</v>
      </c>
      <c r="F138">
        <f t="shared" si="0"/>
        <v>5</v>
      </c>
      <c r="G138" s="61">
        <v>198.30500000000001</v>
      </c>
      <c r="H138" s="3" t="s">
        <v>742</v>
      </c>
      <c r="I138" t="s">
        <v>748</v>
      </c>
      <c r="J138" s="15" t="s">
        <v>546</v>
      </c>
      <c r="K138" s="15" t="s">
        <v>547</v>
      </c>
      <c r="L138" s="15" t="s">
        <v>546</v>
      </c>
      <c r="N138" s="45"/>
    </row>
    <row r="139" spans="1:14">
      <c r="A139" s="66"/>
      <c r="B139" s="66"/>
      <c r="C139" s="47" t="s">
        <v>749</v>
      </c>
      <c r="D139" t="s">
        <v>543</v>
      </c>
      <c r="F139">
        <f t="shared" si="0"/>
        <v>5</v>
      </c>
      <c r="G139" s="61">
        <v>198.05600000000001</v>
      </c>
      <c r="H139" s="3" t="s">
        <v>742</v>
      </c>
      <c r="I139" t="s">
        <v>620</v>
      </c>
      <c r="J139" s="15" t="s">
        <v>546</v>
      </c>
      <c r="K139" s="15" t="s">
        <v>547</v>
      </c>
      <c r="L139" s="15" t="s">
        <v>546</v>
      </c>
      <c r="N139" s="45"/>
    </row>
    <row r="140" spans="1:14">
      <c r="A140" s="66"/>
      <c r="B140" s="66"/>
      <c r="C140" s="47" t="s">
        <v>750</v>
      </c>
      <c r="D140" t="s">
        <v>543</v>
      </c>
      <c r="F140">
        <f t="shared" si="0"/>
        <v>5</v>
      </c>
      <c r="G140" s="61">
        <v>198.887</v>
      </c>
      <c r="H140" s="3" t="s">
        <v>742</v>
      </c>
      <c r="I140" t="s">
        <v>576</v>
      </c>
      <c r="J140" s="15" t="s">
        <v>546</v>
      </c>
      <c r="K140" s="15" t="s">
        <v>547</v>
      </c>
      <c r="L140" s="15" t="s">
        <v>546</v>
      </c>
      <c r="N140" s="45"/>
    </row>
    <row r="141" spans="1:14">
      <c r="A141" s="66"/>
      <c r="B141" s="66"/>
      <c r="C141" s="47" t="s">
        <v>751</v>
      </c>
      <c r="D141" t="s">
        <v>569</v>
      </c>
      <c r="F141"/>
      <c r="H141" s="3" t="s">
        <v>752</v>
      </c>
      <c r="I141" t="s">
        <v>571</v>
      </c>
      <c r="K141" s="15" t="s">
        <v>547</v>
      </c>
      <c r="N141" s="45"/>
    </row>
    <row r="142" spans="1:14">
      <c r="A142" s="66"/>
      <c r="B142" s="66"/>
      <c r="C142" s="47" t="s">
        <v>753</v>
      </c>
      <c r="D142" t="s">
        <v>569</v>
      </c>
      <c r="F142"/>
      <c r="H142" s="3" t="s">
        <v>754</v>
      </c>
      <c r="I142" t="s">
        <v>571</v>
      </c>
      <c r="K142" s="15" t="s">
        <v>547</v>
      </c>
      <c r="N142" s="45"/>
    </row>
    <row r="143" spans="1:14" s="15" customFormat="1">
      <c r="A143" s="66"/>
      <c r="B143" s="66"/>
      <c r="C143" s="47" t="s">
        <v>755</v>
      </c>
      <c r="D143" t="s">
        <v>569</v>
      </c>
      <c r="E143"/>
      <c r="F143"/>
      <c r="G143" s="61"/>
      <c r="H143" s="3" t="s">
        <v>682</v>
      </c>
      <c r="I143" t="s">
        <v>571</v>
      </c>
      <c r="K143" s="15" t="s">
        <v>547</v>
      </c>
      <c r="M143"/>
      <c r="N143" s="45"/>
    </row>
    <row r="144" spans="1:14" s="15" customFormat="1">
      <c r="A144" s="66"/>
      <c r="B144" s="66"/>
      <c r="C144" s="47" t="s">
        <v>756</v>
      </c>
      <c r="D144" t="s">
        <v>569</v>
      </c>
      <c r="E144"/>
      <c r="F144"/>
      <c r="G144" s="61"/>
      <c r="H144" s="3" t="s">
        <v>757</v>
      </c>
      <c r="I144" t="s">
        <v>571</v>
      </c>
      <c r="K144" s="15" t="s">
        <v>547</v>
      </c>
      <c r="M144"/>
      <c r="N144" s="45"/>
    </row>
    <row r="145" spans="1:14" s="15" customFormat="1">
      <c r="A145" s="66"/>
      <c r="B145" s="66"/>
      <c r="C145" s="47" t="s">
        <v>758</v>
      </c>
      <c r="D145" t="s">
        <v>569</v>
      </c>
      <c r="E145"/>
      <c r="F145"/>
      <c r="G145" s="61"/>
      <c r="H145" s="3" t="s">
        <v>759</v>
      </c>
      <c r="I145" t="s">
        <v>571</v>
      </c>
      <c r="K145" s="15" t="s">
        <v>547</v>
      </c>
      <c r="M145"/>
      <c r="N145" s="45"/>
    </row>
    <row r="146" spans="1:14" s="15" customFormat="1">
      <c r="A146" s="66"/>
      <c r="B146" s="66"/>
      <c r="C146" s="47" t="s">
        <v>760</v>
      </c>
      <c r="D146" t="s">
        <v>569</v>
      </c>
      <c r="E146"/>
      <c r="F146"/>
      <c r="G146" s="61"/>
      <c r="H146" s="3" t="s">
        <v>752</v>
      </c>
      <c r="I146" t="s">
        <v>599</v>
      </c>
      <c r="K146" s="15" t="s">
        <v>547</v>
      </c>
      <c r="M146"/>
      <c r="N146" s="45"/>
    </row>
    <row r="147" spans="1:14" s="15" customFormat="1">
      <c r="A147" s="66"/>
      <c r="B147" s="66"/>
      <c r="C147" s="47" t="s">
        <v>761</v>
      </c>
      <c r="D147" t="s">
        <v>569</v>
      </c>
      <c r="E147"/>
      <c r="F147"/>
      <c r="G147" s="61"/>
      <c r="H147" s="3" t="s">
        <v>754</v>
      </c>
      <c r="I147" t="s">
        <v>599</v>
      </c>
      <c r="K147" s="15" t="s">
        <v>547</v>
      </c>
      <c r="M147"/>
      <c r="N147" s="45"/>
    </row>
    <row r="148" spans="1:14" s="15" customFormat="1">
      <c r="A148" s="66"/>
      <c r="B148" s="66"/>
      <c r="C148" s="47" t="s">
        <v>762</v>
      </c>
      <c r="D148" t="s">
        <v>569</v>
      </c>
      <c r="E148"/>
      <c r="F148"/>
      <c r="G148" s="61"/>
      <c r="H148" s="3" t="s">
        <v>682</v>
      </c>
      <c r="I148" t="s">
        <v>599</v>
      </c>
      <c r="K148" s="15" t="s">
        <v>547</v>
      </c>
      <c r="M148"/>
      <c r="N148" s="45"/>
    </row>
    <row r="149" spans="1:14" s="15" customFormat="1">
      <c r="A149" s="66"/>
      <c r="B149" s="66"/>
      <c r="C149" s="47" t="s">
        <v>763</v>
      </c>
      <c r="D149" t="s">
        <v>569</v>
      </c>
      <c r="E149"/>
      <c r="F149"/>
      <c r="G149" s="61"/>
      <c r="H149" s="3" t="s">
        <v>757</v>
      </c>
      <c r="I149" t="s">
        <v>599</v>
      </c>
      <c r="K149" s="15" t="s">
        <v>547</v>
      </c>
      <c r="M149"/>
      <c r="N149" s="45"/>
    </row>
    <row r="150" spans="1:14" s="15" customFormat="1">
      <c r="A150" s="66"/>
      <c r="B150" s="66"/>
      <c r="C150" s="47" t="s">
        <v>764</v>
      </c>
      <c r="D150" t="s">
        <v>569</v>
      </c>
      <c r="E150"/>
      <c r="F150"/>
      <c r="G150" s="61"/>
      <c r="H150" s="3" t="s">
        <v>759</v>
      </c>
      <c r="I150" t="s">
        <v>599</v>
      </c>
      <c r="K150" s="15" t="s">
        <v>547</v>
      </c>
      <c r="M150"/>
      <c r="N150" s="45"/>
    </row>
    <row r="151" spans="1:14" s="15" customFormat="1">
      <c r="A151" s="66"/>
      <c r="B151" s="66"/>
      <c r="C151" s="47" t="s">
        <v>765</v>
      </c>
      <c r="D151" t="s">
        <v>569</v>
      </c>
      <c r="E151"/>
      <c r="F151"/>
      <c r="G151" s="61"/>
      <c r="H151" s="3" t="s">
        <v>752</v>
      </c>
      <c r="I151" t="s">
        <v>745</v>
      </c>
      <c r="K151" s="15" t="s">
        <v>547</v>
      </c>
      <c r="M151"/>
      <c r="N151" s="45"/>
    </row>
    <row r="152" spans="1:14" s="15" customFormat="1">
      <c r="A152" s="66"/>
      <c r="B152" s="66"/>
      <c r="C152" s="47" t="s">
        <v>766</v>
      </c>
      <c r="D152" t="s">
        <v>569</v>
      </c>
      <c r="E152"/>
      <c r="F152"/>
      <c r="G152" s="61"/>
      <c r="H152" s="3" t="s">
        <v>754</v>
      </c>
      <c r="I152" t="s">
        <v>745</v>
      </c>
      <c r="K152" s="15" t="s">
        <v>547</v>
      </c>
      <c r="M152"/>
      <c r="N152" s="45"/>
    </row>
    <row r="153" spans="1:14" s="15" customFormat="1">
      <c r="A153" s="66"/>
      <c r="B153" s="66"/>
      <c r="C153" s="47" t="s">
        <v>767</v>
      </c>
      <c r="D153" t="s">
        <v>569</v>
      </c>
      <c r="E153"/>
      <c r="F153"/>
      <c r="G153" s="61"/>
      <c r="H153" s="3" t="s">
        <v>682</v>
      </c>
      <c r="I153" t="s">
        <v>745</v>
      </c>
      <c r="K153" s="15" t="s">
        <v>547</v>
      </c>
      <c r="M153"/>
      <c r="N153" s="45"/>
    </row>
    <row r="154" spans="1:14" s="15" customFormat="1">
      <c r="A154" s="66"/>
      <c r="B154" s="66"/>
      <c r="C154" s="47" t="s">
        <v>768</v>
      </c>
      <c r="D154" t="s">
        <v>569</v>
      </c>
      <c r="E154"/>
      <c r="F154"/>
      <c r="G154" s="61"/>
      <c r="H154" s="3" t="s">
        <v>757</v>
      </c>
      <c r="I154" t="s">
        <v>745</v>
      </c>
      <c r="K154" s="15" t="s">
        <v>547</v>
      </c>
      <c r="M154"/>
      <c r="N154" s="45"/>
    </row>
    <row r="155" spans="1:14" s="15" customFormat="1">
      <c r="A155" s="66"/>
      <c r="B155" s="66"/>
      <c r="C155" s="47" t="s">
        <v>769</v>
      </c>
      <c r="D155" t="s">
        <v>569</v>
      </c>
      <c r="E155"/>
      <c r="F155"/>
      <c r="G155" s="61"/>
      <c r="H155" s="3" t="s">
        <v>759</v>
      </c>
      <c r="I155" t="s">
        <v>745</v>
      </c>
      <c r="K155" s="15" t="s">
        <v>547</v>
      </c>
      <c r="M155"/>
      <c r="N155" s="45"/>
    </row>
    <row r="156" spans="1:14" s="15" customFormat="1">
      <c r="A156" s="66"/>
      <c r="B156" s="66"/>
      <c r="C156" s="47" t="s">
        <v>770</v>
      </c>
      <c r="D156" t="s">
        <v>569</v>
      </c>
      <c r="E156"/>
      <c r="F156"/>
      <c r="G156" s="61"/>
      <c r="H156" s="3" t="s">
        <v>752</v>
      </c>
      <c r="I156" t="s">
        <v>550</v>
      </c>
      <c r="K156" s="15" t="s">
        <v>547</v>
      </c>
      <c r="M156"/>
      <c r="N156" s="45"/>
    </row>
    <row r="157" spans="1:14" s="15" customFormat="1">
      <c r="A157" s="66"/>
      <c r="B157" s="66"/>
      <c r="C157" s="47" t="s">
        <v>771</v>
      </c>
      <c r="D157" t="s">
        <v>569</v>
      </c>
      <c r="E157"/>
      <c r="F157"/>
      <c r="G157" s="61"/>
      <c r="H157" s="3" t="s">
        <v>754</v>
      </c>
      <c r="I157" t="s">
        <v>550</v>
      </c>
      <c r="K157" s="15" t="s">
        <v>547</v>
      </c>
      <c r="M157"/>
      <c r="N157" s="45"/>
    </row>
    <row r="158" spans="1:14" s="15" customFormat="1">
      <c r="A158" s="66"/>
      <c r="B158" s="66"/>
      <c r="C158" s="47" t="s">
        <v>772</v>
      </c>
      <c r="D158" t="s">
        <v>569</v>
      </c>
      <c r="E158"/>
      <c r="F158"/>
      <c r="G158" s="61"/>
      <c r="H158" s="3" t="s">
        <v>682</v>
      </c>
      <c r="I158" t="s">
        <v>550</v>
      </c>
      <c r="K158" s="15" t="s">
        <v>547</v>
      </c>
      <c r="M158"/>
      <c r="N158" s="45"/>
    </row>
    <row r="159" spans="1:14" s="15" customFormat="1">
      <c r="A159" s="66"/>
      <c r="B159" s="66"/>
      <c r="C159" s="47" t="s">
        <v>773</v>
      </c>
      <c r="D159" t="s">
        <v>569</v>
      </c>
      <c r="E159"/>
      <c r="F159"/>
      <c r="G159" s="61"/>
      <c r="H159" s="3" t="s">
        <v>757</v>
      </c>
      <c r="I159" t="s">
        <v>550</v>
      </c>
      <c r="K159" s="15" t="s">
        <v>547</v>
      </c>
      <c r="M159"/>
      <c r="N159" s="45"/>
    </row>
    <row r="160" spans="1:14" s="15" customFormat="1">
      <c r="A160" s="66"/>
      <c r="B160" s="66"/>
      <c r="C160" s="47" t="s">
        <v>774</v>
      </c>
      <c r="D160" t="s">
        <v>569</v>
      </c>
      <c r="E160"/>
      <c r="F160"/>
      <c r="G160" s="61"/>
      <c r="H160" s="3" t="s">
        <v>759</v>
      </c>
      <c r="I160" t="s">
        <v>550</v>
      </c>
      <c r="K160" s="15" t="s">
        <v>547</v>
      </c>
      <c r="M160"/>
      <c r="N160" s="45"/>
    </row>
    <row r="161" spans="1:14" s="15" customFormat="1">
      <c r="A161" s="66"/>
      <c r="B161" s="66"/>
      <c r="C161" s="47" t="s">
        <v>775</v>
      </c>
      <c r="D161" t="s">
        <v>569</v>
      </c>
      <c r="E161"/>
      <c r="F161"/>
      <c r="G161" s="61"/>
      <c r="H161" s="3" t="s">
        <v>752</v>
      </c>
      <c r="I161" t="s">
        <v>748</v>
      </c>
      <c r="K161" s="15" t="s">
        <v>547</v>
      </c>
      <c r="M161"/>
      <c r="N161" s="45"/>
    </row>
    <row r="162" spans="1:14" s="15" customFormat="1">
      <c r="A162" s="66"/>
      <c r="B162" s="66"/>
      <c r="C162" s="47" t="s">
        <v>776</v>
      </c>
      <c r="D162" t="s">
        <v>569</v>
      </c>
      <c r="E162"/>
      <c r="F162"/>
      <c r="G162" s="61"/>
      <c r="H162" s="3" t="s">
        <v>754</v>
      </c>
      <c r="I162" t="s">
        <v>748</v>
      </c>
      <c r="K162" s="15" t="s">
        <v>547</v>
      </c>
      <c r="M162"/>
      <c r="N162" s="45"/>
    </row>
    <row r="163" spans="1:14" s="15" customFormat="1">
      <c r="A163" s="66"/>
      <c r="B163" s="66"/>
      <c r="C163" s="47" t="s">
        <v>777</v>
      </c>
      <c r="D163" t="s">
        <v>569</v>
      </c>
      <c r="E163"/>
      <c r="F163"/>
      <c r="G163" s="61"/>
      <c r="H163" s="3" t="s">
        <v>682</v>
      </c>
      <c r="I163" t="s">
        <v>748</v>
      </c>
      <c r="K163" s="15" t="s">
        <v>547</v>
      </c>
      <c r="M163"/>
      <c r="N163" s="45"/>
    </row>
    <row r="164" spans="1:14" s="15" customFormat="1">
      <c r="A164" s="66"/>
      <c r="B164" s="66"/>
      <c r="C164" s="47" t="s">
        <v>778</v>
      </c>
      <c r="D164" t="s">
        <v>569</v>
      </c>
      <c r="E164"/>
      <c r="F164"/>
      <c r="G164" s="61"/>
      <c r="H164" s="3" t="s">
        <v>757</v>
      </c>
      <c r="I164" t="s">
        <v>748</v>
      </c>
      <c r="K164" s="15" t="s">
        <v>547</v>
      </c>
      <c r="M164"/>
      <c r="N164" s="45"/>
    </row>
    <row r="165" spans="1:14" s="15" customFormat="1">
      <c r="A165" s="66"/>
      <c r="B165" s="66"/>
      <c r="C165" s="47" t="s">
        <v>779</v>
      </c>
      <c r="D165" t="s">
        <v>569</v>
      </c>
      <c r="E165"/>
      <c r="F165"/>
      <c r="G165" s="61"/>
      <c r="H165" s="3" t="s">
        <v>759</v>
      </c>
      <c r="I165" t="s">
        <v>748</v>
      </c>
      <c r="K165" s="15" t="s">
        <v>547</v>
      </c>
      <c r="M165"/>
      <c r="N165" s="45"/>
    </row>
    <row r="166" spans="1:14" s="15" customFormat="1">
      <c r="A166" s="66"/>
      <c r="B166" s="66"/>
      <c r="C166" s="47" t="s">
        <v>780</v>
      </c>
      <c r="D166" t="s">
        <v>569</v>
      </c>
      <c r="E166"/>
      <c r="F166"/>
      <c r="G166" s="61"/>
      <c r="H166" s="3" t="s">
        <v>752</v>
      </c>
      <c r="I166" t="s">
        <v>620</v>
      </c>
      <c r="K166" s="15" t="s">
        <v>547</v>
      </c>
      <c r="M166"/>
      <c r="N166" s="45"/>
    </row>
    <row r="167" spans="1:14" s="15" customFormat="1">
      <c r="A167" s="66"/>
      <c r="B167" s="66"/>
      <c r="C167" s="47" t="s">
        <v>781</v>
      </c>
      <c r="D167" t="s">
        <v>569</v>
      </c>
      <c r="E167"/>
      <c r="F167"/>
      <c r="G167" s="61"/>
      <c r="H167" s="3" t="s">
        <v>754</v>
      </c>
      <c r="I167" t="s">
        <v>620</v>
      </c>
      <c r="K167" s="15" t="s">
        <v>547</v>
      </c>
      <c r="M167"/>
      <c r="N167" s="45"/>
    </row>
    <row r="168" spans="1:14" s="15" customFormat="1">
      <c r="A168" s="66"/>
      <c r="B168" s="66"/>
      <c r="C168" s="47" t="s">
        <v>782</v>
      </c>
      <c r="D168" t="s">
        <v>569</v>
      </c>
      <c r="E168"/>
      <c r="F168"/>
      <c r="G168" s="61"/>
      <c r="H168" s="3" t="s">
        <v>682</v>
      </c>
      <c r="I168" t="s">
        <v>620</v>
      </c>
      <c r="K168" s="15" t="s">
        <v>547</v>
      </c>
      <c r="M168"/>
      <c r="N168" s="45"/>
    </row>
    <row r="169" spans="1:14" s="15" customFormat="1">
      <c r="A169" s="66"/>
      <c r="B169" s="66"/>
      <c r="C169" s="47" t="s">
        <v>783</v>
      </c>
      <c r="D169" t="s">
        <v>569</v>
      </c>
      <c r="E169"/>
      <c r="F169"/>
      <c r="G169" s="61"/>
      <c r="H169" s="3" t="s">
        <v>757</v>
      </c>
      <c r="I169" t="s">
        <v>620</v>
      </c>
      <c r="K169" s="15" t="s">
        <v>547</v>
      </c>
      <c r="M169"/>
      <c r="N169" s="45"/>
    </row>
    <row r="170" spans="1:14" s="15" customFormat="1">
      <c r="A170" s="66"/>
      <c r="B170" s="66"/>
      <c r="C170" s="47" t="s">
        <v>784</v>
      </c>
      <c r="D170" t="s">
        <v>569</v>
      </c>
      <c r="E170"/>
      <c r="F170"/>
      <c r="G170" s="61"/>
      <c r="H170" s="3" t="s">
        <v>759</v>
      </c>
      <c r="I170" t="s">
        <v>620</v>
      </c>
      <c r="K170" s="15" t="s">
        <v>547</v>
      </c>
      <c r="M170"/>
      <c r="N170" s="45"/>
    </row>
    <row r="171" spans="1:14" s="15" customFormat="1">
      <c r="A171" s="66"/>
      <c r="B171" s="66"/>
      <c r="C171" s="47" t="s">
        <v>785</v>
      </c>
      <c r="D171" t="s">
        <v>569</v>
      </c>
      <c r="E171"/>
      <c r="F171"/>
      <c r="G171" s="61"/>
      <c r="H171" s="3" t="s">
        <v>752</v>
      </c>
      <c r="I171" t="s">
        <v>576</v>
      </c>
      <c r="K171" s="15" t="s">
        <v>547</v>
      </c>
      <c r="M171"/>
      <c r="N171" s="45"/>
    </row>
    <row r="172" spans="1:14" s="15" customFormat="1">
      <c r="A172" s="66"/>
      <c r="B172" s="66"/>
      <c r="C172" s="47" t="s">
        <v>786</v>
      </c>
      <c r="D172" t="s">
        <v>569</v>
      </c>
      <c r="E172"/>
      <c r="F172"/>
      <c r="G172" s="61"/>
      <c r="H172" s="3" t="s">
        <v>754</v>
      </c>
      <c r="I172" t="s">
        <v>576</v>
      </c>
      <c r="K172" s="15" t="s">
        <v>547</v>
      </c>
      <c r="M172"/>
      <c r="N172" s="45"/>
    </row>
    <row r="173" spans="1:14" s="15" customFormat="1">
      <c r="A173" s="66"/>
      <c r="B173" s="66"/>
      <c r="C173" s="47" t="s">
        <v>787</v>
      </c>
      <c r="D173" t="s">
        <v>569</v>
      </c>
      <c r="E173"/>
      <c r="F173"/>
      <c r="G173" s="61"/>
      <c r="H173" s="3" t="s">
        <v>682</v>
      </c>
      <c r="I173" t="s">
        <v>576</v>
      </c>
      <c r="K173" s="15" t="s">
        <v>547</v>
      </c>
      <c r="M173"/>
      <c r="N173" s="45"/>
    </row>
    <row r="174" spans="1:14" s="15" customFormat="1">
      <c r="A174" s="66"/>
      <c r="B174" s="66"/>
      <c r="C174" s="47" t="s">
        <v>788</v>
      </c>
      <c r="D174" t="s">
        <v>569</v>
      </c>
      <c r="E174"/>
      <c r="F174"/>
      <c r="G174" s="61"/>
      <c r="H174" s="3" t="s">
        <v>757</v>
      </c>
      <c r="I174" t="s">
        <v>576</v>
      </c>
      <c r="K174" s="15" t="s">
        <v>547</v>
      </c>
      <c r="M174"/>
      <c r="N174" s="45"/>
    </row>
    <row r="175" spans="1:14" s="15" customFormat="1">
      <c r="A175" s="66"/>
      <c r="B175" s="66"/>
      <c r="C175" s="47" t="s">
        <v>789</v>
      </c>
      <c r="D175" t="s">
        <v>569</v>
      </c>
      <c r="E175"/>
      <c r="F175"/>
      <c r="G175" s="61"/>
      <c r="H175" s="3" t="s">
        <v>759</v>
      </c>
      <c r="I175" t="s">
        <v>576</v>
      </c>
      <c r="K175" s="15" t="s">
        <v>547</v>
      </c>
      <c r="M175"/>
      <c r="N175" s="45"/>
    </row>
    <row r="176" spans="1:14" s="15" customFormat="1">
      <c r="A176" s="66"/>
      <c r="B176" s="66"/>
      <c r="C176" s="47" t="s">
        <v>790</v>
      </c>
      <c r="D176" t="s">
        <v>632</v>
      </c>
      <c r="E176"/>
      <c r="F176"/>
      <c r="G176" s="61"/>
      <c r="H176" s="3"/>
      <c r="I176"/>
      <c r="M176"/>
      <c r="N176" s="45"/>
    </row>
    <row r="177" spans="1:14" s="15" customFormat="1">
      <c r="A177" s="66"/>
      <c r="B177" s="66"/>
      <c r="C177" s="47" t="s">
        <v>791</v>
      </c>
      <c r="D177" t="s">
        <v>632</v>
      </c>
      <c r="E177"/>
      <c r="F177"/>
      <c r="G177" s="61"/>
      <c r="H177" s="3"/>
      <c r="I177"/>
      <c r="M177"/>
      <c r="N177" s="45"/>
    </row>
    <row r="178" spans="1:14" s="15" customFormat="1">
      <c r="A178" s="66"/>
      <c r="B178" s="66"/>
      <c r="C178" s="47" t="s">
        <v>792</v>
      </c>
      <c r="D178" t="s">
        <v>632</v>
      </c>
      <c r="E178"/>
      <c r="F178"/>
      <c r="G178" s="61"/>
      <c r="H178" s="3"/>
      <c r="I178"/>
      <c r="M178"/>
      <c r="N178" s="45"/>
    </row>
    <row r="179" spans="1:14" s="15" customFormat="1">
      <c r="A179" s="66"/>
      <c r="B179" s="66"/>
      <c r="C179" s="47" t="s">
        <v>793</v>
      </c>
      <c r="D179" t="s">
        <v>632</v>
      </c>
      <c r="E179"/>
      <c r="F179"/>
      <c r="G179" s="61"/>
      <c r="H179" s="3"/>
      <c r="I179"/>
      <c r="M179"/>
      <c r="N179" s="45"/>
    </row>
    <row r="180" spans="1:14" s="15" customFormat="1">
      <c r="A180" s="66"/>
      <c r="B180" s="66"/>
      <c r="C180" s="47" t="s">
        <v>794</v>
      </c>
      <c r="D180" t="s">
        <v>632</v>
      </c>
      <c r="E180"/>
      <c r="F180"/>
      <c r="G180" s="61"/>
      <c r="H180" s="3"/>
      <c r="I180"/>
      <c r="M180"/>
      <c r="N180" s="45"/>
    </row>
    <row r="181" spans="1:14" s="15" customFormat="1">
      <c r="A181" s="66"/>
      <c r="B181" s="66"/>
      <c r="C181" s="47" t="s">
        <v>795</v>
      </c>
      <c r="D181" t="s">
        <v>632</v>
      </c>
      <c r="E181"/>
      <c r="F181"/>
      <c r="G181" s="61"/>
      <c r="H181" s="3"/>
      <c r="I181"/>
      <c r="M181"/>
      <c r="N181" s="45"/>
    </row>
    <row r="182" spans="1:14" s="15" customFormat="1">
      <c r="A182" s="66"/>
      <c r="B182" s="66"/>
      <c r="C182" s="47" t="s">
        <v>796</v>
      </c>
      <c r="D182" t="s">
        <v>632</v>
      </c>
      <c r="E182"/>
      <c r="F182"/>
      <c r="G182" s="61"/>
      <c r="H182" s="3"/>
      <c r="I182"/>
      <c r="M182"/>
      <c r="N182" s="45"/>
    </row>
    <row r="183" spans="1:14" s="15" customFormat="1">
      <c r="A183" s="66"/>
      <c r="B183" s="66"/>
      <c r="C183" s="47" t="s">
        <v>797</v>
      </c>
      <c r="D183" t="s">
        <v>632</v>
      </c>
      <c r="E183"/>
      <c r="F183"/>
      <c r="G183" s="61"/>
      <c r="H183" s="3"/>
      <c r="I183"/>
      <c r="M183"/>
      <c r="N183" s="45"/>
    </row>
    <row r="184" spans="1:14" s="15" customFormat="1">
      <c r="A184" s="66"/>
      <c r="B184" s="66"/>
      <c r="C184" s="47" t="s">
        <v>798</v>
      </c>
      <c r="D184" t="s">
        <v>632</v>
      </c>
      <c r="E184"/>
      <c r="F184"/>
      <c r="G184" s="61"/>
      <c r="H184" s="3"/>
      <c r="I184"/>
      <c r="M184"/>
      <c r="N184" s="45"/>
    </row>
    <row r="185" spans="1:14" s="15" customFormat="1">
      <c r="A185" s="66"/>
      <c r="B185" s="66"/>
      <c r="C185" s="47" t="s">
        <v>799</v>
      </c>
      <c r="D185" t="s">
        <v>632</v>
      </c>
      <c r="E185"/>
      <c r="F185"/>
      <c r="G185" s="61"/>
      <c r="H185" s="3"/>
      <c r="I185"/>
      <c r="M185"/>
      <c r="N185" s="45"/>
    </row>
    <row r="186" spans="1:14" s="15" customFormat="1">
      <c r="A186" s="66"/>
      <c r="B186" s="66"/>
      <c r="C186" s="47" t="s">
        <v>800</v>
      </c>
      <c r="D186" t="s">
        <v>632</v>
      </c>
      <c r="E186"/>
      <c r="F186"/>
      <c r="G186" s="61"/>
      <c r="H186" s="3"/>
      <c r="I186"/>
      <c r="M186"/>
      <c r="N186" s="45"/>
    </row>
    <row r="187" spans="1:14" s="15" customFormat="1">
      <c r="A187" s="66"/>
      <c r="B187" s="66"/>
      <c r="C187" s="47" t="s">
        <v>801</v>
      </c>
      <c r="D187" t="s">
        <v>632</v>
      </c>
      <c r="E187"/>
      <c r="F187"/>
      <c r="G187" s="61"/>
      <c r="H187" s="3"/>
      <c r="I187"/>
      <c r="M187"/>
      <c r="N187" s="45"/>
    </row>
    <row r="188" spans="1:14" s="15" customFormat="1">
      <c r="A188" s="66"/>
      <c r="B188" s="66"/>
      <c r="C188" s="47" t="s">
        <v>802</v>
      </c>
      <c r="D188" t="s">
        <v>632</v>
      </c>
      <c r="E188"/>
      <c r="F188"/>
      <c r="G188" s="61"/>
      <c r="H188" s="3"/>
      <c r="I188"/>
      <c r="M188"/>
      <c r="N188" s="45"/>
    </row>
    <row r="189" spans="1:14" s="15" customFormat="1">
      <c r="A189" s="66"/>
      <c r="B189" s="66"/>
      <c r="C189" s="47" t="s">
        <v>803</v>
      </c>
      <c r="D189" t="s">
        <v>632</v>
      </c>
      <c r="E189"/>
      <c r="F189"/>
      <c r="G189" s="61"/>
      <c r="H189" s="3"/>
      <c r="I189"/>
      <c r="M189"/>
      <c r="N189" s="45"/>
    </row>
    <row r="190" spans="1:14" s="15" customFormat="1">
      <c r="A190" s="66"/>
      <c r="B190" s="66"/>
      <c r="C190" s="47" t="s">
        <v>804</v>
      </c>
      <c r="D190" t="s">
        <v>632</v>
      </c>
      <c r="E190"/>
      <c r="F190"/>
      <c r="G190" s="61"/>
      <c r="H190" s="3"/>
      <c r="I190"/>
      <c r="M190"/>
      <c r="N190" s="45"/>
    </row>
    <row r="191" spans="1:14" s="15" customFormat="1">
      <c r="A191" s="66"/>
      <c r="B191" s="66"/>
      <c r="C191" s="47" t="s">
        <v>805</v>
      </c>
      <c r="D191" t="s">
        <v>632</v>
      </c>
      <c r="E191"/>
      <c r="F191"/>
      <c r="G191" s="61"/>
      <c r="H191" s="3"/>
      <c r="I191"/>
      <c r="M191"/>
      <c r="N191" s="45"/>
    </row>
    <row r="192" spans="1:14" s="15" customFormat="1">
      <c r="A192" s="66"/>
      <c r="B192" s="66"/>
      <c r="C192" s="47" t="s">
        <v>806</v>
      </c>
      <c r="D192" t="s">
        <v>632</v>
      </c>
      <c r="E192"/>
      <c r="F192"/>
      <c r="G192" s="61"/>
      <c r="H192" s="3"/>
      <c r="I192"/>
      <c r="M192"/>
      <c r="N192" s="45"/>
    </row>
    <row r="193" spans="1:14" s="15" customFormat="1">
      <c r="A193" s="66"/>
      <c r="B193" s="66"/>
      <c r="C193" s="47" t="s">
        <v>807</v>
      </c>
      <c r="D193" t="s">
        <v>632</v>
      </c>
      <c r="E193"/>
      <c r="F193"/>
      <c r="G193" s="61"/>
      <c r="H193" s="3"/>
      <c r="I193"/>
      <c r="M193"/>
      <c r="N193" s="45"/>
    </row>
    <row r="194" spans="1:14" s="15" customFormat="1">
      <c r="A194" s="66"/>
      <c r="B194" s="66"/>
      <c r="C194" s="47" t="s">
        <v>808</v>
      </c>
      <c r="D194" t="s">
        <v>632</v>
      </c>
      <c r="E194"/>
      <c r="F194"/>
      <c r="G194" s="61"/>
      <c r="H194" s="3"/>
      <c r="I194"/>
      <c r="M194"/>
      <c r="N194" s="45"/>
    </row>
    <row r="195" spans="1:14" s="15" customFormat="1">
      <c r="A195" s="66"/>
      <c r="B195" s="66"/>
      <c r="C195" s="47" t="s">
        <v>809</v>
      </c>
      <c r="D195" t="s">
        <v>632</v>
      </c>
      <c r="E195"/>
      <c r="F195"/>
      <c r="G195" s="61"/>
      <c r="H195" s="3"/>
      <c r="I195"/>
      <c r="M195"/>
      <c r="N195" s="45"/>
    </row>
    <row r="196" spans="1:14" s="15" customFormat="1">
      <c r="A196" s="66"/>
      <c r="B196" s="66"/>
      <c r="C196" s="47" t="s">
        <v>810</v>
      </c>
      <c r="D196" t="s">
        <v>632</v>
      </c>
      <c r="E196"/>
      <c r="F196"/>
      <c r="G196" s="61"/>
      <c r="H196" s="3"/>
      <c r="I196"/>
      <c r="M196"/>
      <c r="N196" s="45"/>
    </row>
    <row r="197" spans="1:14" s="15" customFormat="1">
      <c r="A197" s="66"/>
      <c r="B197" s="66"/>
      <c r="C197" s="47" t="s">
        <v>811</v>
      </c>
      <c r="D197" t="s">
        <v>632</v>
      </c>
      <c r="E197"/>
      <c r="F197"/>
      <c r="G197" s="61"/>
      <c r="H197" s="3"/>
      <c r="I197"/>
      <c r="M197"/>
      <c r="N197" s="45"/>
    </row>
    <row r="198" spans="1:14" s="15" customFormat="1">
      <c r="A198" s="66"/>
      <c r="B198" s="66"/>
      <c r="C198" s="47" t="s">
        <v>812</v>
      </c>
      <c r="D198" t="s">
        <v>632</v>
      </c>
      <c r="E198"/>
      <c r="F198"/>
      <c r="G198" s="61"/>
      <c r="H198" s="3"/>
      <c r="I198"/>
      <c r="M198"/>
      <c r="N198" s="45"/>
    </row>
    <row r="199" spans="1:14" s="15" customFormat="1">
      <c r="A199" s="66"/>
      <c r="B199" s="66"/>
      <c r="C199" s="47" t="s">
        <v>813</v>
      </c>
      <c r="D199" t="s">
        <v>632</v>
      </c>
      <c r="E199"/>
      <c r="F199"/>
      <c r="G199" s="61"/>
      <c r="H199" s="3"/>
      <c r="I199"/>
      <c r="M199"/>
      <c r="N199" s="45"/>
    </row>
    <row r="200" spans="1:14" s="15" customFormat="1">
      <c r="A200" s="66"/>
      <c r="B200" s="66"/>
      <c r="C200" s="47" t="s">
        <v>814</v>
      </c>
      <c r="D200" t="s">
        <v>632</v>
      </c>
      <c r="E200"/>
      <c r="F200"/>
      <c r="G200" s="61"/>
      <c r="H200" s="3"/>
      <c r="I200"/>
      <c r="M200"/>
      <c r="N200" s="45"/>
    </row>
    <row r="201" spans="1:14" s="15" customFormat="1">
      <c r="A201" s="66"/>
      <c r="B201" s="66"/>
      <c r="C201" s="47" t="s">
        <v>815</v>
      </c>
      <c r="D201" t="s">
        <v>632</v>
      </c>
      <c r="E201"/>
      <c r="F201"/>
      <c r="G201" s="61"/>
      <c r="H201" s="3"/>
      <c r="I201"/>
      <c r="M201"/>
      <c r="N201" s="45"/>
    </row>
    <row r="202" spans="1:14" s="15" customFormat="1">
      <c r="A202" s="66"/>
      <c r="B202" s="66"/>
      <c r="C202" s="47" t="s">
        <v>816</v>
      </c>
      <c r="D202" t="s">
        <v>632</v>
      </c>
      <c r="E202"/>
      <c r="F202"/>
      <c r="G202" s="61"/>
      <c r="H202" s="3"/>
      <c r="I202"/>
      <c r="M202"/>
      <c r="N202" s="45"/>
    </row>
    <row r="203" spans="1:14" s="15" customFormat="1">
      <c r="A203" s="66"/>
      <c r="B203" s="66"/>
      <c r="C203" s="47" t="s">
        <v>817</v>
      </c>
      <c r="D203" t="s">
        <v>632</v>
      </c>
      <c r="E203"/>
      <c r="F203"/>
      <c r="G203" s="61"/>
      <c r="H203" s="3"/>
      <c r="I203"/>
      <c r="M203"/>
      <c r="N203" s="45"/>
    </row>
    <row r="204" spans="1:14" s="15" customFormat="1">
      <c r="A204" s="66"/>
      <c r="B204" s="66"/>
      <c r="C204" s="47" t="s">
        <v>818</v>
      </c>
      <c r="D204" t="s">
        <v>632</v>
      </c>
      <c r="E204"/>
      <c r="F204"/>
      <c r="G204" s="61"/>
      <c r="H204" s="3"/>
      <c r="I204"/>
      <c r="M204"/>
      <c r="N204" s="45"/>
    </row>
    <row r="205" spans="1:14" s="15" customFormat="1">
      <c r="A205" s="66"/>
      <c r="B205" s="66"/>
      <c r="C205" s="47" t="s">
        <v>819</v>
      </c>
      <c r="D205" t="s">
        <v>632</v>
      </c>
      <c r="E205"/>
      <c r="F205"/>
      <c r="G205" s="61"/>
      <c r="H205" s="3"/>
      <c r="I205"/>
      <c r="M205"/>
      <c r="N205" s="45"/>
    </row>
    <row r="206" spans="1:14" s="15" customFormat="1">
      <c r="A206" s="66"/>
      <c r="B206" s="66"/>
      <c r="C206" s="47" t="s">
        <v>820</v>
      </c>
      <c r="D206" t="s">
        <v>632</v>
      </c>
      <c r="E206"/>
      <c r="F206"/>
      <c r="G206" s="61"/>
      <c r="H206" s="3"/>
      <c r="I206"/>
      <c r="M206"/>
      <c r="N206" s="45"/>
    </row>
    <row r="207" spans="1:14">
      <c r="A207" s="66"/>
      <c r="B207" s="66"/>
      <c r="C207" s="47" t="s">
        <v>821</v>
      </c>
      <c r="D207" t="s">
        <v>632</v>
      </c>
      <c r="F207"/>
      <c r="H207" s="3"/>
      <c r="I207"/>
      <c r="N207" s="45"/>
    </row>
    <row r="208" spans="1:14">
      <c r="A208" s="66"/>
      <c r="B208" s="66"/>
      <c r="C208" s="47" t="s">
        <v>822</v>
      </c>
      <c r="D208" t="s">
        <v>632</v>
      </c>
      <c r="F208"/>
      <c r="H208" s="3"/>
      <c r="I208"/>
      <c r="N208" s="45"/>
    </row>
    <row r="209" spans="1:14">
      <c r="A209" s="66"/>
      <c r="B209" s="66"/>
      <c r="C209" s="47" t="s">
        <v>823</v>
      </c>
      <c r="D209" t="s">
        <v>632</v>
      </c>
      <c r="F209"/>
      <c r="H209" s="3"/>
      <c r="I209"/>
      <c r="N209" s="45"/>
    </row>
    <row r="210" spans="1:14">
      <c r="A210" s="66"/>
      <c r="B210" s="66"/>
      <c r="C210" s="47" t="s">
        <v>824</v>
      </c>
      <c r="D210" t="s">
        <v>632</v>
      </c>
      <c r="F210"/>
      <c r="H210" s="3"/>
      <c r="I210"/>
      <c r="N210" s="45"/>
    </row>
    <row r="211" spans="1:14">
      <c r="A211" s="66"/>
      <c r="B211" s="66"/>
      <c r="C211" s="47" t="s">
        <v>825</v>
      </c>
      <c r="D211" t="s">
        <v>632</v>
      </c>
      <c r="F211"/>
      <c r="H211" s="3"/>
      <c r="I211"/>
      <c r="N211" s="45"/>
    </row>
    <row r="212" spans="1:14">
      <c r="A212" s="66"/>
      <c r="B212" s="66"/>
      <c r="C212" s="47" t="s">
        <v>826</v>
      </c>
      <c r="D212" t="s">
        <v>632</v>
      </c>
      <c r="F212"/>
      <c r="H212" s="3"/>
      <c r="I212"/>
      <c r="N212" s="45"/>
    </row>
    <row r="213" spans="1:14">
      <c r="A213" s="66"/>
      <c r="B213" s="66"/>
      <c r="C213" s="47" t="s">
        <v>827</v>
      </c>
      <c r="D213" t="s">
        <v>632</v>
      </c>
      <c r="F213"/>
      <c r="H213" s="3"/>
      <c r="I213"/>
      <c r="N213" s="45"/>
    </row>
    <row r="214" spans="1:14">
      <c r="A214" s="66"/>
      <c r="B214" s="66"/>
      <c r="C214" s="47" t="s">
        <v>828</v>
      </c>
      <c r="D214" t="s">
        <v>632</v>
      </c>
      <c r="F214"/>
      <c r="H214" s="3"/>
      <c r="I214"/>
      <c r="N214" s="45"/>
    </row>
    <row r="215" spans="1:14">
      <c r="A215" s="66"/>
      <c r="B215" s="66"/>
      <c r="C215" s="47" t="s">
        <v>829</v>
      </c>
      <c r="D215" t="s">
        <v>632</v>
      </c>
      <c r="F215"/>
      <c r="H215" s="3"/>
      <c r="I215"/>
      <c r="N215" s="45"/>
    </row>
    <row r="216" spans="1:14">
      <c r="A216" s="66"/>
      <c r="B216" s="66"/>
      <c r="C216" s="47" t="s">
        <v>830</v>
      </c>
      <c r="D216" t="s">
        <v>632</v>
      </c>
      <c r="F216"/>
      <c r="H216" s="3"/>
      <c r="I216"/>
      <c r="N216" s="45"/>
    </row>
    <row r="217" spans="1:14">
      <c r="A217" s="66"/>
      <c r="B217" s="66"/>
      <c r="C217" s="47" t="s">
        <v>831</v>
      </c>
      <c r="D217" t="s">
        <v>632</v>
      </c>
      <c r="F217"/>
      <c r="H217" s="3"/>
      <c r="I217"/>
      <c r="N217" s="45"/>
    </row>
    <row r="218" spans="1:14">
      <c r="A218" s="66"/>
      <c r="B218" s="66"/>
      <c r="C218" s="47" t="s">
        <v>832</v>
      </c>
      <c r="D218" t="s">
        <v>632</v>
      </c>
      <c r="F218"/>
      <c r="H218" s="3"/>
      <c r="I218"/>
      <c r="N218" s="45"/>
    </row>
    <row r="219" spans="1:14">
      <c r="A219" s="66"/>
      <c r="B219" s="66"/>
      <c r="C219" s="47" t="s">
        <v>833</v>
      </c>
      <c r="D219" t="s">
        <v>632</v>
      </c>
      <c r="F219"/>
      <c r="H219" s="3"/>
      <c r="I219"/>
      <c r="N219" s="45"/>
    </row>
    <row r="220" spans="1:14">
      <c r="A220" s="66"/>
      <c r="B220" s="66"/>
      <c r="C220" s="47" t="s">
        <v>834</v>
      </c>
      <c r="D220" t="s">
        <v>632</v>
      </c>
      <c r="F220"/>
      <c r="H220" s="3"/>
      <c r="I220"/>
      <c r="N220" s="45"/>
    </row>
    <row r="221" spans="1:14">
      <c r="A221" s="66"/>
      <c r="B221" s="66"/>
      <c r="C221" s="47" t="s">
        <v>835</v>
      </c>
      <c r="D221" t="s">
        <v>543</v>
      </c>
      <c r="F221">
        <v>1</v>
      </c>
      <c r="G221" s="61">
        <v>79.1875</v>
      </c>
      <c r="H221" s="3" t="s">
        <v>609</v>
      </c>
      <c r="I221" t="s">
        <v>545</v>
      </c>
      <c r="J221" s="15" t="s">
        <v>546</v>
      </c>
      <c r="K221" s="15" t="s">
        <v>547</v>
      </c>
      <c r="L221" s="15" t="s">
        <v>546</v>
      </c>
      <c r="N221" s="45"/>
    </row>
    <row r="222" spans="1:14">
      <c r="A222" s="66"/>
      <c r="B222" s="66"/>
      <c r="C222" s="47" t="s">
        <v>836</v>
      </c>
      <c r="D222" t="s">
        <v>569</v>
      </c>
      <c r="F222"/>
      <c r="H222" s="3" t="s">
        <v>609</v>
      </c>
      <c r="I222" t="s">
        <v>545</v>
      </c>
      <c r="K222" s="15" t="s">
        <v>547</v>
      </c>
      <c r="N222" s="45"/>
    </row>
    <row r="223" spans="1:14">
      <c r="A223" s="66"/>
      <c r="B223" s="66"/>
      <c r="C223" s="47" t="s">
        <v>837</v>
      </c>
      <c r="D223" t="s">
        <v>543</v>
      </c>
      <c r="F223">
        <v>1</v>
      </c>
      <c r="G223" s="61">
        <v>78.494699999999995</v>
      </c>
      <c r="H223" s="3">
        <v>0.85</v>
      </c>
      <c r="I223" t="s">
        <v>609</v>
      </c>
      <c r="J223" s="15" t="s">
        <v>546</v>
      </c>
      <c r="K223" s="15" t="s">
        <v>547</v>
      </c>
      <c r="L223" s="15" t="s">
        <v>546</v>
      </c>
      <c r="N223" s="45"/>
    </row>
    <row r="224" spans="1:14">
      <c r="A224" s="66"/>
      <c r="B224" s="66"/>
      <c r="C224" s="47" t="s">
        <v>838</v>
      </c>
      <c r="D224" t="s">
        <v>569</v>
      </c>
      <c r="F224"/>
      <c r="H224" s="3">
        <v>0.85</v>
      </c>
      <c r="I224" t="s">
        <v>609</v>
      </c>
      <c r="K224" s="15" t="s">
        <v>547</v>
      </c>
      <c r="N224" s="45"/>
    </row>
    <row r="225" spans="1:14">
      <c r="A225" s="64"/>
      <c r="B225" s="64"/>
      <c r="C225" s="48" t="s">
        <v>839</v>
      </c>
      <c r="D225" s="54" t="s">
        <v>561</v>
      </c>
      <c r="E225" s="54"/>
      <c r="F225" s="84">
        <v>1</v>
      </c>
      <c r="G225" s="85">
        <v>159.625</v>
      </c>
      <c r="H225" s="91">
        <v>0</v>
      </c>
      <c r="I225" s="54" t="s">
        <v>609</v>
      </c>
      <c r="J225" s="86"/>
      <c r="K225" s="86" t="s">
        <v>547</v>
      </c>
      <c r="L225" s="86"/>
      <c r="M225" s="54"/>
      <c r="N225" s="46"/>
    </row>
    <row r="226" spans="1:14">
      <c r="A226" s="63" t="s">
        <v>369</v>
      </c>
      <c r="B226" s="63" t="s">
        <v>369</v>
      </c>
      <c r="C226" s="13" t="s">
        <v>841</v>
      </c>
      <c r="D226" s="53" t="s">
        <v>639</v>
      </c>
      <c r="E226" s="53"/>
      <c r="F226" s="53"/>
      <c r="G226" s="82"/>
      <c r="H226" s="88" t="s">
        <v>842</v>
      </c>
      <c r="I226" s="53" t="s">
        <v>552</v>
      </c>
      <c r="J226" s="83"/>
      <c r="K226" s="83" t="s">
        <v>547</v>
      </c>
      <c r="L226" s="83"/>
      <c r="M226" s="53"/>
      <c r="N226" s="16"/>
    </row>
    <row r="227" spans="1:14">
      <c r="A227" s="66"/>
      <c r="B227" s="66"/>
      <c r="C227" s="47" t="s">
        <v>843</v>
      </c>
      <c r="D227" t="s">
        <v>543</v>
      </c>
      <c r="F227">
        <v>1</v>
      </c>
      <c r="G227" s="61">
        <v>73.101399999999998</v>
      </c>
      <c r="H227" s="3" t="s">
        <v>844</v>
      </c>
      <c r="I227" t="s">
        <v>545</v>
      </c>
      <c r="J227" s="15" t="s">
        <v>546</v>
      </c>
      <c r="K227" s="15" t="s">
        <v>547</v>
      </c>
      <c r="L227" s="15" t="s">
        <v>546</v>
      </c>
      <c r="N227" s="45"/>
    </row>
    <row r="228" spans="1:14">
      <c r="A228" s="66"/>
      <c r="B228" s="66"/>
      <c r="C228" s="47" t="s">
        <v>845</v>
      </c>
      <c r="D228" t="s">
        <v>569</v>
      </c>
      <c r="F228"/>
      <c r="H228" s="3" t="s">
        <v>844</v>
      </c>
      <c r="I228" t="s">
        <v>545</v>
      </c>
      <c r="K228" s="15" t="s">
        <v>547</v>
      </c>
      <c r="N228" s="45"/>
    </row>
    <row r="229" spans="1:14">
      <c r="A229" s="66"/>
      <c r="B229" s="66"/>
      <c r="C229" s="47" t="s">
        <v>846</v>
      </c>
      <c r="D229" t="s">
        <v>543</v>
      </c>
      <c r="F229">
        <v>1</v>
      </c>
      <c r="G229" s="61">
        <v>71.224900000000005</v>
      </c>
      <c r="H229" s="3" t="s">
        <v>847</v>
      </c>
      <c r="I229" t="s">
        <v>552</v>
      </c>
      <c r="J229" s="15" t="s">
        <v>546</v>
      </c>
      <c r="K229" s="15" t="s">
        <v>547</v>
      </c>
      <c r="L229" s="15" t="s">
        <v>546</v>
      </c>
      <c r="N229" s="45"/>
    </row>
    <row r="230" spans="1:14">
      <c r="A230" s="66"/>
      <c r="B230" s="66"/>
      <c r="C230" s="47" t="s">
        <v>848</v>
      </c>
      <c r="D230" t="s">
        <v>569</v>
      </c>
      <c r="F230"/>
      <c r="H230" s="3" t="s">
        <v>847</v>
      </c>
      <c r="I230" t="s">
        <v>552</v>
      </c>
      <c r="K230" s="15" t="s">
        <v>547</v>
      </c>
      <c r="N230" s="45"/>
    </row>
    <row r="231" spans="1:14">
      <c r="A231" s="66"/>
      <c r="B231" s="66"/>
      <c r="C231" s="47" t="s">
        <v>849</v>
      </c>
      <c r="D231" t="s">
        <v>543</v>
      </c>
      <c r="F231">
        <v>1</v>
      </c>
      <c r="G231" s="61">
        <v>72.438599999999994</v>
      </c>
      <c r="H231" s="3" t="s">
        <v>850</v>
      </c>
      <c r="I231" t="s">
        <v>620</v>
      </c>
      <c r="J231" s="15" t="s">
        <v>546</v>
      </c>
      <c r="K231" s="15" t="s">
        <v>547</v>
      </c>
      <c r="L231" s="15" t="s">
        <v>546</v>
      </c>
      <c r="N231" s="45"/>
    </row>
    <row r="232" spans="1:14">
      <c r="A232" s="66"/>
      <c r="B232" s="66"/>
      <c r="C232" s="47" t="s">
        <v>851</v>
      </c>
      <c r="D232" t="s">
        <v>569</v>
      </c>
      <c r="F232"/>
      <c r="H232" s="3" t="s">
        <v>850</v>
      </c>
      <c r="I232" t="s">
        <v>620</v>
      </c>
      <c r="K232" s="15" t="s">
        <v>547</v>
      </c>
      <c r="N232" s="45"/>
    </row>
    <row r="233" spans="1:14">
      <c r="A233" s="66"/>
      <c r="B233" s="66"/>
      <c r="C233" s="47" t="s">
        <v>852</v>
      </c>
      <c r="D233" t="s">
        <v>632</v>
      </c>
      <c r="F233"/>
      <c r="H233" s="3"/>
      <c r="I233"/>
      <c r="N233" s="45"/>
    </row>
    <row r="234" spans="1:14">
      <c r="A234" s="66"/>
      <c r="B234" s="66"/>
      <c r="C234" s="47" t="s">
        <v>853</v>
      </c>
      <c r="D234" t="s">
        <v>543</v>
      </c>
      <c r="F234">
        <v>1</v>
      </c>
      <c r="G234" s="61">
        <v>71.872900000000001</v>
      </c>
      <c r="H234" s="3" t="s">
        <v>850</v>
      </c>
      <c r="I234" t="s">
        <v>552</v>
      </c>
      <c r="J234" s="15" t="s">
        <v>546</v>
      </c>
      <c r="K234" s="15" t="s">
        <v>547</v>
      </c>
      <c r="L234" s="15" t="s">
        <v>546</v>
      </c>
      <c r="N234" s="45"/>
    </row>
    <row r="235" spans="1:14">
      <c r="A235" s="66"/>
      <c r="B235" s="66"/>
      <c r="C235" s="47" t="s">
        <v>854</v>
      </c>
      <c r="D235" t="s">
        <v>569</v>
      </c>
      <c r="F235"/>
      <c r="H235" s="3" t="s">
        <v>850</v>
      </c>
      <c r="I235" t="s">
        <v>552</v>
      </c>
      <c r="K235" s="15" t="s">
        <v>547</v>
      </c>
      <c r="N235" s="45"/>
    </row>
    <row r="236" spans="1:14">
      <c r="A236" s="64"/>
      <c r="B236" s="66"/>
      <c r="C236" s="47" t="s">
        <v>855</v>
      </c>
      <c r="D236" t="s">
        <v>632</v>
      </c>
      <c r="F236"/>
      <c r="H236" s="3"/>
      <c r="I236"/>
      <c r="N236" s="45"/>
    </row>
    <row r="237" spans="1:14">
      <c r="A237" s="52" t="s">
        <v>360</v>
      </c>
      <c r="B237" s="63" t="s">
        <v>367</v>
      </c>
      <c r="C237" s="53" t="s">
        <v>856</v>
      </c>
      <c r="D237" s="53" t="s">
        <v>561</v>
      </c>
      <c r="E237" s="53"/>
      <c r="F237" s="53">
        <v>1</v>
      </c>
      <c r="G237" s="82">
        <v>199.934</v>
      </c>
      <c r="H237" s="88">
        <v>0</v>
      </c>
      <c r="I237" s="53" t="s">
        <v>554</v>
      </c>
      <c r="J237" s="83"/>
      <c r="K237" s="83" t="s">
        <v>547</v>
      </c>
      <c r="L237" s="83"/>
      <c r="M237" s="53"/>
      <c r="N237" s="16"/>
    </row>
    <row r="238" spans="1:14">
      <c r="A238" s="52"/>
      <c r="B238" s="66"/>
      <c r="C238" t="s">
        <v>857</v>
      </c>
      <c r="D238"/>
      <c r="F238"/>
      <c r="H238" s="3"/>
      <c r="I238"/>
      <c r="N238" s="45"/>
    </row>
    <row r="239" spans="1:14">
      <c r="A239" s="52"/>
      <c r="B239" s="66"/>
      <c r="C239" t="s">
        <v>858</v>
      </c>
      <c r="D239"/>
      <c r="F239"/>
      <c r="H239" s="3"/>
      <c r="I239"/>
      <c r="N239" s="45"/>
    </row>
    <row r="240" spans="1:14">
      <c r="A240" s="52"/>
      <c r="B240" s="66"/>
      <c r="C240" t="s">
        <v>859</v>
      </c>
      <c r="D240" t="s">
        <v>561</v>
      </c>
      <c r="F240" s="1">
        <v>1</v>
      </c>
      <c r="G240" s="61">
        <v>92.910899999999998</v>
      </c>
      <c r="H240" s="3">
        <v>-0.1</v>
      </c>
      <c r="I240" t="s">
        <v>554</v>
      </c>
      <c r="K240" s="15" t="s">
        <v>547</v>
      </c>
      <c r="N240" s="45"/>
    </row>
    <row r="241" spans="1:14">
      <c r="A241" s="52"/>
      <c r="B241" s="66"/>
      <c r="C241" t="s">
        <v>860</v>
      </c>
      <c r="D241" t="s">
        <v>561</v>
      </c>
      <c r="F241" s="1">
        <v>1</v>
      </c>
      <c r="G241" s="61">
        <v>60.077300000000001</v>
      </c>
      <c r="H241" s="3" t="s">
        <v>554</v>
      </c>
      <c r="I241" t="s">
        <v>547</v>
      </c>
      <c r="K241" s="15" t="s">
        <v>547</v>
      </c>
      <c r="N241" s="45"/>
    </row>
    <row r="242" spans="1:14">
      <c r="A242" s="52"/>
      <c r="B242" s="66"/>
      <c r="C242" t="s">
        <v>861</v>
      </c>
      <c r="D242" t="s">
        <v>543</v>
      </c>
      <c r="F242" s="1">
        <v>4</v>
      </c>
      <c r="G242" s="61">
        <v>174.477</v>
      </c>
      <c r="H242" s="3" t="s">
        <v>862</v>
      </c>
      <c r="I242" t="s">
        <v>545</v>
      </c>
      <c r="J242" s="15" t="s">
        <v>546</v>
      </c>
      <c r="K242" s="15" t="s">
        <v>547</v>
      </c>
      <c r="L242" s="15" t="s">
        <v>546</v>
      </c>
      <c r="N242" s="45"/>
    </row>
    <row r="243" spans="1:14">
      <c r="A243" s="52"/>
      <c r="B243" s="66"/>
      <c r="C243" t="s">
        <v>579</v>
      </c>
      <c r="D243" t="s">
        <v>569</v>
      </c>
      <c r="F243"/>
      <c r="H243" s="3" t="s">
        <v>554</v>
      </c>
      <c r="I243" t="s">
        <v>545</v>
      </c>
      <c r="K243" s="15" t="s">
        <v>547</v>
      </c>
      <c r="N243" s="45"/>
    </row>
    <row r="244" spans="1:14">
      <c r="A244" s="52"/>
      <c r="B244" s="66"/>
      <c r="C244" t="s">
        <v>863</v>
      </c>
      <c r="D244" t="s">
        <v>569</v>
      </c>
      <c r="F244"/>
      <c r="H244" s="3" t="s">
        <v>864</v>
      </c>
      <c r="I244" t="s">
        <v>545</v>
      </c>
      <c r="K244" s="15" t="s">
        <v>547</v>
      </c>
      <c r="N244" s="45"/>
    </row>
    <row r="245" spans="1:14">
      <c r="A245" s="52"/>
      <c r="B245" s="66"/>
      <c r="C245" t="s">
        <v>865</v>
      </c>
      <c r="D245" t="s">
        <v>543</v>
      </c>
      <c r="F245" s="1">
        <v>2</v>
      </c>
      <c r="G245" s="61">
        <v>167.572</v>
      </c>
      <c r="H245" s="3" t="s">
        <v>866</v>
      </c>
      <c r="I245" t="s">
        <v>554</v>
      </c>
      <c r="J245" s="15" t="s">
        <v>546</v>
      </c>
      <c r="K245" s="15" t="s">
        <v>547</v>
      </c>
      <c r="L245" s="15" t="s">
        <v>546</v>
      </c>
      <c r="N245" s="45"/>
    </row>
    <row r="246" spans="1:14">
      <c r="A246" s="52"/>
      <c r="B246" s="66"/>
      <c r="C246" t="s">
        <v>867</v>
      </c>
      <c r="D246" t="s">
        <v>569</v>
      </c>
      <c r="F246"/>
      <c r="H246" s="3">
        <v>1.1000000000000001</v>
      </c>
      <c r="I246" t="s">
        <v>554</v>
      </c>
      <c r="K246" s="15" t="s">
        <v>547</v>
      </c>
      <c r="N246" s="45"/>
    </row>
    <row r="247" spans="1:14">
      <c r="A247" s="52"/>
      <c r="B247" s="66"/>
      <c r="C247" t="s">
        <v>868</v>
      </c>
      <c r="D247" t="s">
        <v>569</v>
      </c>
      <c r="F247"/>
      <c r="H247" s="3">
        <v>1</v>
      </c>
      <c r="I247" t="s">
        <v>554</v>
      </c>
      <c r="K247" s="15" t="s">
        <v>547</v>
      </c>
      <c r="N247" s="45"/>
    </row>
    <row r="248" spans="1:14">
      <c r="A248" s="52"/>
      <c r="B248" s="66"/>
      <c r="C248" t="s">
        <v>869</v>
      </c>
      <c r="D248" t="s">
        <v>543</v>
      </c>
      <c r="F248" s="1">
        <v>2</v>
      </c>
      <c r="G248" s="61">
        <v>169.511</v>
      </c>
      <c r="H248" s="3" t="s">
        <v>870</v>
      </c>
      <c r="I248" t="s">
        <v>554</v>
      </c>
      <c r="J248" s="15" t="s">
        <v>546</v>
      </c>
      <c r="K248" s="15" t="s">
        <v>547</v>
      </c>
      <c r="L248" s="15" t="s">
        <v>546</v>
      </c>
      <c r="N248" s="45"/>
    </row>
    <row r="249" spans="1:14">
      <c r="A249" s="52"/>
      <c r="B249" s="66"/>
      <c r="C249" t="s">
        <v>871</v>
      </c>
      <c r="D249" t="s">
        <v>569</v>
      </c>
      <c r="F249"/>
      <c r="H249" s="3">
        <v>0.65</v>
      </c>
      <c r="I249" t="s">
        <v>554</v>
      </c>
      <c r="K249" s="15" t="s">
        <v>547</v>
      </c>
      <c r="N249" s="45"/>
    </row>
    <row r="250" spans="1:14">
      <c r="A250" s="52"/>
      <c r="B250" s="66"/>
      <c r="C250" t="s">
        <v>872</v>
      </c>
      <c r="D250" t="s">
        <v>569</v>
      </c>
      <c r="F250"/>
      <c r="H250" s="3">
        <v>0.55000000000000004</v>
      </c>
      <c r="I250" t="s">
        <v>554</v>
      </c>
      <c r="K250" s="15" t="s">
        <v>547</v>
      </c>
      <c r="N250" s="45"/>
    </row>
    <row r="251" spans="1:14">
      <c r="A251" s="52"/>
      <c r="B251" s="66"/>
      <c r="C251" t="s">
        <v>873</v>
      </c>
      <c r="D251" t="s">
        <v>543</v>
      </c>
      <c r="F251" s="1">
        <v>2</v>
      </c>
      <c r="G251" s="61">
        <v>167.82900000000001</v>
      </c>
      <c r="H251" s="3" t="s">
        <v>866</v>
      </c>
      <c r="I251" t="s">
        <v>552</v>
      </c>
      <c r="J251" s="15" t="s">
        <v>546</v>
      </c>
      <c r="K251" s="15" t="s">
        <v>547</v>
      </c>
      <c r="L251" s="15" t="s">
        <v>546</v>
      </c>
      <c r="N251" s="45"/>
    </row>
    <row r="252" spans="1:14">
      <c r="A252" s="52"/>
      <c r="B252" s="66"/>
      <c r="C252" t="s">
        <v>874</v>
      </c>
      <c r="D252" t="s">
        <v>569</v>
      </c>
      <c r="F252"/>
      <c r="H252" s="3">
        <v>1.1000000000000001</v>
      </c>
      <c r="I252" t="s">
        <v>552</v>
      </c>
      <c r="K252" s="15" t="s">
        <v>547</v>
      </c>
      <c r="N252" s="45"/>
    </row>
    <row r="253" spans="1:14">
      <c r="A253" s="52"/>
      <c r="B253" s="66"/>
      <c r="C253" t="s">
        <v>875</v>
      </c>
      <c r="D253" t="s">
        <v>569</v>
      </c>
      <c r="F253"/>
      <c r="H253" s="3">
        <v>1</v>
      </c>
      <c r="I253" t="s">
        <v>552</v>
      </c>
      <c r="K253" s="15" t="s">
        <v>547</v>
      </c>
      <c r="N253" s="45"/>
    </row>
    <row r="254" spans="1:14">
      <c r="A254" s="52"/>
      <c r="B254" s="66"/>
      <c r="C254" t="s">
        <v>876</v>
      </c>
      <c r="D254" t="s">
        <v>632</v>
      </c>
      <c r="F254"/>
      <c r="H254" s="3"/>
      <c r="I254"/>
      <c r="N254" s="45"/>
    </row>
    <row r="255" spans="1:14">
      <c r="A255" s="52"/>
      <c r="B255" s="66"/>
      <c r="C255" t="s">
        <v>877</v>
      </c>
      <c r="D255" t="s">
        <v>632</v>
      </c>
      <c r="F255"/>
      <c r="H255" s="3"/>
      <c r="I255"/>
      <c r="N255" s="45"/>
    </row>
    <row r="256" spans="1:14">
      <c r="A256" s="52"/>
      <c r="B256" s="66"/>
      <c r="C256" t="s">
        <v>878</v>
      </c>
      <c r="D256" t="s">
        <v>543</v>
      </c>
      <c r="F256">
        <f>1.05/0.01+1</f>
        <v>106</v>
      </c>
      <c r="G256" s="61">
        <v>4134.37</v>
      </c>
      <c r="H256" s="3" t="s">
        <v>842</v>
      </c>
      <c r="I256" t="s">
        <v>554</v>
      </c>
      <c r="J256" s="15" t="s">
        <v>546</v>
      </c>
      <c r="K256" s="15" t="s">
        <v>547</v>
      </c>
      <c r="L256" s="15" t="s">
        <v>546</v>
      </c>
      <c r="N256" s="45"/>
    </row>
    <row r="257" spans="1:14">
      <c r="A257" s="52"/>
      <c r="B257" s="66"/>
      <c r="C257" t="s">
        <v>879</v>
      </c>
      <c r="D257" t="s">
        <v>639</v>
      </c>
      <c r="F257"/>
      <c r="H257" s="3"/>
      <c r="I257"/>
      <c r="N257" s="45"/>
    </row>
    <row r="258" spans="1:14">
      <c r="A258" s="52"/>
      <c r="B258" s="66"/>
      <c r="C258" t="s">
        <v>880</v>
      </c>
      <c r="D258" t="s">
        <v>639</v>
      </c>
      <c r="F258"/>
      <c r="H258" s="3" t="s">
        <v>842</v>
      </c>
      <c r="I258" t="s">
        <v>554</v>
      </c>
      <c r="K258" s="15" t="s">
        <v>547</v>
      </c>
      <c r="N258" s="45"/>
    </row>
    <row r="259" spans="1:14">
      <c r="A259" s="52"/>
      <c r="B259" s="66"/>
      <c r="C259" t="s">
        <v>881</v>
      </c>
      <c r="D259" t="s">
        <v>639</v>
      </c>
      <c r="F259"/>
      <c r="H259" s="3" t="s">
        <v>842</v>
      </c>
      <c r="I259" t="s">
        <v>554</v>
      </c>
      <c r="K259" s="15" t="s">
        <v>547</v>
      </c>
      <c r="N259" s="45"/>
    </row>
    <row r="260" spans="1:14">
      <c r="A260" s="52"/>
      <c r="B260" s="66"/>
      <c r="C260" t="s">
        <v>882</v>
      </c>
      <c r="D260" t="s">
        <v>632</v>
      </c>
      <c r="F260"/>
      <c r="H260" s="3"/>
      <c r="I260"/>
      <c r="N260" s="45"/>
    </row>
    <row r="261" spans="1:14">
      <c r="A261" s="52"/>
      <c r="B261" s="66"/>
      <c r="C261" t="s">
        <v>883</v>
      </c>
      <c r="D261" t="s">
        <v>632</v>
      </c>
      <c r="F261"/>
      <c r="H261" s="3"/>
      <c r="I261"/>
      <c r="N261" s="45"/>
    </row>
    <row r="262" spans="1:14">
      <c r="A262" s="52"/>
      <c r="B262" s="66"/>
      <c r="C262" t="s">
        <v>884</v>
      </c>
      <c r="D262" t="s">
        <v>632</v>
      </c>
      <c r="F262"/>
      <c r="H262" s="3"/>
      <c r="I262"/>
      <c r="N262" s="45"/>
    </row>
    <row r="263" spans="1:14">
      <c r="A263" s="52"/>
      <c r="B263" s="66"/>
      <c r="C263" t="s">
        <v>885</v>
      </c>
      <c r="D263" t="s">
        <v>543</v>
      </c>
      <c r="F263" s="1">
        <v>2</v>
      </c>
      <c r="G263" s="61">
        <v>103.395</v>
      </c>
      <c r="H263" s="3" t="s">
        <v>886</v>
      </c>
      <c r="I263" t="s">
        <v>554</v>
      </c>
      <c r="J263" s="15" t="s">
        <v>546</v>
      </c>
      <c r="K263" s="15" t="s">
        <v>547</v>
      </c>
      <c r="L263" s="15" t="s">
        <v>546</v>
      </c>
      <c r="N263" s="45"/>
    </row>
    <row r="264" spans="1:14">
      <c r="A264" s="52"/>
      <c r="B264" s="66"/>
      <c r="C264" t="s">
        <v>887</v>
      </c>
      <c r="D264" t="s">
        <v>543</v>
      </c>
      <c r="F264" s="1">
        <v>2</v>
      </c>
      <c r="G264" s="61">
        <v>105.57</v>
      </c>
      <c r="H264" s="3" t="s">
        <v>888</v>
      </c>
      <c r="I264" t="s">
        <v>554</v>
      </c>
      <c r="J264" s="15" t="s">
        <v>546</v>
      </c>
      <c r="K264" s="15" t="s">
        <v>547</v>
      </c>
      <c r="L264" s="15" t="s">
        <v>546</v>
      </c>
      <c r="N264" s="45"/>
    </row>
    <row r="265" spans="1:14">
      <c r="A265" s="52"/>
      <c r="B265" s="66"/>
      <c r="C265" t="s">
        <v>889</v>
      </c>
      <c r="D265" t="s">
        <v>569</v>
      </c>
      <c r="F265"/>
      <c r="H265" s="3" t="s">
        <v>890</v>
      </c>
      <c r="I265" t="s">
        <v>554</v>
      </c>
      <c r="K265" s="15" t="s">
        <v>547</v>
      </c>
      <c r="N265" s="45"/>
    </row>
    <row r="266" spans="1:14">
      <c r="A266" s="52"/>
      <c r="B266" s="66"/>
      <c r="C266" t="s">
        <v>891</v>
      </c>
      <c r="D266" t="s">
        <v>569</v>
      </c>
      <c r="F266"/>
      <c r="H266" s="3" t="s">
        <v>892</v>
      </c>
      <c r="I266" t="s">
        <v>554</v>
      </c>
      <c r="K266" s="15" t="s">
        <v>547</v>
      </c>
      <c r="N266" s="45"/>
    </row>
    <row r="267" spans="1:14">
      <c r="A267" s="52"/>
      <c r="B267" s="66"/>
      <c r="C267" t="s">
        <v>893</v>
      </c>
      <c r="D267" t="s">
        <v>569</v>
      </c>
      <c r="F267"/>
      <c r="H267" s="3" t="s">
        <v>894</v>
      </c>
      <c r="I267" t="s">
        <v>554</v>
      </c>
      <c r="K267" s="15" t="s">
        <v>547</v>
      </c>
      <c r="N267" s="45"/>
    </row>
    <row r="268" spans="1:14">
      <c r="A268" s="52"/>
      <c r="B268" s="66"/>
      <c r="C268" t="s">
        <v>895</v>
      </c>
      <c r="D268" t="s">
        <v>569</v>
      </c>
      <c r="F268"/>
      <c r="H268" s="3" t="s">
        <v>896</v>
      </c>
      <c r="I268" t="s">
        <v>554</v>
      </c>
      <c r="K268" s="15" t="s">
        <v>547</v>
      </c>
      <c r="N268" s="45"/>
    </row>
    <row r="269" spans="1:14">
      <c r="A269" s="52"/>
      <c r="B269" s="66"/>
      <c r="C269" t="s">
        <v>897</v>
      </c>
      <c r="D269" t="s">
        <v>585</v>
      </c>
      <c r="F269"/>
      <c r="H269" s="3" t="s">
        <v>842</v>
      </c>
      <c r="I269" t="s">
        <v>554</v>
      </c>
      <c r="K269" s="15" t="s">
        <v>547</v>
      </c>
      <c r="N269" s="45"/>
    </row>
    <row r="270" spans="1:14">
      <c r="A270" s="52"/>
      <c r="B270" s="66"/>
      <c r="C270" t="s">
        <v>898</v>
      </c>
      <c r="D270"/>
      <c r="F270"/>
      <c r="H270" s="3"/>
      <c r="I270"/>
      <c r="N270" s="45"/>
    </row>
    <row r="271" spans="1:14">
      <c r="A271" s="52"/>
      <c r="B271" s="64"/>
      <c r="C271" s="54" t="s">
        <v>899</v>
      </c>
      <c r="D271" s="54" t="s">
        <v>569</v>
      </c>
      <c r="E271" s="54"/>
      <c r="F271" s="54"/>
      <c r="G271" s="85"/>
      <c r="H271" s="91"/>
      <c r="I271" s="54"/>
      <c r="J271" s="86"/>
      <c r="K271" s="86"/>
      <c r="L271" s="86"/>
      <c r="M271" s="54"/>
      <c r="N271" s="46"/>
    </row>
    <row r="272" spans="1:14">
      <c r="A272" s="63" t="s">
        <v>370</v>
      </c>
      <c r="B272" s="63" t="s">
        <v>370</v>
      </c>
      <c r="C272" s="13" t="s">
        <v>900</v>
      </c>
      <c r="D272" s="53" t="s">
        <v>543</v>
      </c>
      <c r="E272" s="53"/>
      <c r="F272" s="53">
        <v>1</v>
      </c>
      <c r="G272" s="82">
        <v>73.277100000000004</v>
      </c>
      <c r="H272" s="88" t="s">
        <v>901</v>
      </c>
      <c r="I272" s="53" t="s">
        <v>545</v>
      </c>
      <c r="J272" s="83" t="s">
        <v>546</v>
      </c>
      <c r="K272" s="83" t="s">
        <v>547</v>
      </c>
      <c r="L272" s="83" t="s">
        <v>546</v>
      </c>
      <c r="M272" s="53"/>
      <c r="N272" s="16"/>
    </row>
    <row r="273" spans="1:14">
      <c r="A273" s="66"/>
      <c r="B273" s="66"/>
      <c r="C273" s="47" t="s">
        <v>902</v>
      </c>
      <c r="D273" t="s">
        <v>569</v>
      </c>
      <c r="F273"/>
      <c r="H273" s="3" t="s">
        <v>901</v>
      </c>
      <c r="I273" t="s">
        <v>545</v>
      </c>
      <c r="K273" s="15" t="s">
        <v>547</v>
      </c>
      <c r="N273" s="45"/>
    </row>
    <row r="274" spans="1:14">
      <c r="A274" s="66"/>
      <c r="B274" s="66"/>
      <c r="C274" s="47" t="s">
        <v>903</v>
      </c>
      <c r="D274" t="s">
        <v>543</v>
      </c>
      <c r="F274">
        <v>1</v>
      </c>
      <c r="G274" s="61">
        <v>71.831599999999995</v>
      </c>
      <c r="H274" s="3" t="s">
        <v>850</v>
      </c>
      <c r="I274" t="s">
        <v>554</v>
      </c>
      <c r="J274" s="15" t="s">
        <v>546</v>
      </c>
      <c r="K274" s="15" t="s">
        <v>547</v>
      </c>
      <c r="L274" s="15" t="s">
        <v>546</v>
      </c>
      <c r="N274" s="45"/>
    </row>
    <row r="275" spans="1:14">
      <c r="A275" s="66"/>
      <c r="B275" s="66"/>
      <c r="C275" s="47" t="s">
        <v>904</v>
      </c>
      <c r="D275" t="s">
        <v>569</v>
      </c>
      <c r="F275"/>
      <c r="H275" s="3" t="s">
        <v>850</v>
      </c>
      <c r="I275" t="s">
        <v>554</v>
      </c>
      <c r="K275" s="15" t="s">
        <v>547</v>
      </c>
      <c r="N275" s="45"/>
    </row>
    <row r="276" spans="1:14">
      <c r="A276" s="66"/>
      <c r="B276" s="66"/>
      <c r="C276" s="47" t="s">
        <v>905</v>
      </c>
      <c r="D276" t="s">
        <v>543</v>
      </c>
      <c r="F276">
        <v>1</v>
      </c>
      <c r="G276" s="61">
        <v>71.896799999999999</v>
      </c>
      <c r="H276" s="3" t="s">
        <v>906</v>
      </c>
      <c r="I276" t="s">
        <v>552</v>
      </c>
      <c r="J276" s="15" t="s">
        <v>546</v>
      </c>
      <c r="K276" s="15" t="s">
        <v>547</v>
      </c>
      <c r="L276" s="15" t="s">
        <v>546</v>
      </c>
      <c r="N276" s="45"/>
    </row>
    <row r="277" spans="1:14">
      <c r="A277" s="66"/>
      <c r="B277" s="66"/>
      <c r="C277" s="47" t="s">
        <v>907</v>
      </c>
      <c r="D277" t="s">
        <v>569</v>
      </c>
      <c r="F277"/>
      <c r="H277" s="3" t="s">
        <v>906</v>
      </c>
      <c r="I277" t="s">
        <v>552</v>
      </c>
      <c r="K277" s="15" t="s">
        <v>547</v>
      </c>
      <c r="N277" s="45"/>
    </row>
    <row r="278" spans="1:14">
      <c r="A278" s="66"/>
      <c r="B278" s="66"/>
      <c r="C278" s="47" t="s">
        <v>908</v>
      </c>
      <c r="D278" t="s">
        <v>632</v>
      </c>
      <c r="F278"/>
      <c r="H278" s="3"/>
      <c r="I278"/>
      <c r="N278" s="45"/>
    </row>
    <row r="279" spans="1:14">
      <c r="A279" s="66"/>
      <c r="B279" s="66"/>
      <c r="C279" s="47" t="s">
        <v>909</v>
      </c>
      <c r="D279" t="s">
        <v>543</v>
      </c>
      <c r="F279">
        <v>1</v>
      </c>
      <c r="G279" s="61">
        <v>71.729200000000006</v>
      </c>
      <c r="H279" s="3" t="s">
        <v>906</v>
      </c>
      <c r="I279" t="s">
        <v>554</v>
      </c>
      <c r="J279" s="15" t="s">
        <v>546</v>
      </c>
      <c r="K279" s="15" t="s">
        <v>547</v>
      </c>
      <c r="L279" s="15" t="s">
        <v>546</v>
      </c>
      <c r="N279" s="45"/>
    </row>
    <row r="280" spans="1:14">
      <c r="A280" s="64"/>
      <c r="B280" s="64"/>
      <c r="C280" s="48" t="s">
        <v>910</v>
      </c>
      <c r="D280" s="54" t="s">
        <v>569</v>
      </c>
      <c r="E280" s="54"/>
      <c r="F280" s="54"/>
      <c r="G280" s="85"/>
      <c r="H280" s="91" t="s">
        <v>906</v>
      </c>
      <c r="I280" s="54" t="s">
        <v>554</v>
      </c>
      <c r="J280" s="86"/>
      <c r="K280" s="86" t="s">
        <v>547</v>
      </c>
      <c r="L280" s="86"/>
      <c r="M280" s="54"/>
      <c r="N280" s="46"/>
    </row>
    <row r="282" spans="1:14">
      <c r="A282" s="87"/>
      <c r="B282" s="63" t="s">
        <v>911</v>
      </c>
      <c r="C282" s="53" t="s">
        <v>856</v>
      </c>
      <c r="D282" s="53" t="s">
        <v>561</v>
      </c>
      <c r="E282" s="53"/>
      <c r="F282" s="53">
        <v>1</v>
      </c>
      <c r="G282" s="82">
        <v>199.934</v>
      </c>
      <c r="H282" s="88">
        <v>0</v>
      </c>
      <c r="I282" s="53" t="s">
        <v>554</v>
      </c>
      <c r="J282" s="83"/>
      <c r="K282" s="83" t="s">
        <v>547</v>
      </c>
      <c r="L282" s="83"/>
      <c r="M282" s="53"/>
      <c r="N282" s="16"/>
    </row>
    <row r="283" spans="1:14">
      <c r="A283" s="52"/>
      <c r="B283" s="66"/>
      <c r="C283" t="s">
        <v>857</v>
      </c>
      <c r="D283"/>
      <c r="F283"/>
      <c r="H283" s="3"/>
      <c r="I283"/>
      <c r="N283" s="45"/>
    </row>
    <row r="284" spans="1:14">
      <c r="A284" s="52"/>
      <c r="B284" s="66"/>
      <c r="C284" t="s">
        <v>858</v>
      </c>
      <c r="D284"/>
      <c r="F284"/>
      <c r="H284" s="3"/>
      <c r="I284"/>
      <c r="N284" s="45"/>
    </row>
    <row r="285" spans="1:14">
      <c r="A285" s="52"/>
      <c r="B285" s="66"/>
      <c r="C285" t="s">
        <v>859</v>
      </c>
      <c r="D285" t="s">
        <v>561</v>
      </c>
      <c r="F285" s="1">
        <v>1</v>
      </c>
      <c r="G285" s="61">
        <v>92.910899999999998</v>
      </c>
      <c r="H285" s="3">
        <v>-0.1</v>
      </c>
      <c r="I285" t="s">
        <v>554</v>
      </c>
      <c r="K285" s="15" t="s">
        <v>547</v>
      </c>
      <c r="N285" s="45"/>
    </row>
    <row r="286" spans="1:14">
      <c r="A286" s="52"/>
      <c r="B286" s="66"/>
      <c r="C286" t="s">
        <v>860</v>
      </c>
      <c r="D286" t="s">
        <v>561</v>
      </c>
      <c r="F286" s="1">
        <v>1</v>
      </c>
      <c r="G286" s="61">
        <v>60.077300000000001</v>
      </c>
      <c r="H286" s="3" t="s">
        <v>554</v>
      </c>
      <c r="I286" t="s">
        <v>547</v>
      </c>
      <c r="K286" s="15" t="s">
        <v>547</v>
      </c>
      <c r="N286" s="45"/>
    </row>
    <row r="287" spans="1:14">
      <c r="A287" s="52"/>
      <c r="B287" s="66"/>
      <c r="C287" t="s">
        <v>861</v>
      </c>
      <c r="D287" t="s">
        <v>543</v>
      </c>
      <c r="F287" s="1">
        <v>4</v>
      </c>
      <c r="G287" s="61">
        <v>174.477</v>
      </c>
      <c r="H287" s="3" t="s">
        <v>862</v>
      </c>
      <c r="I287" t="s">
        <v>545</v>
      </c>
      <c r="J287" s="15" t="s">
        <v>546</v>
      </c>
      <c r="K287" s="15" t="s">
        <v>547</v>
      </c>
      <c r="L287" s="15" t="s">
        <v>546</v>
      </c>
      <c r="N287" s="45"/>
    </row>
    <row r="288" spans="1:14">
      <c r="A288" s="52"/>
      <c r="B288" s="66"/>
      <c r="C288" t="s">
        <v>579</v>
      </c>
      <c r="D288" t="s">
        <v>569</v>
      </c>
      <c r="F288"/>
      <c r="H288" s="3" t="s">
        <v>554</v>
      </c>
      <c r="I288" t="s">
        <v>545</v>
      </c>
      <c r="K288" s="15" t="s">
        <v>547</v>
      </c>
      <c r="N288" s="45"/>
    </row>
    <row r="289" spans="1:14">
      <c r="A289" s="52"/>
      <c r="B289" s="66"/>
      <c r="C289" t="s">
        <v>863</v>
      </c>
      <c r="D289" t="s">
        <v>569</v>
      </c>
      <c r="F289"/>
      <c r="H289" s="3" t="s">
        <v>864</v>
      </c>
      <c r="I289" t="s">
        <v>545</v>
      </c>
      <c r="K289" s="15" t="s">
        <v>547</v>
      </c>
      <c r="N289" s="45"/>
    </row>
    <row r="290" spans="1:14">
      <c r="A290" s="52"/>
      <c r="B290" s="66"/>
      <c r="C290" t="s">
        <v>865</v>
      </c>
      <c r="D290" t="s">
        <v>543</v>
      </c>
      <c r="F290" s="1">
        <v>2</v>
      </c>
      <c r="G290" s="61">
        <v>167.572</v>
      </c>
      <c r="H290" s="3" t="s">
        <v>866</v>
      </c>
      <c r="I290" t="s">
        <v>554</v>
      </c>
      <c r="J290" s="15" t="s">
        <v>546</v>
      </c>
      <c r="K290" s="15" t="s">
        <v>547</v>
      </c>
      <c r="L290" s="15" t="s">
        <v>546</v>
      </c>
      <c r="N290" s="45"/>
    </row>
    <row r="291" spans="1:14">
      <c r="A291" s="52"/>
      <c r="B291" s="66"/>
      <c r="C291" t="s">
        <v>867</v>
      </c>
      <c r="D291" t="s">
        <v>569</v>
      </c>
      <c r="F291"/>
      <c r="H291" s="3">
        <v>1.1000000000000001</v>
      </c>
      <c r="I291" t="s">
        <v>554</v>
      </c>
      <c r="K291" s="15" t="s">
        <v>547</v>
      </c>
      <c r="N291" s="45"/>
    </row>
    <row r="292" spans="1:14">
      <c r="A292" s="52"/>
      <c r="B292" s="66"/>
      <c r="C292" t="s">
        <v>868</v>
      </c>
      <c r="D292" t="s">
        <v>569</v>
      </c>
      <c r="F292"/>
      <c r="H292" s="3">
        <v>1</v>
      </c>
      <c r="I292" t="s">
        <v>554</v>
      </c>
      <c r="K292" s="15" t="s">
        <v>547</v>
      </c>
      <c r="N292" s="45"/>
    </row>
    <row r="293" spans="1:14">
      <c r="A293" s="52"/>
      <c r="B293" s="66"/>
      <c r="C293" t="s">
        <v>869</v>
      </c>
      <c r="D293" t="s">
        <v>543</v>
      </c>
      <c r="F293" s="1">
        <v>2</v>
      </c>
      <c r="G293" s="61">
        <v>169.511</v>
      </c>
      <c r="H293" s="3" t="s">
        <v>870</v>
      </c>
      <c r="I293" t="s">
        <v>554</v>
      </c>
      <c r="J293" s="15" t="s">
        <v>546</v>
      </c>
      <c r="K293" s="15" t="s">
        <v>547</v>
      </c>
      <c r="L293" s="15" t="s">
        <v>546</v>
      </c>
      <c r="N293" s="45"/>
    </row>
    <row r="294" spans="1:14">
      <c r="A294" s="52"/>
      <c r="B294" s="66"/>
      <c r="C294" t="s">
        <v>871</v>
      </c>
      <c r="D294" t="s">
        <v>569</v>
      </c>
      <c r="F294"/>
      <c r="H294" s="3">
        <v>0.65</v>
      </c>
      <c r="I294" t="s">
        <v>554</v>
      </c>
      <c r="K294" s="15" t="s">
        <v>547</v>
      </c>
      <c r="N294" s="45"/>
    </row>
    <row r="295" spans="1:14">
      <c r="A295" s="52"/>
      <c r="B295" s="66"/>
      <c r="C295" t="s">
        <v>872</v>
      </c>
      <c r="D295" t="s">
        <v>569</v>
      </c>
      <c r="F295"/>
      <c r="H295" s="3">
        <v>0.55000000000000004</v>
      </c>
      <c r="I295" t="s">
        <v>554</v>
      </c>
      <c r="K295" s="15" t="s">
        <v>547</v>
      </c>
      <c r="N295" s="45"/>
    </row>
    <row r="296" spans="1:14">
      <c r="A296" s="52"/>
      <c r="B296" s="66"/>
      <c r="C296" t="s">
        <v>873</v>
      </c>
      <c r="D296" t="s">
        <v>543</v>
      </c>
      <c r="F296" s="1">
        <v>2</v>
      </c>
      <c r="G296" s="61">
        <v>167.82900000000001</v>
      </c>
      <c r="H296" s="3" t="s">
        <v>866</v>
      </c>
      <c r="I296" t="s">
        <v>552</v>
      </c>
      <c r="J296" s="15" t="s">
        <v>546</v>
      </c>
      <c r="K296" s="15" t="s">
        <v>547</v>
      </c>
      <c r="L296" s="15" t="s">
        <v>546</v>
      </c>
      <c r="N296" s="45"/>
    </row>
    <row r="297" spans="1:14">
      <c r="A297" s="52"/>
      <c r="B297" s="66"/>
      <c r="C297" t="s">
        <v>874</v>
      </c>
      <c r="D297" t="s">
        <v>569</v>
      </c>
      <c r="F297"/>
      <c r="H297" s="3">
        <v>1.1000000000000001</v>
      </c>
      <c r="I297" t="s">
        <v>552</v>
      </c>
      <c r="K297" s="15" t="s">
        <v>547</v>
      </c>
      <c r="N297" s="45"/>
    </row>
    <row r="298" spans="1:14">
      <c r="A298" s="52"/>
      <c r="B298" s="66"/>
      <c r="C298" t="s">
        <v>875</v>
      </c>
      <c r="D298" t="s">
        <v>569</v>
      </c>
      <c r="F298"/>
      <c r="H298" s="3">
        <v>1</v>
      </c>
      <c r="I298" t="s">
        <v>552</v>
      </c>
      <c r="K298" s="15" t="s">
        <v>547</v>
      </c>
      <c r="N298" s="45"/>
    </row>
    <row r="299" spans="1:14">
      <c r="A299" s="52"/>
      <c r="B299" s="66"/>
      <c r="C299" t="s">
        <v>876</v>
      </c>
      <c r="D299" t="s">
        <v>632</v>
      </c>
      <c r="F299"/>
      <c r="H299" s="3"/>
      <c r="I299"/>
      <c r="N299" s="45"/>
    </row>
    <row r="300" spans="1:14">
      <c r="A300" s="52"/>
      <c r="B300" s="66"/>
      <c r="C300" t="s">
        <v>877</v>
      </c>
      <c r="D300" t="s">
        <v>632</v>
      </c>
      <c r="F300"/>
      <c r="H300" s="3"/>
      <c r="I300"/>
      <c r="N300" s="45"/>
    </row>
    <row r="301" spans="1:14">
      <c r="A301" s="52"/>
      <c r="B301" s="66"/>
      <c r="C301" t="s">
        <v>912</v>
      </c>
      <c r="D301" t="s">
        <v>543</v>
      </c>
      <c r="F301">
        <f>0.3/0.05+1</f>
        <v>6.9999999999999991</v>
      </c>
      <c r="G301" s="61">
        <v>4134.37</v>
      </c>
      <c r="H301" s="3" t="s">
        <v>913</v>
      </c>
      <c r="I301" t="s">
        <v>554</v>
      </c>
      <c r="J301" s="15" t="s">
        <v>546</v>
      </c>
      <c r="K301" s="15" t="s">
        <v>547</v>
      </c>
      <c r="L301" s="15" t="s">
        <v>546</v>
      </c>
      <c r="N301" s="45"/>
    </row>
    <row r="302" spans="1:14">
      <c r="A302" s="52"/>
      <c r="B302" s="66"/>
      <c r="C302" t="s">
        <v>879</v>
      </c>
      <c r="D302" t="s">
        <v>639</v>
      </c>
      <c r="F302"/>
      <c r="H302" s="3" t="s">
        <v>913</v>
      </c>
      <c r="I302" t="s">
        <v>554</v>
      </c>
      <c r="K302" s="15" t="s">
        <v>547</v>
      </c>
      <c r="N302" s="45"/>
    </row>
    <row r="303" spans="1:14">
      <c r="A303" s="115"/>
      <c r="B303" s="64"/>
      <c r="C303" t="s">
        <v>882</v>
      </c>
      <c r="D303" t="s">
        <v>632</v>
      </c>
      <c r="F303"/>
      <c r="H303" s="3"/>
      <c r="I303"/>
      <c r="N303" s="45"/>
    </row>
  </sheetData>
  <autoFilter ref="A1:N284" xr:uid="{AE5A445C-7D30-4958-80ED-2DF7BAC7F85B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311"/>
  <sheetViews>
    <sheetView zoomScale="85" zoomScaleNormal="85" workbookViewId="0">
      <pane ySplit="1" topLeftCell="A2" activePane="bottomLeft" state="frozen"/>
      <selection pane="bottomLeft" activeCell="D311" sqref="D311"/>
    </sheetView>
  </sheetViews>
  <sheetFormatPr defaultRowHeight="14.25"/>
  <cols>
    <col min="1" max="1" width="16.140625" bestFit="1" customWidth="1"/>
    <col min="2" max="2" width="24.140625" bestFit="1" customWidth="1"/>
    <col min="3" max="3" width="43.42578125" style="3" bestFit="1" customWidth="1"/>
    <col min="4" max="4" width="16.85546875" style="3" bestFit="1" customWidth="1"/>
    <col min="5" max="5" width="11.85546875" bestFit="1" customWidth="1"/>
    <col min="6" max="6" width="16.85546875" style="3" customWidth="1"/>
    <col min="7" max="7" width="11.140625" style="61" bestFit="1" customWidth="1"/>
    <col min="8" max="8" width="51.85546875" style="15" customWidth="1"/>
    <col min="9" max="9" width="15.42578125" style="15" bestFit="1" customWidth="1"/>
    <col min="10" max="10" width="8.5703125" style="15" customWidth="1"/>
    <col min="11" max="11" width="14.5703125" style="15" customWidth="1"/>
    <col min="12" max="12" width="15.42578125" style="15" customWidth="1"/>
    <col min="14" max="14" width="11.140625" bestFit="1" customWidth="1"/>
  </cols>
  <sheetData>
    <row r="1" spans="1:14">
      <c r="A1" s="28" t="s">
        <v>371</v>
      </c>
      <c r="B1" s="24" t="s">
        <v>149</v>
      </c>
      <c r="C1" s="24" t="s">
        <v>296</v>
      </c>
      <c r="D1" s="31" t="s">
        <v>538</v>
      </c>
      <c r="E1" s="4" t="s">
        <v>539</v>
      </c>
      <c r="F1" s="31" t="s">
        <v>540</v>
      </c>
      <c r="G1" s="62" t="s">
        <v>541</v>
      </c>
      <c r="H1" s="23" t="s">
        <v>83</v>
      </c>
      <c r="I1" s="23" t="s">
        <v>82</v>
      </c>
      <c r="J1" s="23" t="s">
        <v>84</v>
      </c>
      <c r="K1" s="23" t="s">
        <v>358</v>
      </c>
      <c r="L1" s="23" t="s">
        <v>359</v>
      </c>
      <c r="N1" s="49" t="s">
        <v>57</v>
      </c>
    </row>
    <row r="2" spans="1:14">
      <c r="A2" s="63" t="s">
        <v>360</v>
      </c>
      <c r="B2" s="63" t="s">
        <v>361</v>
      </c>
      <c r="C2" s="13" t="s">
        <v>542</v>
      </c>
      <c r="D2" s="1" t="s">
        <v>543</v>
      </c>
      <c r="E2">
        <v>1</v>
      </c>
      <c r="F2" s="1">
        <f>(1/0.05)+1</f>
        <v>21</v>
      </c>
      <c r="G2" s="61">
        <v>1547.91</v>
      </c>
      <c r="H2" s="15" t="s">
        <v>544</v>
      </c>
      <c r="I2" s="15" t="s">
        <v>545</v>
      </c>
      <c r="J2" s="15" t="s">
        <v>546</v>
      </c>
      <c r="K2" s="15" t="s">
        <v>547</v>
      </c>
      <c r="L2" s="15" t="s">
        <v>546</v>
      </c>
    </row>
    <row r="3" spans="1:14">
      <c r="A3" s="66"/>
      <c r="B3" s="66"/>
      <c r="C3" s="47" t="s">
        <v>548</v>
      </c>
      <c r="D3" s="1" t="s">
        <v>543</v>
      </c>
      <c r="E3">
        <v>2</v>
      </c>
      <c r="F3" s="1">
        <f>1/0.1+1</f>
        <v>11</v>
      </c>
      <c r="G3" s="61">
        <v>921.77099999999996</v>
      </c>
      <c r="H3" s="15" t="s">
        <v>549</v>
      </c>
      <c r="I3" s="15" t="s">
        <v>550</v>
      </c>
      <c r="J3" s="15" t="s">
        <v>546</v>
      </c>
      <c r="K3" s="15" t="s">
        <v>547</v>
      </c>
      <c r="L3" s="15" t="s">
        <v>546</v>
      </c>
    </row>
    <row r="4" spans="1:14">
      <c r="A4" s="66"/>
      <c r="B4" s="66"/>
      <c r="C4" s="47" t="s">
        <v>551</v>
      </c>
      <c r="D4" s="1" t="s">
        <v>543</v>
      </c>
      <c r="E4">
        <v>3</v>
      </c>
      <c r="F4" s="1">
        <f>1/0.1+1</f>
        <v>11</v>
      </c>
      <c r="G4" s="61">
        <v>982.66600000000005</v>
      </c>
      <c r="H4" s="15" t="s">
        <v>549</v>
      </c>
      <c r="I4" s="15" t="s">
        <v>552</v>
      </c>
      <c r="J4" s="15" t="s">
        <v>546</v>
      </c>
      <c r="K4" s="15" t="s">
        <v>547</v>
      </c>
      <c r="L4" s="15" t="s">
        <v>546</v>
      </c>
    </row>
    <row r="5" spans="1:14">
      <c r="A5" s="66"/>
      <c r="B5" s="64"/>
      <c r="C5" s="48" t="s">
        <v>553</v>
      </c>
      <c r="D5" s="1" t="s">
        <v>543</v>
      </c>
      <c r="E5">
        <v>4</v>
      </c>
      <c r="F5" s="1">
        <f>1/0.1+1</f>
        <v>11</v>
      </c>
      <c r="G5" s="61">
        <v>1086.02</v>
      </c>
      <c r="H5" s="15" t="s">
        <v>549</v>
      </c>
      <c r="I5" s="15" t="s">
        <v>554</v>
      </c>
      <c r="J5" s="15" t="s">
        <v>546</v>
      </c>
      <c r="K5" s="15" t="s">
        <v>547</v>
      </c>
      <c r="L5" s="15" t="s">
        <v>546</v>
      </c>
    </row>
    <row r="6" spans="1:14">
      <c r="A6" s="66"/>
      <c r="B6" s="63" t="s">
        <v>362</v>
      </c>
      <c r="C6" s="45" t="s">
        <v>560</v>
      </c>
      <c r="D6" t="s">
        <v>561</v>
      </c>
      <c r="E6">
        <v>6</v>
      </c>
      <c r="F6">
        <v>1</v>
      </c>
      <c r="G6" s="61">
        <v>41.522300000000001</v>
      </c>
      <c r="I6" s="15" t="s">
        <v>552</v>
      </c>
      <c r="J6" s="15" t="s">
        <v>547</v>
      </c>
    </row>
    <row r="7" spans="1:14">
      <c r="A7" s="66"/>
      <c r="B7" s="66"/>
      <c r="C7" s="45" t="s">
        <v>562</v>
      </c>
      <c r="D7" t="s">
        <v>561</v>
      </c>
      <c r="E7">
        <v>8</v>
      </c>
      <c r="F7">
        <v>1</v>
      </c>
      <c r="G7" s="61">
        <v>41.316299999999998</v>
      </c>
      <c r="K7" s="15" t="s">
        <v>552</v>
      </c>
      <c r="L7" s="15" t="s">
        <v>547</v>
      </c>
    </row>
    <row r="8" spans="1:14">
      <c r="A8" s="66"/>
      <c r="B8" s="66"/>
      <c r="C8" s="45" t="s">
        <v>563</v>
      </c>
      <c r="D8" t="s">
        <v>561</v>
      </c>
      <c r="E8">
        <v>10</v>
      </c>
      <c r="F8">
        <v>1</v>
      </c>
      <c r="G8" s="61">
        <v>54.264800000000001</v>
      </c>
      <c r="H8" s="15" t="s">
        <v>554</v>
      </c>
      <c r="K8" s="15" t="s">
        <v>547</v>
      </c>
    </row>
    <row r="9" spans="1:14">
      <c r="A9" s="66"/>
      <c r="B9" s="66"/>
      <c r="C9" s="45" t="s">
        <v>564</v>
      </c>
      <c r="D9" t="s">
        <v>561</v>
      </c>
      <c r="E9">
        <v>13</v>
      </c>
      <c r="F9">
        <v>1</v>
      </c>
      <c r="G9" s="61">
        <v>55.015099999999997</v>
      </c>
      <c r="H9" s="15" t="s">
        <v>554</v>
      </c>
      <c r="I9" s="15" t="s">
        <v>547</v>
      </c>
    </row>
    <row r="10" spans="1:14">
      <c r="A10" s="66"/>
      <c r="B10" s="66"/>
      <c r="C10" s="45" t="s">
        <v>565</v>
      </c>
      <c r="D10" t="s">
        <v>561</v>
      </c>
      <c r="E10">
        <v>16</v>
      </c>
      <c r="F10">
        <v>1</v>
      </c>
      <c r="G10" s="61">
        <v>57.929400000000001</v>
      </c>
      <c r="H10" s="15" t="s">
        <v>547</v>
      </c>
      <c r="I10" s="15" t="s">
        <v>554</v>
      </c>
      <c r="K10" s="15" t="s">
        <v>547</v>
      </c>
    </row>
    <row r="11" spans="1:14">
      <c r="A11" s="66"/>
      <c r="B11" s="66"/>
      <c r="C11" s="45" t="s">
        <v>566</v>
      </c>
      <c r="D11" t="s">
        <v>561</v>
      </c>
      <c r="E11">
        <v>39</v>
      </c>
      <c r="F11">
        <v>1</v>
      </c>
      <c r="G11" s="61">
        <v>50.990299999999998</v>
      </c>
      <c r="I11" s="15" t="s">
        <v>554</v>
      </c>
      <c r="K11" s="15" t="s">
        <v>547</v>
      </c>
    </row>
    <row r="12" spans="1:14">
      <c r="A12" s="66"/>
      <c r="B12" s="64"/>
      <c r="C12" s="46" t="s">
        <v>1283</v>
      </c>
      <c r="D12" t="s">
        <v>1284</v>
      </c>
      <c r="F12"/>
    </row>
    <row r="13" spans="1:14">
      <c r="A13" s="66"/>
      <c r="B13" s="63" t="s">
        <v>363</v>
      </c>
      <c r="C13" s="13" t="s">
        <v>567</v>
      </c>
      <c r="D13" s="1" t="s">
        <v>543</v>
      </c>
      <c r="E13">
        <v>43</v>
      </c>
      <c r="F13" s="1">
        <v>1</v>
      </c>
      <c r="G13" s="61">
        <v>103.48699999999999</v>
      </c>
      <c r="H13" s="15" t="s">
        <v>554</v>
      </c>
      <c r="I13" s="15" t="s">
        <v>547</v>
      </c>
      <c r="J13" s="15" t="s">
        <v>546</v>
      </c>
      <c r="K13" s="15" t="s">
        <v>547</v>
      </c>
      <c r="L13" s="15" t="s">
        <v>546</v>
      </c>
    </row>
    <row r="14" spans="1:14">
      <c r="A14" s="66"/>
      <c r="B14" s="66"/>
      <c r="C14" s="47" t="s">
        <v>568</v>
      </c>
      <c r="D14" s="1" t="s">
        <v>569</v>
      </c>
      <c r="F14" s="1"/>
      <c r="H14" s="15" t="s">
        <v>554</v>
      </c>
      <c r="I14" s="15" t="s">
        <v>547</v>
      </c>
      <c r="K14" s="15" t="s">
        <v>547</v>
      </c>
    </row>
    <row r="15" spans="1:14">
      <c r="A15" s="66"/>
      <c r="B15" s="66"/>
      <c r="C15" s="47" t="s">
        <v>570</v>
      </c>
      <c r="D15" s="1" t="s">
        <v>543</v>
      </c>
      <c r="E15">
        <v>46</v>
      </c>
      <c r="F15" s="1">
        <v>1</v>
      </c>
      <c r="G15" s="61">
        <v>92.689899999999994</v>
      </c>
      <c r="H15" s="15" t="s">
        <v>554</v>
      </c>
      <c r="I15" s="15" t="s">
        <v>571</v>
      </c>
      <c r="J15" s="15" t="s">
        <v>546</v>
      </c>
      <c r="K15" s="15" t="s">
        <v>547</v>
      </c>
      <c r="L15" s="15" t="s">
        <v>546</v>
      </c>
    </row>
    <row r="16" spans="1:14">
      <c r="A16" s="66"/>
      <c r="B16" s="66"/>
      <c r="C16" s="47" t="s">
        <v>572</v>
      </c>
      <c r="D16" s="1" t="s">
        <v>569</v>
      </c>
      <c r="F16" s="1"/>
      <c r="H16" s="15" t="s">
        <v>554</v>
      </c>
      <c r="I16" s="15" t="s">
        <v>571</v>
      </c>
      <c r="K16" s="15" t="s">
        <v>547</v>
      </c>
    </row>
    <row r="17" spans="1:12">
      <c r="A17" s="66"/>
      <c r="B17" s="66"/>
      <c r="C17" s="47" t="s">
        <v>573</v>
      </c>
      <c r="D17" s="1" t="s">
        <v>543</v>
      </c>
      <c r="E17">
        <v>49</v>
      </c>
      <c r="F17" s="1">
        <v>1</v>
      </c>
      <c r="G17" s="61">
        <v>98.132099999999994</v>
      </c>
      <c r="H17" s="15" t="s">
        <v>554</v>
      </c>
      <c r="I17" s="15" t="s">
        <v>550</v>
      </c>
      <c r="J17" s="15" t="s">
        <v>546</v>
      </c>
      <c r="K17" s="15" t="s">
        <v>547</v>
      </c>
      <c r="L17" s="15" t="s">
        <v>546</v>
      </c>
    </row>
    <row r="18" spans="1:12">
      <c r="A18" s="66"/>
      <c r="B18" s="66"/>
      <c r="C18" s="47" t="s">
        <v>574</v>
      </c>
      <c r="D18" s="1" t="s">
        <v>569</v>
      </c>
      <c r="F18" s="1"/>
      <c r="H18" s="15" t="s">
        <v>554</v>
      </c>
      <c r="I18" s="15" t="s">
        <v>550</v>
      </c>
      <c r="K18" s="15" t="s">
        <v>547</v>
      </c>
    </row>
    <row r="19" spans="1:12">
      <c r="A19" s="66"/>
      <c r="B19" s="66"/>
      <c r="C19" s="47" t="s">
        <v>575</v>
      </c>
      <c r="D19" s="1" t="s">
        <v>543</v>
      </c>
      <c r="E19">
        <v>52</v>
      </c>
      <c r="F19" s="1">
        <v>1</v>
      </c>
      <c r="G19" s="61">
        <v>100.773</v>
      </c>
      <c r="H19" s="15" t="s">
        <v>554</v>
      </c>
      <c r="I19" s="15" t="s">
        <v>576</v>
      </c>
      <c r="J19" s="15" t="s">
        <v>546</v>
      </c>
      <c r="K19" s="15" t="s">
        <v>547</v>
      </c>
      <c r="L19" s="15" t="s">
        <v>546</v>
      </c>
    </row>
    <row r="20" spans="1:12">
      <c r="A20" s="66"/>
      <c r="B20" s="66"/>
      <c r="C20" s="47" t="s">
        <v>577</v>
      </c>
      <c r="D20" s="1" t="s">
        <v>569</v>
      </c>
      <c r="F20" s="1"/>
      <c r="H20" s="15" t="s">
        <v>554</v>
      </c>
      <c r="I20" s="15" t="s">
        <v>576</v>
      </c>
      <c r="K20" s="15" t="s">
        <v>547</v>
      </c>
    </row>
    <row r="21" spans="1:12">
      <c r="A21" s="66"/>
      <c r="B21" s="66"/>
      <c r="C21" s="47" t="s">
        <v>578</v>
      </c>
      <c r="D21" s="1" t="s">
        <v>543</v>
      </c>
      <c r="E21">
        <v>55</v>
      </c>
      <c r="F21" s="1">
        <v>1</v>
      </c>
      <c r="G21" s="61">
        <v>75.372</v>
      </c>
      <c r="H21" s="15" t="s">
        <v>554</v>
      </c>
      <c r="I21" s="15" t="s">
        <v>545</v>
      </c>
      <c r="J21" s="15" t="s">
        <v>546</v>
      </c>
      <c r="K21" s="15" t="s">
        <v>547</v>
      </c>
      <c r="L21" s="15" t="s">
        <v>546</v>
      </c>
    </row>
    <row r="22" spans="1:12">
      <c r="A22" s="66"/>
      <c r="B22" s="66"/>
      <c r="C22" s="47" t="s">
        <v>579</v>
      </c>
      <c r="D22" s="1" t="s">
        <v>569</v>
      </c>
      <c r="F22" s="1"/>
      <c r="H22" s="15" t="s">
        <v>554</v>
      </c>
      <c r="I22" s="15" t="s">
        <v>545</v>
      </c>
      <c r="K22" s="15" t="s">
        <v>547</v>
      </c>
    </row>
    <row r="23" spans="1:12">
      <c r="A23" s="66"/>
      <c r="B23" s="66"/>
      <c r="C23" s="47" t="s">
        <v>580</v>
      </c>
      <c r="D23" s="1" t="s">
        <v>543</v>
      </c>
      <c r="E23">
        <v>58</v>
      </c>
      <c r="F23" s="1">
        <v>1</v>
      </c>
      <c r="G23" s="61">
        <v>85.988699999999994</v>
      </c>
      <c r="H23" s="15" t="s">
        <v>554</v>
      </c>
      <c r="I23" s="15" t="s">
        <v>547</v>
      </c>
      <c r="J23" s="15" t="s">
        <v>546</v>
      </c>
      <c r="K23" s="15" t="s">
        <v>547</v>
      </c>
      <c r="L23" s="15" t="s">
        <v>546</v>
      </c>
    </row>
    <row r="24" spans="1:12">
      <c r="A24" s="66"/>
      <c r="B24" s="66"/>
      <c r="C24" s="47" t="s">
        <v>581</v>
      </c>
      <c r="D24" s="1" t="s">
        <v>569</v>
      </c>
      <c r="F24" s="1"/>
      <c r="H24" s="15" t="s">
        <v>554</v>
      </c>
      <c r="I24" s="15" t="s">
        <v>547</v>
      </c>
      <c r="K24" s="15" t="s">
        <v>547</v>
      </c>
    </row>
    <row r="25" spans="1:12">
      <c r="A25" s="66"/>
      <c r="B25" s="66"/>
      <c r="C25" s="47" t="s">
        <v>582</v>
      </c>
      <c r="D25" s="1" t="s">
        <v>543</v>
      </c>
      <c r="E25">
        <v>61</v>
      </c>
      <c r="F25" s="1">
        <v>1</v>
      </c>
      <c r="G25" s="61">
        <v>4728.33</v>
      </c>
      <c r="H25" s="15" t="s">
        <v>583</v>
      </c>
      <c r="I25" s="15" t="s">
        <v>545</v>
      </c>
      <c r="J25" s="15" t="s">
        <v>546</v>
      </c>
      <c r="K25" s="15" t="s">
        <v>547</v>
      </c>
      <c r="L25" s="15" t="s">
        <v>546</v>
      </c>
    </row>
    <row r="26" spans="1:12">
      <c r="A26" s="66"/>
      <c r="B26" s="66"/>
      <c r="C26" s="47" t="s">
        <v>584</v>
      </c>
      <c r="D26" s="1" t="s">
        <v>585</v>
      </c>
      <c r="F26" s="1"/>
      <c r="K26" s="15" t="s">
        <v>547</v>
      </c>
    </row>
    <row r="27" spans="1:12">
      <c r="A27" s="66"/>
      <c r="B27" s="66"/>
      <c r="C27" s="47" t="s">
        <v>586</v>
      </c>
      <c r="D27" s="1"/>
      <c r="F27" s="1"/>
    </row>
    <row r="28" spans="1:12">
      <c r="A28" s="66"/>
      <c r="B28" s="66"/>
      <c r="C28" s="47" t="s">
        <v>587</v>
      </c>
      <c r="D28" s="1" t="s">
        <v>569</v>
      </c>
      <c r="F28" s="1"/>
      <c r="H28" s="15" t="s">
        <v>586</v>
      </c>
      <c r="I28" s="15" t="s">
        <v>545</v>
      </c>
      <c r="K28" s="15" t="s">
        <v>547</v>
      </c>
    </row>
    <row r="29" spans="1:12">
      <c r="A29" s="66"/>
      <c r="B29" s="66"/>
      <c r="C29" s="47" t="s">
        <v>588</v>
      </c>
      <c r="D29" s="1" t="s">
        <v>569</v>
      </c>
      <c r="F29" s="1"/>
      <c r="H29" s="15" t="s">
        <v>586</v>
      </c>
      <c r="I29" s="15" t="s">
        <v>545</v>
      </c>
      <c r="K29" s="15" t="s">
        <v>547</v>
      </c>
    </row>
    <row r="30" spans="1:12">
      <c r="A30" s="66"/>
      <c r="B30" s="66"/>
      <c r="C30" s="47" t="s">
        <v>1301</v>
      </c>
      <c r="D30" s="1" t="s">
        <v>561</v>
      </c>
      <c r="E30">
        <v>67</v>
      </c>
      <c r="F30" s="1">
        <v>1</v>
      </c>
      <c r="G30" s="61">
        <v>96.494500000000002</v>
      </c>
      <c r="H30" s="15" t="s">
        <v>586</v>
      </c>
      <c r="I30" s="15" t="s">
        <v>545</v>
      </c>
      <c r="K30" s="15" t="s">
        <v>547</v>
      </c>
    </row>
    <row r="31" spans="1:12">
      <c r="A31" s="66"/>
      <c r="B31" s="64"/>
      <c r="C31" s="48" t="s">
        <v>1285</v>
      </c>
      <c r="D31" s="1" t="s">
        <v>1284</v>
      </c>
      <c r="F31" s="1"/>
    </row>
    <row r="32" spans="1:12">
      <c r="A32" s="66"/>
      <c r="B32" s="63" t="s">
        <v>364</v>
      </c>
      <c r="C32" s="13" t="s">
        <v>557</v>
      </c>
      <c r="D32" t="s">
        <v>558</v>
      </c>
      <c r="F32"/>
      <c r="H32" s="3" t="s">
        <v>544</v>
      </c>
      <c r="I32" t="s">
        <v>545</v>
      </c>
      <c r="K32" s="15" t="s">
        <v>547</v>
      </c>
    </row>
    <row r="33" spans="1:12">
      <c r="A33" s="66"/>
      <c r="B33" s="66"/>
      <c r="C33" s="47" t="s">
        <v>1302</v>
      </c>
      <c r="D33"/>
      <c r="F33"/>
      <c r="H33" s="3"/>
      <c r="I33" t="s">
        <v>545</v>
      </c>
      <c r="K33" s="15" t="s">
        <v>547</v>
      </c>
    </row>
    <row r="34" spans="1:12">
      <c r="A34" s="66"/>
      <c r="B34" s="66"/>
      <c r="C34" s="47" t="s">
        <v>1303</v>
      </c>
      <c r="D34"/>
      <c r="F34"/>
      <c r="H34" s="3" t="s">
        <v>1302</v>
      </c>
      <c r="I34" t="s">
        <v>545</v>
      </c>
      <c r="K34" s="15" t="s">
        <v>547</v>
      </c>
    </row>
    <row r="35" spans="1:12">
      <c r="A35" s="66"/>
      <c r="B35" s="66"/>
      <c r="C35" s="47" t="s">
        <v>1286</v>
      </c>
      <c r="D35" t="s">
        <v>543</v>
      </c>
      <c r="E35">
        <v>95</v>
      </c>
      <c r="F35" s="1">
        <v>1</v>
      </c>
      <c r="G35" s="61">
        <v>75.7684</v>
      </c>
      <c r="H35" s="3" t="s">
        <v>686</v>
      </c>
      <c r="I35" t="s">
        <v>545</v>
      </c>
      <c r="J35" s="15" t="s">
        <v>546</v>
      </c>
      <c r="K35" s="15" t="s">
        <v>547</v>
      </c>
      <c r="L35" s="15" t="s">
        <v>546</v>
      </c>
    </row>
    <row r="36" spans="1:12">
      <c r="A36" s="66"/>
      <c r="B36" s="66"/>
      <c r="C36" s="47" t="s">
        <v>1287</v>
      </c>
      <c r="D36" t="s">
        <v>569</v>
      </c>
      <c r="F36"/>
      <c r="H36" s="3" t="s">
        <v>686</v>
      </c>
      <c r="I36" t="s">
        <v>545</v>
      </c>
      <c r="K36" s="15" t="s">
        <v>547</v>
      </c>
    </row>
    <row r="37" spans="1:12">
      <c r="A37" s="66"/>
      <c r="B37" s="66"/>
      <c r="C37" s="47" t="s">
        <v>589</v>
      </c>
      <c r="D37" t="s">
        <v>543</v>
      </c>
      <c r="E37">
        <v>100</v>
      </c>
      <c r="F37" s="1">
        <v>1</v>
      </c>
      <c r="G37" s="61">
        <v>4208.09</v>
      </c>
      <c r="H37" s="3" t="s">
        <v>583</v>
      </c>
      <c r="I37" t="s">
        <v>552</v>
      </c>
      <c r="J37" s="15" t="s">
        <v>546</v>
      </c>
      <c r="K37" s="15" t="s">
        <v>547</v>
      </c>
      <c r="L37" s="15" t="s">
        <v>546</v>
      </c>
    </row>
    <row r="38" spans="1:12">
      <c r="A38" s="66"/>
      <c r="B38" s="66"/>
      <c r="C38" s="47" t="s">
        <v>590</v>
      </c>
      <c r="D38" t="s">
        <v>585</v>
      </c>
      <c r="F38"/>
      <c r="H38" s="3" t="s">
        <v>583</v>
      </c>
      <c r="I38" t="s">
        <v>552</v>
      </c>
      <c r="K38" s="15" t="s">
        <v>547</v>
      </c>
    </row>
    <row r="39" spans="1:12">
      <c r="A39" s="66"/>
      <c r="B39" s="66"/>
      <c r="C39" s="47" t="s">
        <v>591</v>
      </c>
      <c r="D39"/>
      <c r="F39"/>
      <c r="H39" s="3"/>
      <c r="I39"/>
    </row>
    <row r="40" spans="1:12">
      <c r="A40" s="66"/>
      <c r="B40" s="66"/>
      <c r="C40" s="47" t="s">
        <v>592</v>
      </c>
      <c r="D40" t="s">
        <v>569</v>
      </c>
      <c r="F40"/>
      <c r="H40" s="3" t="s">
        <v>591</v>
      </c>
      <c r="I40" t="s">
        <v>552</v>
      </c>
      <c r="K40" s="15" t="s">
        <v>547</v>
      </c>
    </row>
    <row r="41" spans="1:12">
      <c r="A41" s="66"/>
      <c r="B41" s="64"/>
      <c r="C41" s="48" t="s">
        <v>1294</v>
      </c>
      <c r="D41" t="s">
        <v>1284</v>
      </c>
      <c r="F41"/>
      <c r="H41" s="3"/>
      <c r="I41"/>
    </row>
    <row r="42" spans="1:12">
      <c r="A42" s="66"/>
      <c r="B42" s="63" t="s">
        <v>365</v>
      </c>
      <c r="C42" s="13" t="s">
        <v>593</v>
      </c>
      <c r="D42" s="53" t="s">
        <v>561</v>
      </c>
      <c r="E42">
        <v>125</v>
      </c>
      <c r="F42" s="53">
        <v>1</v>
      </c>
      <c r="G42" s="61">
        <v>200.27799999999999</v>
      </c>
      <c r="H42" s="55" t="s">
        <v>547</v>
      </c>
      <c r="I42" s="53" t="s">
        <v>552</v>
      </c>
    </row>
    <row r="43" spans="1:12">
      <c r="A43" s="66"/>
      <c r="B43" s="66"/>
      <c r="C43" s="47" t="s">
        <v>594</v>
      </c>
      <c r="D43"/>
      <c r="F43"/>
      <c r="H43" s="56"/>
      <c r="I43"/>
    </row>
    <row r="44" spans="1:12">
      <c r="A44" s="66"/>
      <c r="B44" s="66"/>
      <c r="C44" s="48" t="s">
        <v>595</v>
      </c>
      <c r="D44" s="54"/>
      <c r="F44" s="54"/>
      <c r="H44" s="57"/>
      <c r="I44" s="54"/>
    </row>
    <row r="45" spans="1:12">
      <c r="A45" s="66"/>
      <c r="B45" s="66"/>
      <c r="C45" s="47" t="s">
        <v>596</v>
      </c>
      <c r="D45" t="s">
        <v>561</v>
      </c>
      <c r="E45">
        <v>132</v>
      </c>
      <c r="F45" s="1">
        <v>1</v>
      </c>
      <c r="G45" s="61">
        <v>53.270200000000003</v>
      </c>
      <c r="H45" s="3" t="s">
        <v>597</v>
      </c>
      <c r="I45" t="s">
        <v>552</v>
      </c>
    </row>
    <row r="46" spans="1:12">
      <c r="A46" s="66"/>
      <c r="B46" s="66"/>
      <c r="C46" s="47" t="s">
        <v>598</v>
      </c>
      <c r="D46" t="s">
        <v>561</v>
      </c>
      <c r="E46">
        <v>135</v>
      </c>
      <c r="F46" s="1">
        <v>1</v>
      </c>
      <c r="G46" s="61">
        <v>50.950600000000001</v>
      </c>
      <c r="H46" s="3" t="s">
        <v>599</v>
      </c>
      <c r="I46" t="s">
        <v>552</v>
      </c>
    </row>
    <row r="47" spans="1:12">
      <c r="A47" s="66"/>
      <c r="B47" s="66"/>
      <c r="C47" s="47" t="s">
        <v>600</v>
      </c>
      <c r="D47" t="s">
        <v>561</v>
      </c>
      <c r="E47">
        <v>138</v>
      </c>
      <c r="F47" s="1">
        <v>1</v>
      </c>
      <c r="G47" s="61">
        <v>95.314700000000002</v>
      </c>
      <c r="H47" s="58" t="s">
        <v>601</v>
      </c>
      <c r="I47" t="s">
        <v>552</v>
      </c>
    </row>
    <row r="48" spans="1:12">
      <c r="A48" s="66"/>
      <c r="B48" s="66"/>
      <c r="C48" s="47" t="s">
        <v>602</v>
      </c>
      <c r="D48" t="s">
        <v>561</v>
      </c>
      <c r="E48">
        <v>141</v>
      </c>
      <c r="F48" s="1">
        <v>1</v>
      </c>
      <c r="G48" s="61">
        <v>92.903999999999996</v>
      </c>
      <c r="H48" s="3" t="s">
        <v>552</v>
      </c>
      <c r="I48" t="s">
        <v>547</v>
      </c>
    </row>
    <row r="49" spans="1:12">
      <c r="A49" s="66"/>
      <c r="B49" s="66"/>
      <c r="C49" s="47" t="s">
        <v>603</v>
      </c>
      <c r="D49" t="s">
        <v>543</v>
      </c>
      <c r="E49">
        <v>144</v>
      </c>
      <c r="F49" s="1">
        <v>4</v>
      </c>
      <c r="G49" s="61">
        <v>165.78899999999999</v>
      </c>
      <c r="H49" s="3" t="s">
        <v>604</v>
      </c>
      <c r="I49" t="s">
        <v>545</v>
      </c>
      <c r="J49" s="15" t="s">
        <v>546</v>
      </c>
      <c r="K49" s="15" t="s">
        <v>547</v>
      </c>
      <c r="L49" s="15" t="s">
        <v>546</v>
      </c>
    </row>
    <row r="50" spans="1:12">
      <c r="A50" s="66"/>
      <c r="B50" s="66"/>
      <c r="C50" s="47" t="s">
        <v>605</v>
      </c>
      <c r="D50" t="s">
        <v>569</v>
      </c>
      <c r="F50"/>
      <c r="H50" s="3" t="s">
        <v>552</v>
      </c>
      <c r="I50" t="s">
        <v>545</v>
      </c>
    </row>
    <row r="51" spans="1:12">
      <c r="A51" s="66"/>
      <c r="B51" s="66"/>
      <c r="C51" s="47" t="s">
        <v>606</v>
      </c>
      <c r="D51" t="s">
        <v>569</v>
      </c>
      <c r="F51"/>
      <c r="H51" s="3" t="s">
        <v>607</v>
      </c>
      <c r="I51" t="s">
        <v>545</v>
      </c>
    </row>
    <row r="52" spans="1:12">
      <c r="A52" s="66"/>
      <c r="B52" s="66"/>
      <c r="C52" s="47" t="s">
        <v>608</v>
      </c>
      <c r="D52" t="s">
        <v>569</v>
      </c>
      <c r="F52"/>
      <c r="H52" s="3" t="s">
        <v>609</v>
      </c>
      <c r="I52" t="s">
        <v>545</v>
      </c>
    </row>
    <row r="53" spans="1:12">
      <c r="A53" s="66"/>
      <c r="B53" s="66"/>
      <c r="C53" s="47" t="s">
        <v>610</v>
      </c>
      <c r="D53" t="s">
        <v>569</v>
      </c>
      <c r="F53"/>
      <c r="H53" s="3" t="s">
        <v>611</v>
      </c>
      <c r="I53" t="s">
        <v>545</v>
      </c>
    </row>
    <row r="54" spans="1:12">
      <c r="A54" s="66"/>
      <c r="B54" s="66"/>
      <c r="C54" s="47" t="s">
        <v>612</v>
      </c>
      <c r="D54" t="s">
        <v>543</v>
      </c>
      <c r="E54">
        <v>153</v>
      </c>
      <c r="F54" s="1">
        <v>4</v>
      </c>
      <c r="G54" s="61">
        <v>169.65799999999999</v>
      </c>
      <c r="H54" s="3" t="s">
        <v>604</v>
      </c>
      <c r="I54" t="s">
        <v>552</v>
      </c>
      <c r="J54" s="15" t="s">
        <v>546</v>
      </c>
      <c r="K54" s="15" t="s">
        <v>547</v>
      </c>
      <c r="L54" s="15" t="s">
        <v>546</v>
      </c>
    </row>
    <row r="55" spans="1:12">
      <c r="A55" s="66"/>
      <c r="B55" s="66"/>
      <c r="C55" s="47" t="s">
        <v>613</v>
      </c>
      <c r="D55" t="s">
        <v>569</v>
      </c>
      <c r="F55"/>
      <c r="H55" s="3" t="s">
        <v>552</v>
      </c>
      <c r="I55" t="s">
        <v>552</v>
      </c>
    </row>
    <row r="56" spans="1:12">
      <c r="A56" s="66"/>
      <c r="B56" s="66"/>
      <c r="C56" s="47" t="s">
        <v>614</v>
      </c>
      <c r="D56" t="s">
        <v>569</v>
      </c>
      <c r="F56"/>
      <c r="H56" s="3" t="s">
        <v>607</v>
      </c>
      <c r="I56" t="s">
        <v>552</v>
      </c>
    </row>
    <row r="57" spans="1:12">
      <c r="A57" s="66"/>
      <c r="B57" s="66"/>
      <c r="C57" s="47" t="s">
        <v>615</v>
      </c>
      <c r="D57" t="s">
        <v>569</v>
      </c>
      <c r="F57"/>
      <c r="H57" s="3" t="s">
        <v>609</v>
      </c>
      <c r="I57" t="s">
        <v>552</v>
      </c>
    </row>
    <row r="58" spans="1:12">
      <c r="A58" s="66"/>
      <c r="B58" s="66"/>
      <c r="C58" s="47" t="s">
        <v>616</v>
      </c>
      <c r="D58" t="s">
        <v>569</v>
      </c>
      <c r="F58"/>
      <c r="H58" s="3" t="s">
        <v>611</v>
      </c>
      <c r="I58" t="s">
        <v>552</v>
      </c>
    </row>
    <row r="59" spans="1:12">
      <c r="A59" s="66"/>
      <c r="B59" s="66"/>
      <c r="C59" s="47" t="s">
        <v>617</v>
      </c>
      <c r="D59" t="s">
        <v>543</v>
      </c>
      <c r="E59">
        <v>162</v>
      </c>
      <c r="F59" s="1">
        <v>4</v>
      </c>
      <c r="G59" s="61">
        <v>170.47900000000001</v>
      </c>
      <c r="H59" s="3" t="s">
        <v>618</v>
      </c>
      <c r="I59" t="s">
        <v>552</v>
      </c>
      <c r="J59" s="15" t="s">
        <v>546</v>
      </c>
      <c r="K59" s="15" t="s">
        <v>547</v>
      </c>
      <c r="L59" s="15" t="s">
        <v>546</v>
      </c>
    </row>
    <row r="60" spans="1:12">
      <c r="A60" s="66"/>
      <c r="B60" s="66"/>
      <c r="C60" s="47" t="s">
        <v>619</v>
      </c>
      <c r="D60" t="s">
        <v>569</v>
      </c>
      <c r="F60"/>
      <c r="H60" s="3" t="s">
        <v>620</v>
      </c>
      <c r="I60" t="s">
        <v>552</v>
      </c>
    </row>
    <row r="61" spans="1:12">
      <c r="A61" s="66"/>
      <c r="B61" s="66"/>
      <c r="C61" s="47" t="s">
        <v>621</v>
      </c>
      <c r="D61" t="s">
        <v>569</v>
      </c>
      <c r="F61"/>
      <c r="H61" s="3" t="s">
        <v>622</v>
      </c>
      <c r="I61" t="s">
        <v>552</v>
      </c>
    </row>
    <row r="62" spans="1:12">
      <c r="A62" s="66"/>
      <c r="B62" s="66"/>
      <c r="C62" s="47" t="s">
        <v>623</v>
      </c>
      <c r="D62" t="s">
        <v>569</v>
      </c>
      <c r="F62"/>
      <c r="H62" s="3" t="s">
        <v>624</v>
      </c>
      <c r="I62" t="s">
        <v>552</v>
      </c>
    </row>
    <row r="63" spans="1:12">
      <c r="A63" s="66"/>
      <c r="B63" s="66"/>
      <c r="C63" s="47" t="s">
        <v>625</v>
      </c>
      <c r="D63" t="s">
        <v>569</v>
      </c>
      <c r="F63"/>
      <c r="H63" s="3" t="s">
        <v>550</v>
      </c>
      <c r="I63" t="s">
        <v>552</v>
      </c>
    </row>
    <row r="64" spans="1:12">
      <c r="A64" s="66"/>
      <c r="B64" s="66"/>
      <c r="C64" s="47" t="s">
        <v>626</v>
      </c>
      <c r="D64" t="s">
        <v>543</v>
      </c>
      <c r="E64">
        <v>171</v>
      </c>
      <c r="F64" s="1">
        <v>4</v>
      </c>
      <c r="G64" s="61">
        <v>171.91</v>
      </c>
      <c r="H64" s="3" t="s">
        <v>604</v>
      </c>
      <c r="I64" t="s">
        <v>620</v>
      </c>
      <c r="J64" s="15" t="s">
        <v>546</v>
      </c>
      <c r="K64" s="15" t="s">
        <v>547</v>
      </c>
      <c r="L64" s="15" t="s">
        <v>546</v>
      </c>
    </row>
    <row r="65" spans="1:12">
      <c r="A65" s="66"/>
      <c r="B65" s="66"/>
      <c r="C65" s="47" t="s">
        <v>627</v>
      </c>
      <c r="D65" t="s">
        <v>569</v>
      </c>
      <c r="F65"/>
      <c r="H65" s="3" t="s">
        <v>552</v>
      </c>
      <c r="I65" t="s">
        <v>620</v>
      </c>
    </row>
    <row r="66" spans="1:12">
      <c r="A66" s="66"/>
      <c r="B66" s="66"/>
      <c r="C66" s="47" t="s">
        <v>628</v>
      </c>
      <c r="D66" t="s">
        <v>569</v>
      </c>
      <c r="F66"/>
      <c r="H66" s="3" t="s">
        <v>607</v>
      </c>
      <c r="I66" t="s">
        <v>620</v>
      </c>
    </row>
    <row r="67" spans="1:12">
      <c r="A67" s="66"/>
      <c r="B67" s="66"/>
      <c r="C67" s="47" t="s">
        <v>629</v>
      </c>
      <c r="D67" t="s">
        <v>569</v>
      </c>
      <c r="F67"/>
      <c r="H67" s="3" t="s">
        <v>609</v>
      </c>
      <c r="I67" t="s">
        <v>620</v>
      </c>
    </row>
    <row r="68" spans="1:12">
      <c r="A68" s="66"/>
      <c r="B68" s="66"/>
      <c r="C68" s="47" t="s">
        <v>630</v>
      </c>
      <c r="D68" t="s">
        <v>569</v>
      </c>
      <c r="F68"/>
      <c r="H68" s="3" t="s">
        <v>611</v>
      </c>
      <c r="I68" t="s">
        <v>620</v>
      </c>
    </row>
    <row r="69" spans="1:12">
      <c r="A69" s="66"/>
      <c r="B69" s="66"/>
      <c r="C69" s="47" t="s">
        <v>631</v>
      </c>
      <c r="D69" t="s">
        <v>632</v>
      </c>
      <c r="F69"/>
      <c r="H69" s="3"/>
      <c r="I69"/>
    </row>
    <row r="70" spans="1:12">
      <c r="A70" s="66"/>
      <c r="B70" s="66"/>
      <c r="C70" s="47" t="s">
        <v>633</v>
      </c>
      <c r="D70" t="s">
        <v>632</v>
      </c>
      <c r="F70"/>
      <c r="H70" s="3"/>
      <c r="I70"/>
    </row>
    <row r="71" spans="1:12">
      <c r="A71" s="66"/>
      <c r="B71" s="66"/>
      <c r="C71" s="47" t="s">
        <v>634</v>
      </c>
      <c r="D71" t="s">
        <v>632</v>
      </c>
      <c r="F71"/>
      <c r="H71" s="3"/>
      <c r="I71"/>
    </row>
    <row r="72" spans="1:12">
      <c r="A72" s="66"/>
      <c r="B72" s="66"/>
      <c r="C72" s="47" t="s">
        <v>635</v>
      </c>
      <c r="D72" t="s">
        <v>632</v>
      </c>
      <c r="F72"/>
      <c r="H72" s="3"/>
      <c r="I72"/>
    </row>
    <row r="73" spans="1:12">
      <c r="A73" s="66"/>
      <c r="B73" s="66"/>
      <c r="C73" s="47" t="s">
        <v>636</v>
      </c>
      <c r="D73" t="s">
        <v>543</v>
      </c>
      <c r="E73">
        <v>184</v>
      </c>
      <c r="F73" s="1">
        <v>1</v>
      </c>
      <c r="G73" s="61">
        <v>68.386399999999995</v>
      </c>
      <c r="H73" s="3" t="s">
        <v>557</v>
      </c>
      <c r="I73" t="s">
        <v>545</v>
      </c>
      <c r="J73" s="15" t="s">
        <v>546</v>
      </c>
      <c r="K73" s="15" t="s">
        <v>547</v>
      </c>
      <c r="L73" s="15" t="s">
        <v>546</v>
      </c>
    </row>
    <row r="74" spans="1:12">
      <c r="A74" s="66"/>
      <c r="B74" s="66"/>
      <c r="C74" s="47" t="s">
        <v>637</v>
      </c>
      <c r="D74" t="s">
        <v>569</v>
      </c>
      <c r="F74"/>
      <c r="H74" s="3" t="s">
        <v>557</v>
      </c>
      <c r="I74" t="s">
        <v>545</v>
      </c>
    </row>
    <row r="75" spans="1:12">
      <c r="A75" s="66"/>
      <c r="B75" s="66"/>
      <c r="C75" s="47" t="s">
        <v>1304</v>
      </c>
      <c r="D75" t="s">
        <v>543</v>
      </c>
      <c r="E75">
        <v>186</v>
      </c>
      <c r="F75" s="60" t="s">
        <v>1305</v>
      </c>
      <c r="G75" s="61">
        <v>230.07300000000001</v>
      </c>
      <c r="H75" s="3" t="s">
        <v>913</v>
      </c>
      <c r="I75" t="s">
        <v>552</v>
      </c>
      <c r="J75" s="15" t="s">
        <v>546</v>
      </c>
      <c r="K75" s="15" t="s">
        <v>547</v>
      </c>
      <c r="L75" s="15" t="s">
        <v>546</v>
      </c>
    </row>
    <row r="76" spans="1:12">
      <c r="A76" s="66"/>
      <c r="B76" s="66"/>
      <c r="C76" s="47" t="s">
        <v>638</v>
      </c>
      <c r="D76" t="s">
        <v>639</v>
      </c>
      <c r="F76"/>
      <c r="H76" s="3" t="s">
        <v>913</v>
      </c>
      <c r="I76" t="s">
        <v>552</v>
      </c>
    </row>
    <row r="77" spans="1:12">
      <c r="A77" s="66"/>
      <c r="B77" s="66"/>
      <c r="C77" s="47" t="s">
        <v>641</v>
      </c>
      <c r="D77" t="s">
        <v>639</v>
      </c>
      <c r="F77"/>
      <c r="H77" s="3" t="s">
        <v>1297</v>
      </c>
      <c r="I77" t="s">
        <v>545</v>
      </c>
    </row>
    <row r="78" spans="1:12">
      <c r="A78" s="66"/>
      <c r="B78" s="66"/>
      <c r="C78" s="47" t="s">
        <v>642</v>
      </c>
      <c r="D78" t="s">
        <v>639</v>
      </c>
      <c r="F78"/>
      <c r="H78" s="3" t="s">
        <v>1297</v>
      </c>
      <c r="I78" t="s">
        <v>545</v>
      </c>
    </row>
    <row r="79" spans="1:12">
      <c r="A79" s="66"/>
      <c r="B79" s="66"/>
      <c r="C79" s="47" t="s">
        <v>643</v>
      </c>
      <c r="D79" t="s">
        <v>569</v>
      </c>
      <c r="F79"/>
      <c r="H79" s="3" t="s">
        <v>641</v>
      </c>
      <c r="I79" t="s">
        <v>545</v>
      </c>
    </row>
    <row r="80" spans="1:12">
      <c r="A80" s="66"/>
      <c r="B80" s="66"/>
      <c r="C80" s="47" t="s">
        <v>1298</v>
      </c>
      <c r="D80" t="s">
        <v>561</v>
      </c>
      <c r="E80">
        <v>200</v>
      </c>
      <c r="F80" s="1">
        <v>1</v>
      </c>
      <c r="G80" s="61">
        <v>96.375100000000003</v>
      </c>
      <c r="H80" s="3" t="s">
        <v>641</v>
      </c>
      <c r="I80" t="s">
        <v>545</v>
      </c>
    </row>
    <row r="81" spans="1:9">
      <c r="A81" s="66"/>
      <c r="B81" s="66"/>
      <c r="C81" s="47" t="s">
        <v>644</v>
      </c>
      <c r="D81" t="s">
        <v>569</v>
      </c>
      <c r="F81"/>
      <c r="H81" s="3" t="s">
        <v>645</v>
      </c>
      <c r="I81" t="s">
        <v>545</v>
      </c>
    </row>
    <row r="82" spans="1:9">
      <c r="A82" s="66"/>
      <c r="B82" s="66"/>
      <c r="C82" s="47" t="s">
        <v>646</v>
      </c>
      <c r="D82" t="s">
        <v>569</v>
      </c>
      <c r="F82"/>
      <c r="H82" s="3" t="s">
        <v>647</v>
      </c>
      <c r="I82" t="s">
        <v>545</v>
      </c>
    </row>
    <row r="83" spans="1:9">
      <c r="A83" s="66"/>
      <c r="B83" s="66"/>
      <c r="C83" s="47" t="s">
        <v>648</v>
      </c>
      <c r="D83" t="s">
        <v>569</v>
      </c>
      <c r="F83"/>
      <c r="H83" s="3" t="s">
        <v>649</v>
      </c>
      <c r="I83" t="s">
        <v>545</v>
      </c>
    </row>
    <row r="84" spans="1:9">
      <c r="A84" s="66"/>
      <c r="B84" s="66"/>
      <c r="C84" s="47" t="s">
        <v>650</v>
      </c>
      <c r="D84" t="s">
        <v>569</v>
      </c>
      <c r="F84"/>
      <c r="H84" s="3" t="s">
        <v>651</v>
      </c>
      <c r="I84" t="s">
        <v>545</v>
      </c>
    </row>
    <row r="85" spans="1:9">
      <c r="A85" s="66"/>
      <c r="B85" s="66"/>
      <c r="C85" s="47" t="s">
        <v>653</v>
      </c>
      <c r="D85" t="s">
        <v>639</v>
      </c>
      <c r="F85"/>
      <c r="H85" s="3" t="s">
        <v>1299</v>
      </c>
      <c r="I85" t="s">
        <v>552</v>
      </c>
    </row>
    <row r="86" spans="1:9">
      <c r="A86" s="66"/>
      <c r="B86" s="66"/>
      <c r="C86" s="47" t="s">
        <v>654</v>
      </c>
      <c r="D86" t="s">
        <v>639</v>
      </c>
      <c r="F86"/>
      <c r="H86" s="3" t="s">
        <v>1299</v>
      </c>
      <c r="I86" t="s">
        <v>552</v>
      </c>
    </row>
    <row r="87" spans="1:9">
      <c r="A87" s="66"/>
      <c r="B87" s="66"/>
      <c r="C87" s="47" t="s">
        <v>655</v>
      </c>
      <c r="D87" t="s">
        <v>569</v>
      </c>
      <c r="F87"/>
      <c r="H87" s="3" t="s">
        <v>653</v>
      </c>
      <c r="I87" t="s">
        <v>552</v>
      </c>
    </row>
    <row r="88" spans="1:9">
      <c r="A88" s="66"/>
      <c r="B88" s="66"/>
      <c r="C88" s="47" t="s">
        <v>1300</v>
      </c>
      <c r="D88" t="s">
        <v>569</v>
      </c>
      <c r="F88"/>
      <c r="H88" s="3" t="s">
        <v>653</v>
      </c>
      <c r="I88" t="s">
        <v>552</v>
      </c>
    </row>
    <row r="89" spans="1:9">
      <c r="A89" s="66"/>
      <c r="B89" s="66"/>
      <c r="C89" s="47" t="s">
        <v>1306</v>
      </c>
      <c r="D89" t="s">
        <v>561</v>
      </c>
      <c r="E89">
        <v>229</v>
      </c>
      <c r="F89" s="1">
        <v>1</v>
      </c>
      <c r="G89" s="61">
        <v>93.855699999999999</v>
      </c>
      <c r="H89" s="3" t="s">
        <v>653</v>
      </c>
      <c r="I89" t="s">
        <v>545</v>
      </c>
    </row>
    <row r="90" spans="1:9">
      <c r="A90" s="66"/>
      <c r="B90" s="66"/>
      <c r="C90" s="47" t="s">
        <v>656</v>
      </c>
      <c r="D90" t="s">
        <v>569</v>
      </c>
      <c r="F90"/>
      <c r="H90" s="3" t="s">
        <v>657</v>
      </c>
      <c r="I90" t="s">
        <v>552</v>
      </c>
    </row>
    <row r="91" spans="1:9">
      <c r="A91" s="66"/>
      <c r="B91" s="66"/>
      <c r="C91" s="47" t="s">
        <v>658</v>
      </c>
      <c r="D91" t="s">
        <v>569</v>
      </c>
      <c r="F91"/>
      <c r="H91" s="3" t="s">
        <v>659</v>
      </c>
      <c r="I91" t="s">
        <v>552</v>
      </c>
    </row>
    <row r="92" spans="1:9">
      <c r="A92" s="66"/>
      <c r="B92" s="66"/>
      <c r="C92" s="47" t="s">
        <v>660</v>
      </c>
      <c r="D92" t="s">
        <v>569</v>
      </c>
      <c r="F92"/>
      <c r="H92" s="3" t="s">
        <v>661</v>
      </c>
      <c r="I92" t="s">
        <v>552</v>
      </c>
    </row>
    <row r="93" spans="1:9">
      <c r="A93" s="66"/>
      <c r="B93" s="66"/>
      <c r="C93" s="47" t="s">
        <v>662</v>
      </c>
      <c r="D93" t="s">
        <v>569</v>
      </c>
      <c r="F93"/>
      <c r="H93" s="3" t="s">
        <v>663</v>
      </c>
      <c r="I93" t="s">
        <v>552</v>
      </c>
    </row>
    <row r="94" spans="1:9">
      <c r="A94" s="66"/>
      <c r="B94" s="66"/>
      <c r="C94" s="47" t="s">
        <v>664</v>
      </c>
      <c r="D94" t="s">
        <v>632</v>
      </c>
      <c r="F94"/>
      <c r="H94" s="3"/>
      <c r="I94"/>
    </row>
    <row r="95" spans="1:9">
      <c r="A95" s="66"/>
      <c r="B95" s="66"/>
      <c r="C95" s="47" t="s">
        <v>665</v>
      </c>
      <c r="D95" t="s">
        <v>632</v>
      </c>
      <c r="F95"/>
      <c r="H95" s="3"/>
      <c r="I95"/>
    </row>
    <row r="96" spans="1:9">
      <c r="A96" s="66"/>
      <c r="B96" s="66"/>
      <c r="C96" s="47" t="s">
        <v>666</v>
      </c>
      <c r="D96" t="s">
        <v>632</v>
      </c>
      <c r="F96"/>
      <c r="H96" s="3"/>
      <c r="I96"/>
    </row>
    <row r="97" spans="1:12">
      <c r="A97" s="66"/>
      <c r="B97" s="66"/>
      <c r="C97" s="47" t="s">
        <v>667</v>
      </c>
      <c r="D97" t="s">
        <v>632</v>
      </c>
      <c r="F97"/>
      <c r="H97" s="3"/>
      <c r="I97"/>
    </row>
    <row r="98" spans="1:12">
      <c r="A98" s="66"/>
      <c r="B98" s="66"/>
      <c r="C98" s="47" t="s">
        <v>668</v>
      </c>
      <c r="D98" t="s">
        <v>561</v>
      </c>
      <c r="E98">
        <v>250</v>
      </c>
      <c r="F98" s="1">
        <v>1</v>
      </c>
      <c r="G98" s="61">
        <v>95.685400000000001</v>
      </c>
      <c r="H98" s="3" t="s">
        <v>669</v>
      </c>
      <c r="I98" t="s">
        <v>552</v>
      </c>
    </row>
    <row r="99" spans="1:12">
      <c r="A99" s="66"/>
      <c r="B99" s="66"/>
      <c r="C99" s="47" t="s">
        <v>671</v>
      </c>
      <c r="D99" t="s">
        <v>543</v>
      </c>
      <c r="E99">
        <v>255</v>
      </c>
      <c r="F99" s="1">
        <v>6</v>
      </c>
      <c r="G99" s="61">
        <v>252.827</v>
      </c>
      <c r="H99" s="3" t="s">
        <v>672</v>
      </c>
      <c r="I99" t="s">
        <v>545</v>
      </c>
      <c r="J99" s="15" t="s">
        <v>546</v>
      </c>
      <c r="K99" s="15" t="s">
        <v>547</v>
      </c>
      <c r="L99" s="15" t="s">
        <v>546</v>
      </c>
    </row>
    <row r="100" spans="1:12">
      <c r="A100" s="66"/>
      <c r="B100" s="66"/>
      <c r="C100" s="47" t="s">
        <v>673</v>
      </c>
      <c r="D100" t="s">
        <v>569</v>
      </c>
      <c r="F100"/>
      <c r="H100" s="3" t="s">
        <v>674</v>
      </c>
      <c r="I100" t="s">
        <v>545</v>
      </c>
    </row>
    <row r="101" spans="1:12">
      <c r="A101" s="66"/>
      <c r="B101" s="66"/>
      <c r="C101" s="47" t="s">
        <v>675</v>
      </c>
      <c r="D101" t="s">
        <v>569</v>
      </c>
      <c r="F101"/>
      <c r="H101" s="3" t="s">
        <v>676</v>
      </c>
      <c r="I101" t="s">
        <v>545</v>
      </c>
    </row>
    <row r="102" spans="1:12">
      <c r="A102" s="66"/>
      <c r="B102" s="66"/>
      <c r="C102" s="47" t="s">
        <v>677</v>
      </c>
      <c r="D102" t="s">
        <v>569</v>
      </c>
      <c r="F102"/>
      <c r="H102" s="3" t="s">
        <v>678</v>
      </c>
      <c r="I102" t="s">
        <v>545</v>
      </c>
    </row>
    <row r="103" spans="1:12">
      <c r="A103" s="66"/>
      <c r="B103" s="66"/>
      <c r="C103" s="47" t="s">
        <v>679</v>
      </c>
      <c r="D103" t="s">
        <v>543</v>
      </c>
      <c r="E103">
        <v>262</v>
      </c>
      <c r="F103" s="1">
        <v>6</v>
      </c>
      <c r="G103" s="61">
        <v>231.37100000000001</v>
      </c>
      <c r="H103" s="3" t="s">
        <v>680</v>
      </c>
      <c r="I103" t="s">
        <v>552</v>
      </c>
      <c r="J103" s="15" t="s">
        <v>546</v>
      </c>
      <c r="K103" s="15" t="s">
        <v>547</v>
      </c>
      <c r="L103" s="15" t="s">
        <v>546</v>
      </c>
    </row>
    <row r="104" spans="1:12">
      <c r="A104" s="66"/>
      <c r="B104" s="66"/>
      <c r="C104" s="47" t="s">
        <v>681</v>
      </c>
      <c r="D104" t="s">
        <v>569</v>
      </c>
      <c r="F104"/>
      <c r="H104" s="3" t="s">
        <v>682</v>
      </c>
      <c r="I104" t="s">
        <v>552</v>
      </c>
    </row>
    <row r="105" spans="1:12">
      <c r="A105" s="66"/>
      <c r="B105" s="66"/>
      <c r="C105" s="47" t="s">
        <v>683</v>
      </c>
      <c r="D105" t="s">
        <v>569</v>
      </c>
      <c r="F105"/>
      <c r="H105" s="3" t="s">
        <v>684</v>
      </c>
      <c r="I105" t="s">
        <v>552</v>
      </c>
    </row>
    <row r="106" spans="1:12">
      <c r="A106" s="66"/>
      <c r="B106" s="66"/>
      <c r="C106" s="47" t="s">
        <v>685</v>
      </c>
      <c r="D106" t="s">
        <v>569</v>
      </c>
      <c r="F106"/>
      <c r="H106" s="3" t="s">
        <v>686</v>
      </c>
      <c r="I106" t="s">
        <v>552</v>
      </c>
    </row>
    <row r="107" spans="1:12">
      <c r="A107" s="66"/>
      <c r="B107" s="66"/>
      <c r="C107" s="47" t="s">
        <v>687</v>
      </c>
      <c r="D107" t="s">
        <v>543</v>
      </c>
      <c r="E107">
        <v>278</v>
      </c>
      <c r="F107" s="1">
        <v>2</v>
      </c>
      <c r="G107" s="61">
        <v>106.18899999999999</v>
      </c>
      <c r="H107" s="3" t="s">
        <v>688</v>
      </c>
      <c r="I107" t="s">
        <v>545</v>
      </c>
      <c r="J107" s="15" t="s">
        <v>546</v>
      </c>
      <c r="K107" s="15" t="s">
        <v>547</v>
      </c>
      <c r="L107" s="15" t="s">
        <v>546</v>
      </c>
    </row>
    <row r="108" spans="1:12">
      <c r="A108" s="66"/>
      <c r="B108" s="66"/>
      <c r="C108" s="47" t="s">
        <v>689</v>
      </c>
      <c r="D108" t="s">
        <v>543</v>
      </c>
      <c r="E108">
        <v>279</v>
      </c>
      <c r="F108">
        <f>(1.1-0.65)/0.05+1</f>
        <v>10</v>
      </c>
      <c r="G108" s="61">
        <v>360.38400000000001</v>
      </c>
      <c r="H108" s="3" t="s">
        <v>690</v>
      </c>
      <c r="I108" t="s">
        <v>545</v>
      </c>
      <c r="J108" s="15" t="s">
        <v>546</v>
      </c>
      <c r="K108" s="15" t="s">
        <v>547</v>
      </c>
      <c r="L108" s="15" t="s">
        <v>546</v>
      </c>
    </row>
    <row r="109" spans="1:12">
      <c r="A109" s="66"/>
      <c r="B109" s="66"/>
      <c r="C109" s="47" t="s">
        <v>691</v>
      </c>
      <c r="D109" t="s">
        <v>569</v>
      </c>
      <c r="F109"/>
      <c r="H109" s="3" t="s">
        <v>692</v>
      </c>
      <c r="I109" t="s">
        <v>545</v>
      </c>
    </row>
    <row r="110" spans="1:12">
      <c r="A110" s="66"/>
      <c r="B110" s="66"/>
      <c r="C110" s="47" t="s">
        <v>693</v>
      </c>
      <c r="D110" t="s">
        <v>569</v>
      </c>
      <c r="F110"/>
      <c r="H110" s="3" t="s">
        <v>694</v>
      </c>
      <c r="I110" t="s">
        <v>545</v>
      </c>
    </row>
    <row r="111" spans="1:12">
      <c r="A111" s="66"/>
      <c r="B111" s="66"/>
      <c r="C111" s="47" t="s">
        <v>695</v>
      </c>
      <c r="D111" t="s">
        <v>569</v>
      </c>
      <c r="F111"/>
      <c r="H111" s="3" t="s">
        <v>696</v>
      </c>
      <c r="I111" t="s">
        <v>545</v>
      </c>
    </row>
    <row r="112" spans="1:12">
      <c r="A112" s="66"/>
      <c r="B112" s="66"/>
      <c r="C112" s="47" t="s">
        <v>697</v>
      </c>
      <c r="D112" t="s">
        <v>569</v>
      </c>
      <c r="F112"/>
      <c r="H112" s="3" t="s">
        <v>698</v>
      </c>
      <c r="I112" t="s">
        <v>545</v>
      </c>
    </row>
    <row r="113" spans="1:12">
      <c r="A113" s="66"/>
      <c r="B113" s="66"/>
      <c r="C113" s="47" t="s">
        <v>699</v>
      </c>
      <c r="D113" t="s">
        <v>569</v>
      </c>
      <c r="F113"/>
      <c r="H113" s="3" t="s">
        <v>700</v>
      </c>
      <c r="I113" t="s">
        <v>545</v>
      </c>
    </row>
    <row r="114" spans="1:12">
      <c r="A114" s="66"/>
      <c r="B114" s="66"/>
      <c r="C114" s="47" t="s">
        <v>701</v>
      </c>
      <c r="D114" t="s">
        <v>569</v>
      </c>
      <c r="F114"/>
      <c r="H114" s="3" t="s">
        <v>702</v>
      </c>
      <c r="I114" t="s">
        <v>545</v>
      </c>
    </row>
    <row r="115" spans="1:12">
      <c r="A115" s="66"/>
      <c r="B115" s="66"/>
      <c r="C115" s="47" t="s">
        <v>703</v>
      </c>
      <c r="D115" t="s">
        <v>569</v>
      </c>
      <c r="F115"/>
      <c r="H115" s="3" t="s">
        <v>704</v>
      </c>
      <c r="I115" t="s">
        <v>545</v>
      </c>
    </row>
    <row r="116" spans="1:12">
      <c r="A116" s="66"/>
      <c r="B116" s="66"/>
      <c r="C116" s="47" t="s">
        <v>705</v>
      </c>
      <c r="D116" t="s">
        <v>569</v>
      </c>
      <c r="F116"/>
      <c r="H116" s="3" t="s">
        <v>706</v>
      </c>
      <c r="I116" t="s">
        <v>545</v>
      </c>
    </row>
    <row r="117" spans="1:12">
      <c r="A117" s="66"/>
      <c r="B117" s="66"/>
      <c r="C117" s="47" t="s">
        <v>707</v>
      </c>
      <c r="D117" t="s">
        <v>569</v>
      </c>
      <c r="F117"/>
      <c r="H117" s="3" t="s">
        <v>708</v>
      </c>
      <c r="I117" t="s">
        <v>545</v>
      </c>
    </row>
    <row r="118" spans="1:12">
      <c r="A118" s="66"/>
      <c r="B118" s="66"/>
      <c r="C118" s="47" t="s">
        <v>709</v>
      </c>
      <c r="D118" t="s">
        <v>543</v>
      </c>
      <c r="E118">
        <v>302</v>
      </c>
      <c r="F118" s="1">
        <v>2</v>
      </c>
      <c r="G118" s="61">
        <v>108.983</v>
      </c>
      <c r="H118" s="3" t="s">
        <v>710</v>
      </c>
      <c r="I118" t="s">
        <v>545</v>
      </c>
      <c r="J118" s="15" t="s">
        <v>546</v>
      </c>
      <c r="K118" s="15" t="s">
        <v>547</v>
      </c>
      <c r="L118" s="15" t="s">
        <v>546</v>
      </c>
    </row>
    <row r="119" spans="1:12">
      <c r="A119" s="66"/>
      <c r="B119" s="66"/>
      <c r="C119" s="47" t="s">
        <v>711</v>
      </c>
      <c r="D119" t="s">
        <v>543</v>
      </c>
      <c r="E119">
        <v>303</v>
      </c>
      <c r="F119" s="1">
        <v>2</v>
      </c>
      <c r="G119" s="61">
        <v>107.95099999999999</v>
      </c>
      <c r="H119" s="3" t="s">
        <v>712</v>
      </c>
      <c r="I119" t="s">
        <v>552</v>
      </c>
      <c r="J119" s="15" t="s">
        <v>546</v>
      </c>
      <c r="K119" s="15" t="s">
        <v>547</v>
      </c>
      <c r="L119" s="15" t="s">
        <v>546</v>
      </c>
    </row>
    <row r="120" spans="1:12">
      <c r="A120" s="66"/>
      <c r="B120" s="66"/>
      <c r="C120" s="47" t="s">
        <v>713</v>
      </c>
      <c r="D120" t="s">
        <v>569</v>
      </c>
      <c r="F120"/>
      <c r="H120" s="3" t="s">
        <v>714</v>
      </c>
      <c r="I120" t="s">
        <v>545</v>
      </c>
    </row>
    <row r="121" spans="1:12">
      <c r="A121" s="66"/>
      <c r="B121" s="66"/>
      <c r="C121" s="47" t="s">
        <v>715</v>
      </c>
      <c r="D121" t="s">
        <v>569</v>
      </c>
      <c r="F121"/>
      <c r="H121" s="3" t="s">
        <v>716</v>
      </c>
      <c r="I121" t="s">
        <v>545</v>
      </c>
    </row>
    <row r="122" spans="1:12">
      <c r="A122" s="66"/>
      <c r="B122" s="66"/>
      <c r="C122" s="47" t="s">
        <v>717</v>
      </c>
      <c r="D122" t="s">
        <v>569</v>
      </c>
      <c r="F122"/>
      <c r="H122" s="3" t="s">
        <v>718</v>
      </c>
      <c r="I122" t="s">
        <v>552</v>
      </c>
    </row>
    <row r="123" spans="1:12">
      <c r="A123" s="66"/>
      <c r="B123" s="66"/>
      <c r="C123" s="47" t="s">
        <v>719</v>
      </c>
      <c r="D123" t="s">
        <v>569</v>
      </c>
      <c r="F123"/>
      <c r="H123" s="3" t="s">
        <v>720</v>
      </c>
      <c r="I123" t="s">
        <v>552</v>
      </c>
    </row>
    <row r="124" spans="1:12">
      <c r="A124" s="66"/>
      <c r="B124" s="66"/>
      <c r="C124" s="47" t="s">
        <v>721</v>
      </c>
      <c r="D124" t="s">
        <v>543</v>
      </c>
      <c r="E124">
        <v>312</v>
      </c>
      <c r="F124" s="1">
        <v>2</v>
      </c>
      <c r="G124" s="61">
        <v>103.82</v>
      </c>
      <c r="H124" s="3" t="s">
        <v>722</v>
      </c>
      <c r="I124" t="s">
        <v>552</v>
      </c>
      <c r="J124" s="15" t="s">
        <v>546</v>
      </c>
      <c r="K124" s="15" t="s">
        <v>547</v>
      </c>
      <c r="L124" s="15" t="s">
        <v>546</v>
      </c>
    </row>
    <row r="125" spans="1:12">
      <c r="A125" s="66"/>
      <c r="B125" s="66"/>
      <c r="C125" s="47" t="s">
        <v>723</v>
      </c>
      <c r="D125" t="s">
        <v>543</v>
      </c>
      <c r="E125">
        <v>313</v>
      </c>
      <c r="F125" s="1">
        <v>1</v>
      </c>
      <c r="G125" s="61">
        <v>74.339200000000005</v>
      </c>
      <c r="H125" s="3" t="s">
        <v>718</v>
      </c>
      <c r="I125" t="s">
        <v>552</v>
      </c>
      <c r="J125" s="15" t="s">
        <v>546</v>
      </c>
      <c r="K125" s="15" t="s">
        <v>547</v>
      </c>
      <c r="L125" s="15" t="s">
        <v>546</v>
      </c>
    </row>
    <row r="126" spans="1:12">
      <c r="A126" s="66"/>
      <c r="B126" s="66"/>
      <c r="C126" s="47" t="s">
        <v>724</v>
      </c>
      <c r="D126" t="s">
        <v>569</v>
      </c>
      <c r="F126"/>
      <c r="H126" s="3" t="s">
        <v>725</v>
      </c>
      <c r="I126" t="s">
        <v>552</v>
      </c>
    </row>
    <row r="127" spans="1:12">
      <c r="A127" s="66"/>
      <c r="B127" s="66"/>
      <c r="C127" s="47" t="s">
        <v>726</v>
      </c>
      <c r="D127" t="s">
        <v>569</v>
      </c>
      <c r="F127"/>
      <c r="H127" s="3" t="s">
        <v>727</v>
      </c>
      <c r="I127" t="s">
        <v>552</v>
      </c>
    </row>
    <row r="128" spans="1:12">
      <c r="A128" s="66"/>
      <c r="B128" s="66"/>
      <c r="C128" s="47" t="s">
        <v>728</v>
      </c>
      <c r="D128" t="s">
        <v>569</v>
      </c>
      <c r="F128"/>
      <c r="H128" s="3" t="s">
        <v>718</v>
      </c>
      <c r="I128" t="s">
        <v>552</v>
      </c>
    </row>
    <row r="129" spans="1:12">
      <c r="A129" s="66"/>
      <c r="B129" s="66"/>
      <c r="C129" s="47" t="s">
        <v>729</v>
      </c>
      <c r="D129" t="s">
        <v>543</v>
      </c>
      <c r="E129">
        <v>320</v>
      </c>
      <c r="F129" s="1">
        <v>2</v>
      </c>
      <c r="G129" s="61">
        <v>102.636</v>
      </c>
      <c r="H129" s="3" t="s">
        <v>722</v>
      </c>
      <c r="I129" t="s">
        <v>554</v>
      </c>
      <c r="J129" s="15" t="s">
        <v>546</v>
      </c>
      <c r="K129" s="15" t="s">
        <v>547</v>
      </c>
      <c r="L129" s="15" t="s">
        <v>546</v>
      </c>
    </row>
    <row r="130" spans="1:12">
      <c r="A130" s="66"/>
      <c r="B130" s="66"/>
      <c r="C130" s="47" t="s">
        <v>730</v>
      </c>
      <c r="D130" t="s">
        <v>543</v>
      </c>
      <c r="E130">
        <v>321</v>
      </c>
      <c r="F130" s="1">
        <v>1</v>
      </c>
      <c r="G130" s="61">
        <v>74.065200000000004</v>
      </c>
      <c r="H130" s="3" t="s">
        <v>718</v>
      </c>
      <c r="I130" t="s">
        <v>554</v>
      </c>
      <c r="J130" s="15" t="s">
        <v>546</v>
      </c>
      <c r="K130" s="15" t="s">
        <v>547</v>
      </c>
      <c r="L130" s="15" t="s">
        <v>546</v>
      </c>
    </row>
    <row r="131" spans="1:12">
      <c r="A131" s="66"/>
      <c r="B131" s="66"/>
      <c r="C131" s="47" t="s">
        <v>731</v>
      </c>
      <c r="D131" t="s">
        <v>569</v>
      </c>
      <c r="F131"/>
      <c r="H131" s="3" t="s">
        <v>725</v>
      </c>
      <c r="I131" t="s">
        <v>554</v>
      </c>
    </row>
    <row r="132" spans="1:12">
      <c r="A132" s="66"/>
      <c r="B132" s="66"/>
      <c r="C132" s="47" t="s">
        <v>732</v>
      </c>
      <c r="D132" t="s">
        <v>569</v>
      </c>
      <c r="F132"/>
      <c r="H132" s="3" t="s">
        <v>727</v>
      </c>
      <c r="I132" t="s">
        <v>554</v>
      </c>
    </row>
    <row r="133" spans="1:12">
      <c r="A133" s="66"/>
      <c r="B133" s="64"/>
      <c r="C133" s="48" t="s">
        <v>733</v>
      </c>
      <c r="D133" t="s">
        <v>569</v>
      </c>
      <c r="F133"/>
      <c r="H133" s="3" t="s">
        <v>718</v>
      </c>
      <c r="I133" t="s">
        <v>554</v>
      </c>
    </row>
    <row r="134" spans="1:12">
      <c r="A134" s="66"/>
      <c r="B134" s="63" t="s">
        <v>366</v>
      </c>
      <c r="C134" s="13" t="s">
        <v>734</v>
      </c>
      <c r="D134" t="s">
        <v>543</v>
      </c>
      <c r="E134">
        <v>331</v>
      </c>
      <c r="F134">
        <f>0.6/0.02+1</f>
        <v>31</v>
      </c>
      <c r="G134" s="61">
        <v>986.60400000000004</v>
      </c>
      <c r="H134" s="3" t="s">
        <v>735</v>
      </c>
      <c r="I134" t="s">
        <v>545</v>
      </c>
      <c r="J134" s="15" t="s">
        <v>546</v>
      </c>
      <c r="K134" s="15" t="s">
        <v>547</v>
      </c>
      <c r="L134" s="15" t="s">
        <v>546</v>
      </c>
    </row>
    <row r="135" spans="1:12">
      <c r="A135" s="66"/>
      <c r="B135" s="66"/>
      <c r="C135" s="13" t="s">
        <v>736</v>
      </c>
      <c r="D135" s="53" t="s">
        <v>737</v>
      </c>
      <c r="F135" s="53"/>
      <c r="H135" s="55"/>
      <c r="I135" s="53"/>
    </row>
    <row r="136" spans="1:12">
      <c r="A136" s="66"/>
      <c r="B136" s="66"/>
      <c r="C136" s="47" t="s">
        <v>738</v>
      </c>
      <c r="D136"/>
      <c r="F136"/>
      <c r="H136" s="56"/>
      <c r="I136"/>
    </row>
    <row r="137" spans="1:12">
      <c r="A137" s="66"/>
      <c r="B137" s="66"/>
      <c r="C137" s="48" t="s">
        <v>739</v>
      </c>
      <c r="D137" s="54"/>
      <c r="F137" s="54"/>
      <c r="H137" s="57"/>
      <c r="I137" s="54"/>
    </row>
    <row r="138" spans="1:12">
      <c r="A138" s="66"/>
      <c r="B138" s="66"/>
      <c r="C138" s="47" t="s">
        <v>1307</v>
      </c>
      <c r="D138" t="s">
        <v>543</v>
      </c>
      <c r="E138">
        <v>335</v>
      </c>
      <c r="F138">
        <f>0.4/0.05+1</f>
        <v>9</v>
      </c>
      <c r="G138" s="61">
        <v>298.58699999999999</v>
      </c>
      <c r="H138" s="3" t="s">
        <v>1308</v>
      </c>
      <c r="I138" t="s">
        <v>545</v>
      </c>
      <c r="J138" s="15" t="s">
        <v>546</v>
      </c>
      <c r="K138" s="15" t="s">
        <v>547</v>
      </c>
      <c r="L138" s="15" t="s">
        <v>546</v>
      </c>
    </row>
    <row r="139" spans="1:12">
      <c r="A139" s="66"/>
      <c r="B139" s="66"/>
      <c r="C139" s="47" t="s">
        <v>1309</v>
      </c>
      <c r="D139" t="s">
        <v>569</v>
      </c>
      <c r="F139"/>
      <c r="H139" s="3" t="s">
        <v>1310</v>
      </c>
      <c r="I139" t="s">
        <v>545</v>
      </c>
      <c r="K139" s="15" t="s">
        <v>547</v>
      </c>
    </row>
    <row r="140" spans="1:12">
      <c r="A140" s="66"/>
      <c r="B140" s="66"/>
      <c r="C140" s="47" t="s">
        <v>1311</v>
      </c>
      <c r="D140" t="s">
        <v>569</v>
      </c>
      <c r="F140"/>
      <c r="H140" s="3" t="s">
        <v>1312</v>
      </c>
      <c r="I140" t="s">
        <v>545</v>
      </c>
      <c r="K140" s="15" t="s">
        <v>547</v>
      </c>
    </row>
    <row r="141" spans="1:12">
      <c r="A141" s="66"/>
      <c r="B141" s="66"/>
      <c r="C141" s="47" t="s">
        <v>1313</v>
      </c>
      <c r="D141" t="s">
        <v>569</v>
      </c>
      <c r="F141"/>
      <c r="H141" s="3" t="s">
        <v>1314</v>
      </c>
      <c r="I141" t="s">
        <v>545</v>
      </c>
      <c r="K141" s="15" t="s">
        <v>547</v>
      </c>
    </row>
    <row r="142" spans="1:12">
      <c r="A142" s="66"/>
      <c r="B142" s="66"/>
      <c r="C142" s="47" t="s">
        <v>1315</v>
      </c>
      <c r="D142" t="s">
        <v>569</v>
      </c>
      <c r="F142"/>
      <c r="H142" s="3" t="s">
        <v>1316</v>
      </c>
      <c r="I142" t="s">
        <v>545</v>
      </c>
      <c r="K142" s="15" t="s">
        <v>547</v>
      </c>
    </row>
    <row r="143" spans="1:12">
      <c r="A143" s="66"/>
      <c r="B143" s="66"/>
      <c r="C143" s="47" t="s">
        <v>1317</v>
      </c>
      <c r="D143" t="s">
        <v>569</v>
      </c>
      <c r="F143"/>
      <c r="H143" s="3" t="s">
        <v>1318</v>
      </c>
      <c r="I143" t="s">
        <v>545</v>
      </c>
      <c r="K143" s="15" t="s">
        <v>547</v>
      </c>
    </row>
    <row r="144" spans="1:12">
      <c r="A144" s="66"/>
      <c r="B144" s="66"/>
      <c r="C144" s="47" t="s">
        <v>1319</v>
      </c>
      <c r="D144" t="s">
        <v>569</v>
      </c>
      <c r="F144"/>
      <c r="H144" s="3" t="s">
        <v>1320</v>
      </c>
      <c r="I144" t="s">
        <v>545</v>
      </c>
      <c r="K144" s="15" t="s">
        <v>547</v>
      </c>
    </row>
    <row r="145" spans="1:12">
      <c r="A145" s="66"/>
      <c r="B145" s="66"/>
      <c r="C145" s="47" t="s">
        <v>1321</v>
      </c>
      <c r="D145" t="s">
        <v>569</v>
      </c>
      <c r="F145"/>
      <c r="H145" s="3" t="s">
        <v>1322</v>
      </c>
      <c r="I145" t="s">
        <v>545</v>
      </c>
      <c r="K145" s="15" t="s">
        <v>547</v>
      </c>
    </row>
    <row r="146" spans="1:12">
      <c r="A146" s="66"/>
      <c r="B146" s="66"/>
      <c r="C146" s="47" t="s">
        <v>1323</v>
      </c>
      <c r="D146" t="s">
        <v>569</v>
      </c>
      <c r="F146"/>
      <c r="H146" s="3" t="s">
        <v>1324</v>
      </c>
      <c r="I146" t="s">
        <v>545</v>
      </c>
      <c r="K146" s="15" t="s">
        <v>547</v>
      </c>
    </row>
    <row r="147" spans="1:12">
      <c r="A147" s="66"/>
      <c r="B147" s="64"/>
      <c r="C147" s="48" t="s">
        <v>1325</v>
      </c>
      <c r="D147" t="s">
        <v>569</v>
      </c>
      <c r="F147"/>
      <c r="H147" s="3" t="s">
        <v>1326</v>
      </c>
      <c r="I147" t="s">
        <v>545</v>
      </c>
      <c r="K147" s="15" t="s">
        <v>547</v>
      </c>
    </row>
    <row r="148" spans="1:12">
      <c r="A148" s="66"/>
      <c r="B148" s="63" t="s">
        <v>367</v>
      </c>
      <c r="C148" s="13" t="s">
        <v>856</v>
      </c>
      <c r="D148" s="53" t="s">
        <v>561</v>
      </c>
      <c r="E148">
        <v>362</v>
      </c>
      <c r="F148" s="53">
        <v>1</v>
      </c>
      <c r="G148" s="61">
        <v>199.934</v>
      </c>
      <c r="H148" s="55">
        <v>0</v>
      </c>
      <c r="I148" t="s">
        <v>554</v>
      </c>
      <c r="K148" s="15" t="s">
        <v>547</v>
      </c>
    </row>
    <row r="149" spans="1:12">
      <c r="A149" s="66"/>
      <c r="B149" s="66"/>
      <c r="C149" s="47" t="s">
        <v>857</v>
      </c>
      <c r="D149"/>
      <c r="F149"/>
      <c r="H149" s="56"/>
      <c r="I149"/>
    </row>
    <row r="150" spans="1:12">
      <c r="A150" s="66"/>
      <c r="B150" s="66"/>
      <c r="C150" s="48" t="s">
        <v>858</v>
      </c>
      <c r="D150" s="54"/>
      <c r="F150" s="54"/>
      <c r="H150" s="57"/>
      <c r="I150" s="54"/>
    </row>
    <row r="151" spans="1:12">
      <c r="A151" s="66"/>
      <c r="B151" s="66"/>
      <c r="C151" s="47" t="s">
        <v>1327</v>
      </c>
      <c r="D151" t="s">
        <v>561</v>
      </c>
      <c r="E151">
        <v>369</v>
      </c>
      <c r="F151" s="1">
        <v>1</v>
      </c>
      <c r="G151" s="61">
        <v>52.454900000000002</v>
      </c>
      <c r="H151" s="3">
        <v>0.1</v>
      </c>
      <c r="I151" t="s">
        <v>554</v>
      </c>
      <c r="K151" s="15" t="s">
        <v>547</v>
      </c>
    </row>
    <row r="152" spans="1:12">
      <c r="A152" s="66"/>
      <c r="B152" s="66"/>
      <c r="C152" s="47" t="s">
        <v>1328</v>
      </c>
      <c r="D152" t="s">
        <v>561</v>
      </c>
      <c r="E152">
        <v>372</v>
      </c>
      <c r="F152" s="1">
        <v>1</v>
      </c>
      <c r="G152" s="61">
        <v>50.915300000000002</v>
      </c>
      <c r="H152" s="3">
        <v>0.2</v>
      </c>
      <c r="I152" t="s">
        <v>554</v>
      </c>
      <c r="K152" s="15" t="s">
        <v>547</v>
      </c>
    </row>
    <row r="153" spans="1:12">
      <c r="A153" s="66"/>
      <c r="B153" s="66"/>
      <c r="C153" s="47" t="s">
        <v>859</v>
      </c>
      <c r="D153" t="s">
        <v>561</v>
      </c>
      <c r="E153">
        <v>375</v>
      </c>
      <c r="F153" s="1">
        <v>1</v>
      </c>
      <c r="G153" s="61">
        <v>92.910899999999998</v>
      </c>
      <c r="H153" s="3">
        <v>-0.1</v>
      </c>
      <c r="I153" t="s">
        <v>554</v>
      </c>
      <c r="K153" s="15" t="s">
        <v>547</v>
      </c>
    </row>
    <row r="154" spans="1:12">
      <c r="A154" s="66"/>
      <c r="B154" s="66"/>
      <c r="C154" s="47" t="s">
        <v>860</v>
      </c>
      <c r="D154" t="s">
        <v>561</v>
      </c>
      <c r="E154">
        <v>378</v>
      </c>
      <c r="F154" s="1">
        <v>1</v>
      </c>
      <c r="G154" s="61">
        <v>60.077300000000001</v>
      </c>
      <c r="H154" s="3" t="s">
        <v>554</v>
      </c>
      <c r="I154" t="s">
        <v>547</v>
      </c>
      <c r="K154" s="15" t="s">
        <v>547</v>
      </c>
    </row>
    <row r="155" spans="1:12">
      <c r="A155" s="66"/>
      <c r="B155" s="66"/>
      <c r="C155" s="47" t="s">
        <v>861</v>
      </c>
      <c r="D155" t="s">
        <v>543</v>
      </c>
      <c r="E155">
        <v>381</v>
      </c>
      <c r="F155" s="1">
        <v>4</v>
      </c>
      <c r="G155" s="61">
        <v>174.477</v>
      </c>
      <c r="H155" s="59" t="s">
        <v>1329</v>
      </c>
      <c r="I155" t="s">
        <v>545</v>
      </c>
      <c r="J155" s="15" t="s">
        <v>546</v>
      </c>
      <c r="K155" s="15" t="s">
        <v>547</v>
      </c>
      <c r="L155" s="15" t="s">
        <v>546</v>
      </c>
    </row>
    <row r="156" spans="1:12">
      <c r="A156" s="66"/>
      <c r="B156" s="66"/>
      <c r="C156" s="47" t="s">
        <v>579</v>
      </c>
      <c r="D156" t="s">
        <v>569</v>
      </c>
      <c r="F156"/>
      <c r="H156" s="3" t="s">
        <v>554</v>
      </c>
      <c r="I156" t="s">
        <v>545</v>
      </c>
      <c r="K156" s="15" t="s">
        <v>547</v>
      </c>
    </row>
    <row r="157" spans="1:12">
      <c r="A157" s="66"/>
      <c r="B157" s="66"/>
      <c r="C157" s="47" t="s">
        <v>1330</v>
      </c>
      <c r="D157" t="s">
        <v>569</v>
      </c>
      <c r="F157"/>
      <c r="H157" s="3" t="s">
        <v>1331</v>
      </c>
      <c r="I157" t="s">
        <v>545</v>
      </c>
      <c r="K157" s="15" t="s">
        <v>547</v>
      </c>
    </row>
    <row r="158" spans="1:12">
      <c r="A158" s="66"/>
      <c r="B158" s="66"/>
      <c r="C158" s="47" t="s">
        <v>1332</v>
      </c>
      <c r="D158" t="s">
        <v>569</v>
      </c>
      <c r="F158"/>
      <c r="H158" s="3" t="s">
        <v>1333</v>
      </c>
      <c r="I158" t="s">
        <v>545</v>
      </c>
      <c r="K158" s="15" t="s">
        <v>547</v>
      </c>
    </row>
    <row r="159" spans="1:12">
      <c r="A159" s="66"/>
      <c r="B159" s="66"/>
      <c r="C159" s="47" t="s">
        <v>863</v>
      </c>
      <c r="D159" t="s">
        <v>569</v>
      </c>
      <c r="F159"/>
      <c r="H159" s="3" t="s">
        <v>864</v>
      </c>
      <c r="I159" t="s">
        <v>545</v>
      </c>
      <c r="K159" s="15" t="s">
        <v>547</v>
      </c>
    </row>
    <row r="160" spans="1:12">
      <c r="A160" s="66"/>
      <c r="B160" s="66"/>
      <c r="C160" s="47" t="s">
        <v>865</v>
      </c>
      <c r="D160" t="s">
        <v>543</v>
      </c>
      <c r="E160">
        <v>390</v>
      </c>
      <c r="F160" s="1">
        <v>4</v>
      </c>
      <c r="G160" s="61">
        <v>167.572</v>
      </c>
      <c r="H160" s="59" t="s">
        <v>1334</v>
      </c>
      <c r="I160" t="s">
        <v>554</v>
      </c>
      <c r="J160" s="15" t="s">
        <v>546</v>
      </c>
      <c r="K160" s="15" t="s">
        <v>547</v>
      </c>
      <c r="L160" s="15" t="s">
        <v>546</v>
      </c>
    </row>
    <row r="161" spans="1:12">
      <c r="A161" s="66"/>
      <c r="B161" s="66"/>
      <c r="C161" s="47" t="s">
        <v>867</v>
      </c>
      <c r="D161" t="s">
        <v>569</v>
      </c>
      <c r="F161"/>
      <c r="H161" s="3">
        <v>1.1000000000000001</v>
      </c>
      <c r="I161" t="s">
        <v>554</v>
      </c>
      <c r="K161" s="15" t="s">
        <v>547</v>
      </c>
    </row>
    <row r="162" spans="1:12">
      <c r="A162" s="66"/>
      <c r="B162" s="66"/>
      <c r="C162" s="47" t="s">
        <v>1335</v>
      </c>
      <c r="D162" t="s">
        <v>569</v>
      </c>
      <c r="F162"/>
      <c r="H162" s="3">
        <v>1.2</v>
      </c>
      <c r="I162" t="s">
        <v>554</v>
      </c>
      <c r="K162" s="15" t="s">
        <v>547</v>
      </c>
    </row>
    <row r="163" spans="1:12">
      <c r="A163" s="66"/>
      <c r="B163" s="66"/>
      <c r="C163" s="47" t="s">
        <v>1336</v>
      </c>
      <c r="D163" t="s">
        <v>569</v>
      </c>
      <c r="F163"/>
      <c r="H163" s="3">
        <v>1.3</v>
      </c>
      <c r="I163" t="s">
        <v>554</v>
      </c>
      <c r="K163" s="15" t="s">
        <v>547</v>
      </c>
    </row>
    <row r="164" spans="1:12">
      <c r="A164" s="66"/>
      <c r="B164" s="66"/>
      <c r="C164" s="47" t="s">
        <v>868</v>
      </c>
      <c r="D164" t="s">
        <v>569</v>
      </c>
      <c r="F164"/>
      <c r="H164" s="3">
        <v>1</v>
      </c>
      <c r="I164" t="s">
        <v>554</v>
      </c>
      <c r="K164" s="15" t="s">
        <v>547</v>
      </c>
    </row>
    <row r="165" spans="1:12">
      <c r="A165" s="66"/>
      <c r="B165" s="66"/>
      <c r="C165" s="47" t="s">
        <v>869</v>
      </c>
      <c r="D165" t="s">
        <v>543</v>
      </c>
      <c r="E165">
        <v>399</v>
      </c>
      <c r="F165" s="1">
        <v>4</v>
      </c>
      <c r="G165" s="61">
        <v>169.511</v>
      </c>
      <c r="H165" s="59" t="s">
        <v>1337</v>
      </c>
      <c r="I165" t="s">
        <v>554</v>
      </c>
      <c r="J165" s="15" t="s">
        <v>546</v>
      </c>
      <c r="K165" s="15" t="s">
        <v>547</v>
      </c>
      <c r="L165" s="15" t="s">
        <v>546</v>
      </c>
    </row>
    <row r="166" spans="1:12">
      <c r="A166" s="66"/>
      <c r="B166" s="66"/>
      <c r="C166" s="47" t="s">
        <v>871</v>
      </c>
      <c r="D166" t="s">
        <v>569</v>
      </c>
      <c r="F166"/>
      <c r="H166" s="3">
        <v>0.65</v>
      </c>
      <c r="I166" t="s">
        <v>554</v>
      </c>
      <c r="K166" s="15" t="s">
        <v>547</v>
      </c>
    </row>
    <row r="167" spans="1:12">
      <c r="A167" s="66"/>
      <c r="B167" s="66"/>
      <c r="C167" s="47" t="s">
        <v>1338</v>
      </c>
      <c r="D167" t="s">
        <v>569</v>
      </c>
      <c r="F167"/>
      <c r="H167" s="3">
        <v>0.75</v>
      </c>
      <c r="I167" t="s">
        <v>554</v>
      </c>
      <c r="K167" s="15" t="s">
        <v>547</v>
      </c>
    </row>
    <row r="168" spans="1:12">
      <c r="A168" s="66"/>
      <c r="B168" s="66"/>
      <c r="C168" s="47" t="s">
        <v>1339</v>
      </c>
      <c r="D168" t="s">
        <v>569</v>
      </c>
      <c r="F168"/>
      <c r="H168" s="3">
        <v>0.85</v>
      </c>
      <c r="I168" t="s">
        <v>554</v>
      </c>
      <c r="K168" s="15" t="s">
        <v>547</v>
      </c>
    </row>
    <row r="169" spans="1:12">
      <c r="A169" s="66"/>
      <c r="B169" s="66"/>
      <c r="C169" s="47" t="s">
        <v>872</v>
      </c>
      <c r="D169" t="s">
        <v>569</v>
      </c>
      <c r="F169"/>
      <c r="H169" s="3">
        <v>0.55000000000000004</v>
      </c>
      <c r="I169" t="s">
        <v>554</v>
      </c>
      <c r="K169" s="15" t="s">
        <v>547</v>
      </c>
    </row>
    <row r="170" spans="1:12">
      <c r="A170" s="66"/>
      <c r="B170" s="66"/>
      <c r="C170" s="47" t="s">
        <v>873</v>
      </c>
      <c r="D170" t="s">
        <v>543</v>
      </c>
      <c r="E170">
        <v>408</v>
      </c>
      <c r="F170" s="1">
        <v>4</v>
      </c>
      <c r="G170" s="61">
        <v>167.82900000000001</v>
      </c>
      <c r="H170" s="59" t="s">
        <v>1334</v>
      </c>
      <c r="I170" t="s">
        <v>552</v>
      </c>
      <c r="J170" s="15" t="s">
        <v>546</v>
      </c>
      <c r="K170" s="15" t="s">
        <v>547</v>
      </c>
      <c r="L170" s="15" t="s">
        <v>546</v>
      </c>
    </row>
    <row r="171" spans="1:12">
      <c r="A171" s="66"/>
      <c r="B171" s="66"/>
      <c r="C171" s="47" t="s">
        <v>874</v>
      </c>
      <c r="D171" t="s">
        <v>569</v>
      </c>
      <c r="F171"/>
      <c r="H171" s="3">
        <v>1.1000000000000001</v>
      </c>
      <c r="I171" t="s">
        <v>552</v>
      </c>
      <c r="K171" s="15" t="s">
        <v>547</v>
      </c>
    </row>
    <row r="172" spans="1:12">
      <c r="A172" s="66"/>
      <c r="B172" s="66"/>
      <c r="C172" s="47" t="s">
        <v>1340</v>
      </c>
      <c r="D172" t="s">
        <v>569</v>
      </c>
      <c r="F172"/>
      <c r="H172" s="3">
        <v>1.2</v>
      </c>
      <c r="I172" t="s">
        <v>552</v>
      </c>
      <c r="K172" s="15" t="s">
        <v>547</v>
      </c>
    </row>
    <row r="173" spans="1:12">
      <c r="A173" s="66"/>
      <c r="B173" s="66"/>
      <c r="C173" s="47" t="s">
        <v>1341</v>
      </c>
      <c r="D173" t="s">
        <v>569</v>
      </c>
      <c r="F173"/>
      <c r="H173" s="3">
        <v>1.3</v>
      </c>
      <c r="I173" t="s">
        <v>552</v>
      </c>
      <c r="K173" s="15" t="s">
        <v>547</v>
      </c>
    </row>
    <row r="174" spans="1:12">
      <c r="A174" s="66"/>
      <c r="B174" s="66"/>
      <c r="C174" s="47" t="s">
        <v>875</v>
      </c>
      <c r="D174" t="s">
        <v>569</v>
      </c>
      <c r="F174"/>
      <c r="H174" s="3">
        <v>1</v>
      </c>
      <c r="I174" t="s">
        <v>552</v>
      </c>
      <c r="K174" s="15" t="s">
        <v>547</v>
      </c>
    </row>
    <row r="175" spans="1:12">
      <c r="A175" s="66"/>
      <c r="B175" s="66"/>
      <c r="C175" s="47" t="s">
        <v>876</v>
      </c>
      <c r="D175" t="s">
        <v>632</v>
      </c>
      <c r="F175"/>
      <c r="H175" s="3"/>
      <c r="I175"/>
    </row>
    <row r="176" spans="1:12">
      <c r="A176" s="66"/>
      <c r="B176" s="66"/>
      <c r="C176" s="47" t="s">
        <v>1342</v>
      </c>
      <c r="D176" t="s">
        <v>632</v>
      </c>
      <c r="F176"/>
      <c r="H176" s="3"/>
      <c r="I176"/>
    </row>
    <row r="177" spans="1:12">
      <c r="A177" s="66"/>
      <c r="B177" s="66"/>
      <c r="C177" s="47" t="s">
        <v>1343</v>
      </c>
      <c r="D177" t="s">
        <v>632</v>
      </c>
      <c r="F177"/>
      <c r="H177" s="3"/>
      <c r="I177"/>
    </row>
    <row r="178" spans="1:12">
      <c r="A178" s="66"/>
      <c r="B178" s="66"/>
      <c r="C178" s="47" t="s">
        <v>877</v>
      </c>
      <c r="D178" t="s">
        <v>632</v>
      </c>
      <c r="F178"/>
      <c r="H178" s="3"/>
      <c r="I178"/>
    </row>
    <row r="179" spans="1:12">
      <c r="A179" s="66"/>
      <c r="B179" s="66"/>
      <c r="C179" s="47" t="s">
        <v>912</v>
      </c>
      <c r="D179" t="s">
        <v>543</v>
      </c>
      <c r="E179">
        <v>421</v>
      </c>
      <c r="F179" t="s">
        <v>1305</v>
      </c>
      <c r="G179" s="61">
        <v>235.19300000000001</v>
      </c>
      <c r="H179" s="3" t="s">
        <v>913</v>
      </c>
      <c r="I179" t="s">
        <v>554</v>
      </c>
      <c r="J179" s="15" t="s">
        <v>546</v>
      </c>
      <c r="K179" s="15" t="s">
        <v>547</v>
      </c>
      <c r="L179" s="15" t="s">
        <v>546</v>
      </c>
    </row>
    <row r="180" spans="1:12">
      <c r="A180" s="66"/>
      <c r="B180" s="66"/>
      <c r="C180" s="47" t="s">
        <v>879</v>
      </c>
      <c r="D180" t="s">
        <v>639</v>
      </c>
      <c r="F180"/>
      <c r="H180" s="3"/>
      <c r="I180"/>
    </row>
    <row r="181" spans="1:12">
      <c r="A181" s="66"/>
      <c r="B181" s="66"/>
      <c r="C181" s="68" t="s">
        <v>878</v>
      </c>
      <c r="D181" s="20" t="s">
        <v>543</v>
      </c>
      <c r="E181" s="20">
        <v>423</v>
      </c>
      <c r="F181" s="20">
        <f>1.05/0.01+1</f>
        <v>106</v>
      </c>
      <c r="G181" s="69">
        <v>4134.37</v>
      </c>
      <c r="H181" s="59" t="s">
        <v>842</v>
      </c>
      <c r="I181" t="s">
        <v>554</v>
      </c>
      <c r="J181" s="15" t="s">
        <v>546</v>
      </c>
      <c r="K181" s="15" t="s">
        <v>547</v>
      </c>
      <c r="L181" s="15" t="s">
        <v>546</v>
      </c>
    </row>
    <row r="182" spans="1:12">
      <c r="A182" s="66"/>
      <c r="B182" s="66"/>
      <c r="C182" s="68" t="s">
        <v>880</v>
      </c>
      <c r="D182" s="20" t="s">
        <v>639</v>
      </c>
      <c r="E182" s="20"/>
      <c r="F182" s="20"/>
      <c r="G182" s="69"/>
      <c r="H182" s="59" t="s">
        <v>842</v>
      </c>
      <c r="I182" t="s">
        <v>554</v>
      </c>
      <c r="K182" s="15" t="s">
        <v>547</v>
      </c>
    </row>
    <row r="183" spans="1:12">
      <c r="A183" s="66"/>
      <c r="B183" s="66"/>
      <c r="C183" s="68" t="s">
        <v>881</v>
      </c>
      <c r="D183" s="20" t="s">
        <v>639</v>
      </c>
      <c r="E183" s="20"/>
      <c r="F183" s="20"/>
      <c r="G183" s="69"/>
      <c r="H183" s="59" t="s">
        <v>842</v>
      </c>
      <c r="I183" t="s">
        <v>554</v>
      </c>
      <c r="K183" s="15" t="s">
        <v>547</v>
      </c>
    </row>
    <row r="184" spans="1:12">
      <c r="A184" s="66"/>
      <c r="B184" s="66"/>
      <c r="C184" s="47" t="s">
        <v>882</v>
      </c>
      <c r="D184" t="s">
        <v>632</v>
      </c>
      <c r="F184"/>
      <c r="H184" s="3"/>
      <c r="I184"/>
    </row>
    <row r="185" spans="1:12">
      <c r="A185" s="66"/>
      <c r="B185" s="66"/>
      <c r="C185" s="68" t="s">
        <v>883</v>
      </c>
      <c r="D185" s="20" t="s">
        <v>632</v>
      </c>
      <c r="E185" s="20"/>
      <c r="F185" s="20"/>
      <c r="G185" s="69"/>
      <c r="H185" s="59"/>
      <c r="I185"/>
    </row>
    <row r="186" spans="1:12">
      <c r="A186" s="66"/>
      <c r="B186" s="66"/>
      <c r="C186" s="68" t="s">
        <v>884</v>
      </c>
      <c r="D186" s="20" t="s">
        <v>632</v>
      </c>
      <c r="E186" s="20"/>
      <c r="F186" s="20"/>
      <c r="G186" s="69"/>
      <c r="H186" s="59"/>
      <c r="I186"/>
    </row>
    <row r="187" spans="1:12">
      <c r="A187" s="66"/>
      <c r="B187" s="66"/>
      <c r="C187" s="68" t="s">
        <v>885</v>
      </c>
      <c r="D187" s="20" t="s">
        <v>543</v>
      </c>
      <c r="E187" s="20">
        <v>433</v>
      </c>
      <c r="F187" s="70">
        <v>2</v>
      </c>
      <c r="G187" s="69">
        <v>103.395</v>
      </c>
      <c r="H187" s="59" t="s">
        <v>886</v>
      </c>
      <c r="I187" t="s">
        <v>554</v>
      </c>
      <c r="J187" s="15" t="s">
        <v>546</v>
      </c>
      <c r="K187" s="15" t="s">
        <v>547</v>
      </c>
      <c r="L187" s="15" t="s">
        <v>546</v>
      </c>
    </row>
    <row r="188" spans="1:12">
      <c r="A188" s="66"/>
      <c r="B188" s="66"/>
      <c r="C188" s="68" t="s">
        <v>887</v>
      </c>
      <c r="D188" s="20" t="s">
        <v>543</v>
      </c>
      <c r="E188" s="20">
        <v>434</v>
      </c>
      <c r="F188" s="70">
        <v>2</v>
      </c>
      <c r="G188" s="69">
        <v>105.57</v>
      </c>
      <c r="H188" s="59" t="s">
        <v>888</v>
      </c>
      <c r="I188" t="s">
        <v>554</v>
      </c>
      <c r="J188" s="15" t="s">
        <v>546</v>
      </c>
      <c r="K188" s="15" t="s">
        <v>547</v>
      </c>
      <c r="L188" s="15" t="s">
        <v>546</v>
      </c>
    </row>
    <row r="189" spans="1:12">
      <c r="A189" s="66"/>
      <c r="B189" s="66"/>
      <c r="C189" s="68" t="s">
        <v>889</v>
      </c>
      <c r="D189" s="20" t="s">
        <v>569</v>
      </c>
      <c r="E189" s="20"/>
      <c r="F189" s="20"/>
      <c r="G189" s="69"/>
      <c r="H189" s="59" t="s">
        <v>890</v>
      </c>
      <c r="I189" t="s">
        <v>554</v>
      </c>
      <c r="K189" s="15" t="s">
        <v>547</v>
      </c>
    </row>
    <row r="190" spans="1:12">
      <c r="A190" s="66"/>
      <c r="B190" s="66"/>
      <c r="C190" s="68" t="s">
        <v>891</v>
      </c>
      <c r="D190" s="20" t="s">
        <v>569</v>
      </c>
      <c r="E190" s="20"/>
      <c r="F190" s="20"/>
      <c r="G190" s="69"/>
      <c r="H190" s="59" t="s">
        <v>892</v>
      </c>
      <c r="I190" t="s">
        <v>554</v>
      </c>
      <c r="K190" s="15" t="s">
        <v>547</v>
      </c>
    </row>
    <row r="191" spans="1:12">
      <c r="A191" s="66"/>
      <c r="B191" s="66"/>
      <c r="C191" s="68" t="s">
        <v>893</v>
      </c>
      <c r="D191" s="20" t="s">
        <v>569</v>
      </c>
      <c r="E191" s="20"/>
      <c r="F191" s="20"/>
      <c r="G191" s="69"/>
      <c r="H191" s="59" t="s">
        <v>894</v>
      </c>
      <c r="I191" t="s">
        <v>554</v>
      </c>
      <c r="K191" s="15" t="s">
        <v>547</v>
      </c>
    </row>
    <row r="192" spans="1:12">
      <c r="A192" s="66"/>
      <c r="B192" s="66"/>
      <c r="C192" s="68" t="s">
        <v>895</v>
      </c>
      <c r="D192" s="20" t="s">
        <v>569</v>
      </c>
      <c r="E192" s="20"/>
      <c r="F192" s="20"/>
      <c r="G192" s="69"/>
      <c r="H192" s="59" t="s">
        <v>896</v>
      </c>
      <c r="I192" t="s">
        <v>554</v>
      </c>
      <c r="K192" s="15" t="s">
        <v>547</v>
      </c>
    </row>
    <row r="193" spans="1:12">
      <c r="A193" s="66"/>
      <c r="B193" s="66"/>
      <c r="C193" s="71" t="s">
        <v>897</v>
      </c>
      <c r="D193" s="72" t="s">
        <v>585</v>
      </c>
      <c r="E193" s="20"/>
      <c r="F193" s="72"/>
      <c r="G193" s="69"/>
      <c r="H193" s="73" t="s">
        <v>842</v>
      </c>
      <c r="I193" t="s">
        <v>554</v>
      </c>
      <c r="K193" s="15" t="s">
        <v>547</v>
      </c>
    </row>
    <row r="194" spans="1:12">
      <c r="A194" s="66"/>
      <c r="B194" s="66"/>
      <c r="C194" s="74" t="s">
        <v>898</v>
      </c>
      <c r="D194" s="75"/>
      <c r="E194" s="20"/>
      <c r="F194" s="75"/>
      <c r="G194" s="69"/>
      <c r="H194" s="76"/>
      <c r="I194" s="54"/>
    </row>
    <row r="195" spans="1:12">
      <c r="A195" s="66"/>
      <c r="B195" s="64"/>
      <c r="C195" s="48" t="s">
        <v>899</v>
      </c>
      <c r="D195" t="s">
        <v>569</v>
      </c>
      <c r="F195"/>
      <c r="H195" s="3"/>
      <c r="I195"/>
    </row>
    <row r="196" spans="1:12">
      <c r="A196" s="66"/>
      <c r="B196" s="63" t="s">
        <v>368</v>
      </c>
      <c r="C196" s="13" t="s">
        <v>542</v>
      </c>
      <c r="D196" t="s">
        <v>543</v>
      </c>
      <c r="E196">
        <v>447</v>
      </c>
      <c r="F196">
        <f>1/0.05+1</f>
        <v>21</v>
      </c>
      <c r="G196" s="61">
        <v>1632.64</v>
      </c>
      <c r="H196" s="3" t="s">
        <v>544</v>
      </c>
      <c r="I196" t="s">
        <v>545</v>
      </c>
      <c r="J196" s="15" t="s">
        <v>546</v>
      </c>
      <c r="K196" s="15" t="s">
        <v>547</v>
      </c>
      <c r="L196" s="15" t="s">
        <v>546</v>
      </c>
    </row>
    <row r="197" spans="1:12">
      <c r="A197" s="66"/>
      <c r="B197" s="66"/>
      <c r="C197" s="13" t="s">
        <v>557</v>
      </c>
      <c r="D197" s="53" t="s">
        <v>558</v>
      </c>
      <c r="F197" s="53"/>
      <c r="H197" s="55" t="s">
        <v>544</v>
      </c>
      <c r="I197" t="s">
        <v>545</v>
      </c>
      <c r="K197" s="15" t="s">
        <v>547</v>
      </c>
    </row>
    <row r="198" spans="1:12">
      <c r="A198" s="66"/>
      <c r="B198" s="66"/>
      <c r="C198" s="47" t="s">
        <v>1302</v>
      </c>
      <c r="D198"/>
      <c r="F198"/>
      <c r="H198" s="56"/>
      <c r="I198"/>
    </row>
    <row r="199" spans="1:12">
      <c r="A199" s="66"/>
      <c r="B199" s="66"/>
      <c r="C199" s="48" t="s">
        <v>1303</v>
      </c>
      <c r="D199" s="54"/>
      <c r="F199" s="54"/>
      <c r="H199" s="57"/>
      <c r="I199" s="54"/>
    </row>
    <row r="200" spans="1:12">
      <c r="A200" s="66"/>
      <c r="B200" s="66"/>
      <c r="C200" s="47" t="s">
        <v>741</v>
      </c>
      <c r="D200" t="s">
        <v>543</v>
      </c>
      <c r="E200">
        <v>456</v>
      </c>
      <c r="F200">
        <f>0.2/0.05+1</f>
        <v>5</v>
      </c>
      <c r="G200" s="61">
        <v>199.61199999999999</v>
      </c>
      <c r="H200" s="3" t="s">
        <v>742</v>
      </c>
      <c r="I200" t="s">
        <v>571</v>
      </c>
      <c r="J200" s="15" t="s">
        <v>546</v>
      </c>
      <c r="K200" s="15" t="s">
        <v>547</v>
      </c>
      <c r="L200" s="15" t="s">
        <v>546</v>
      </c>
    </row>
    <row r="201" spans="1:12">
      <c r="A201" s="66"/>
      <c r="B201" s="66"/>
      <c r="C201" s="47" t="s">
        <v>743</v>
      </c>
      <c r="D201" t="s">
        <v>543</v>
      </c>
      <c r="E201">
        <v>457</v>
      </c>
      <c r="F201">
        <f t="shared" ref="F201:F206" si="0">0.2/0.05+1</f>
        <v>5</v>
      </c>
      <c r="G201" s="61">
        <v>199.101</v>
      </c>
      <c r="H201" s="3" t="s">
        <v>742</v>
      </c>
      <c r="I201" t="s">
        <v>599</v>
      </c>
      <c r="J201" s="15" t="s">
        <v>546</v>
      </c>
      <c r="K201" s="15" t="s">
        <v>547</v>
      </c>
      <c r="L201" s="15" t="s">
        <v>546</v>
      </c>
    </row>
    <row r="202" spans="1:12">
      <c r="A202" s="66"/>
      <c r="B202" s="66"/>
      <c r="C202" s="47" t="s">
        <v>744</v>
      </c>
      <c r="D202" t="s">
        <v>543</v>
      </c>
      <c r="E202">
        <v>458</v>
      </c>
      <c r="F202">
        <f t="shared" si="0"/>
        <v>5</v>
      </c>
      <c r="G202" s="61">
        <v>199.09</v>
      </c>
      <c r="H202" s="3" t="s">
        <v>742</v>
      </c>
      <c r="I202" t="s">
        <v>745</v>
      </c>
      <c r="J202" s="15" t="s">
        <v>546</v>
      </c>
      <c r="K202" s="15" t="s">
        <v>547</v>
      </c>
      <c r="L202" s="15" t="s">
        <v>546</v>
      </c>
    </row>
    <row r="203" spans="1:12">
      <c r="A203" s="66"/>
      <c r="B203" s="66"/>
      <c r="C203" s="47" t="s">
        <v>746</v>
      </c>
      <c r="D203" t="s">
        <v>543</v>
      </c>
      <c r="E203">
        <v>459</v>
      </c>
      <c r="F203">
        <f t="shared" si="0"/>
        <v>5</v>
      </c>
      <c r="G203" s="61">
        <v>197.84700000000001</v>
      </c>
      <c r="H203" s="3" t="s">
        <v>742</v>
      </c>
      <c r="I203" t="s">
        <v>550</v>
      </c>
      <c r="J203" s="15" t="s">
        <v>546</v>
      </c>
      <c r="K203" s="15" t="s">
        <v>547</v>
      </c>
      <c r="L203" s="15" t="s">
        <v>546</v>
      </c>
    </row>
    <row r="204" spans="1:12">
      <c r="A204" s="66"/>
      <c r="B204" s="66"/>
      <c r="C204" s="47" t="s">
        <v>747</v>
      </c>
      <c r="D204" t="s">
        <v>543</v>
      </c>
      <c r="E204">
        <v>460</v>
      </c>
      <c r="F204">
        <f t="shared" si="0"/>
        <v>5</v>
      </c>
      <c r="G204" s="61">
        <v>198.30500000000001</v>
      </c>
      <c r="H204" s="3" t="s">
        <v>742</v>
      </c>
      <c r="I204" t="s">
        <v>748</v>
      </c>
      <c r="J204" s="15" t="s">
        <v>546</v>
      </c>
      <c r="K204" s="15" t="s">
        <v>547</v>
      </c>
      <c r="L204" s="15" t="s">
        <v>546</v>
      </c>
    </row>
    <row r="205" spans="1:12">
      <c r="A205" s="66"/>
      <c r="B205" s="66"/>
      <c r="C205" s="47" t="s">
        <v>749</v>
      </c>
      <c r="D205" t="s">
        <v>543</v>
      </c>
      <c r="E205">
        <v>461</v>
      </c>
      <c r="F205">
        <f t="shared" si="0"/>
        <v>5</v>
      </c>
      <c r="G205" s="61">
        <v>198.05600000000001</v>
      </c>
      <c r="H205" s="3" t="s">
        <v>742</v>
      </c>
      <c r="I205" t="s">
        <v>620</v>
      </c>
      <c r="J205" s="15" t="s">
        <v>546</v>
      </c>
      <c r="K205" s="15" t="s">
        <v>547</v>
      </c>
      <c r="L205" s="15" t="s">
        <v>546</v>
      </c>
    </row>
    <row r="206" spans="1:12">
      <c r="A206" s="66"/>
      <c r="B206" s="66"/>
      <c r="C206" s="47" t="s">
        <v>750</v>
      </c>
      <c r="D206" t="s">
        <v>543</v>
      </c>
      <c r="E206">
        <v>462</v>
      </c>
      <c r="F206">
        <f t="shared" si="0"/>
        <v>5</v>
      </c>
      <c r="G206" s="61">
        <v>198.887</v>
      </c>
      <c r="H206" s="3" t="s">
        <v>742</v>
      </c>
      <c r="I206" t="s">
        <v>576</v>
      </c>
      <c r="J206" s="15" t="s">
        <v>546</v>
      </c>
      <c r="K206" s="15" t="s">
        <v>547</v>
      </c>
      <c r="L206" s="15" t="s">
        <v>546</v>
      </c>
    </row>
    <row r="207" spans="1:12">
      <c r="A207" s="66"/>
      <c r="B207" s="66"/>
      <c r="C207" s="47" t="s">
        <v>751</v>
      </c>
      <c r="D207" t="s">
        <v>569</v>
      </c>
      <c r="F207"/>
      <c r="H207" s="3" t="s">
        <v>752</v>
      </c>
      <c r="I207" t="s">
        <v>571</v>
      </c>
      <c r="K207" s="15" t="s">
        <v>547</v>
      </c>
    </row>
    <row r="208" spans="1:12">
      <c r="A208" s="66"/>
      <c r="B208" s="66"/>
      <c r="C208" s="47" t="s">
        <v>753</v>
      </c>
      <c r="D208" t="s">
        <v>569</v>
      </c>
      <c r="F208"/>
      <c r="H208" s="3" t="s">
        <v>754</v>
      </c>
      <c r="I208" t="s">
        <v>571</v>
      </c>
      <c r="K208" s="15" t="s">
        <v>547</v>
      </c>
    </row>
    <row r="209" spans="1:11">
      <c r="A209" s="66"/>
      <c r="B209" s="66"/>
      <c r="C209" s="47" t="s">
        <v>755</v>
      </c>
      <c r="D209" t="s">
        <v>569</v>
      </c>
      <c r="F209"/>
      <c r="H209" s="3" t="s">
        <v>682</v>
      </c>
      <c r="I209" t="s">
        <v>571</v>
      </c>
      <c r="K209" s="15" t="s">
        <v>547</v>
      </c>
    </row>
    <row r="210" spans="1:11">
      <c r="A210" s="66"/>
      <c r="B210" s="66"/>
      <c r="C210" s="47" t="s">
        <v>756</v>
      </c>
      <c r="D210" t="s">
        <v>569</v>
      </c>
      <c r="F210"/>
      <c r="H210" s="3" t="s">
        <v>757</v>
      </c>
      <c r="I210" t="s">
        <v>571</v>
      </c>
      <c r="K210" s="15" t="s">
        <v>547</v>
      </c>
    </row>
    <row r="211" spans="1:11">
      <c r="A211" s="66"/>
      <c r="B211" s="66"/>
      <c r="C211" s="47" t="s">
        <v>758</v>
      </c>
      <c r="D211" t="s">
        <v>569</v>
      </c>
      <c r="F211"/>
      <c r="H211" s="3" t="s">
        <v>759</v>
      </c>
      <c r="I211" t="s">
        <v>571</v>
      </c>
      <c r="K211" s="15" t="s">
        <v>547</v>
      </c>
    </row>
    <row r="212" spans="1:11">
      <c r="A212" s="66"/>
      <c r="B212" s="66"/>
      <c r="C212" s="47" t="s">
        <v>760</v>
      </c>
      <c r="D212" t="s">
        <v>569</v>
      </c>
      <c r="F212"/>
      <c r="H212" s="3" t="s">
        <v>752</v>
      </c>
      <c r="I212" t="s">
        <v>599</v>
      </c>
      <c r="K212" s="15" t="s">
        <v>547</v>
      </c>
    </row>
    <row r="213" spans="1:11">
      <c r="A213" s="66"/>
      <c r="B213" s="66"/>
      <c r="C213" s="47" t="s">
        <v>761</v>
      </c>
      <c r="D213" t="s">
        <v>569</v>
      </c>
      <c r="F213"/>
      <c r="H213" s="3" t="s">
        <v>754</v>
      </c>
      <c r="I213" t="s">
        <v>599</v>
      </c>
      <c r="K213" s="15" t="s">
        <v>547</v>
      </c>
    </row>
    <row r="214" spans="1:11">
      <c r="A214" s="66"/>
      <c r="B214" s="66"/>
      <c r="C214" s="47" t="s">
        <v>762</v>
      </c>
      <c r="D214" t="s">
        <v>569</v>
      </c>
      <c r="F214"/>
      <c r="H214" s="3" t="s">
        <v>682</v>
      </c>
      <c r="I214" t="s">
        <v>599</v>
      </c>
      <c r="K214" s="15" t="s">
        <v>547</v>
      </c>
    </row>
    <row r="215" spans="1:11">
      <c r="A215" s="66"/>
      <c r="B215" s="66"/>
      <c r="C215" s="47" t="s">
        <v>763</v>
      </c>
      <c r="D215" t="s">
        <v>569</v>
      </c>
      <c r="F215"/>
      <c r="H215" s="3" t="s">
        <v>757</v>
      </c>
      <c r="I215" t="s">
        <v>599</v>
      </c>
      <c r="K215" s="15" t="s">
        <v>547</v>
      </c>
    </row>
    <row r="216" spans="1:11">
      <c r="A216" s="66"/>
      <c r="B216" s="66"/>
      <c r="C216" s="47" t="s">
        <v>764</v>
      </c>
      <c r="D216" t="s">
        <v>569</v>
      </c>
      <c r="F216"/>
      <c r="H216" s="3" t="s">
        <v>759</v>
      </c>
      <c r="I216" t="s">
        <v>599</v>
      </c>
      <c r="K216" s="15" t="s">
        <v>547</v>
      </c>
    </row>
    <row r="217" spans="1:11">
      <c r="A217" s="66"/>
      <c r="B217" s="66"/>
      <c r="C217" s="47" t="s">
        <v>765</v>
      </c>
      <c r="D217" t="s">
        <v>569</v>
      </c>
      <c r="F217"/>
      <c r="H217" s="3" t="s">
        <v>752</v>
      </c>
      <c r="I217" t="s">
        <v>745</v>
      </c>
      <c r="K217" s="15" t="s">
        <v>547</v>
      </c>
    </row>
    <row r="218" spans="1:11">
      <c r="A218" s="66"/>
      <c r="B218" s="66"/>
      <c r="C218" s="47" t="s">
        <v>766</v>
      </c>
      <c r="D218" t="s">
        <v>569</v>
      </c>
      <c r="F218"/>
      <c r="H218" s="3" t="s">
        <v>754</v>
      </c>
      <c r="I218" t="s">
        <v>745</v>
      </c>
      <c r="K218" s="15" t="s">
        <v>547</v>
      </c>
    </row>
    <row r="219" spans="1:11">
      <c r="A219" s="66"/>
      <c r="B219" s="66"/>
      <c r="C219" s="47" t="s">
        <v>767</v>
      </c>
      <c r="D219" t="s">
        <v>569</v>
      </c>
      <c r="F219"/>
      <c r="H219" s="3" t="s">
        <v>682</v>
      </c>
      <c r="I219" t="s">
        <v>745</v>
      </c>
      <c r="K219" s="15" t="s">
        <v>547</v>
      </c>
    </row>
    <row r="220" spans="1:11">
      <c r="A220" s="66"/>
      <c r="B220" s="66"/>
      <c r="C220" s="47" t="s">
        <v>768</v>
      </c>
      <c r="D220" t="s">
        <v>569</v>
      </c>
      <c r="F220"/>
      <c r="H220" s="3" t="s">
        <v>757</v>
      </c>
      <c r="I220" t="s">
        <v>745</v>
      </c>
      <c r="K220" s="15" t="s">
        <v>547</v>
      </c>
    </row>
    <row r="221" spans="1:11">
      <c r="A221" s="66"/>
      <c r="B221" s="66"/>
      <c r="C221" s="47" t="s">
        <v>769</v>
      </c>
      <c r="D221" t="s">
        <v>569</v>
      </c>
      <c r="F221"/>
      <c r="H221" s="3" t="s">
        <v>759</v>
      </c>
      <c r="I221" t="s">
        <v>745</v>
      </c>
      <c r="K221" s="15" t="s">
        <v>547</v>
      </c>
    </row>
    <row r="222" spans="1:11">
      <c r="A222" s="66"/>
      <c r="B222" s="66"/>
      <c r="C222" s="47" t="s">
        <v>770</v>
      </c>
      <c r="D222" t="s">
        <v>569</v>
      </c>
      <c r="F222"/>
      <c r="H222" s="3" t="s">
        <v>752</v>
      </c>
      <c r="I222" t="s">
        <v>550</v>
      </c>
      <c r="K222" s="15" t="s">
        <v>547</v>
      </c>
    </row>
    <row r="223" spans="1:11">
      <c r="A223" s="66"/>
      <c r="B223" s="66"/>
      <c r="C223" s="47" t="s">
        <v>771</v>
      </c>
      <c r="D223" t="s">
        <v>569</v>
      </c>
      <c r="F223"/>
      <c r="H223" s="3" t="s">
        <v>754</v>
      </c>
      <c r="I223" t="s">
        <v>550</v>
      </c>
      <c r="K223" s="15" t="s">
        <v>547</v>
      </c>
    </row>
    <row r="224" spans="1:11">
      <c r="A224" s="66"/>
      <c r="B224" s="66"/>
      <c r="C224" s="47" t="s">
        <v>772</v>
      </c>
      <c r="D224" t="s">
        <v>569</v>
      </c>
      <c r="F224"/>
      <c r="H224" s="3" t="s">
        <v>682</v>
      </c>
      <c r="I224" t="s">
        <v>550</v>
      </c>
      <c r="K224" s="15" t="s">
        <v>547</v>
      </c>
    </row>
    <row r="225" spans="1:11">
      <c r="A225" s="66"/>
      <c r="B225" s="66"/>
      <c r="C225" s="47" t="s">
        <v>773</v>
      </c>
      <c r="D225" t="s">
        <v>569</v>
      </c>
      <c r="F225"/>
      <c r="H225" s="3" t="s">
        <v>757</v>
      </c>
      <c r="I225" t="s">
        <v>550</v>
      </c>
      <c r="K225" s="15" t="s">
        <v>547</v>
      </c>
    </row>
    <row r="226" spans="1:11">
      <c r="A226" s="66"/>
      <c r="B226" s="66"/>
      <c r="C226" s="47" t="s">
        <v>774</v>
      </c>
      <c r="D226" t="s">
        <v>569</v>
      </c>
      <c r="F226"/>
      <c r="H226" s="3" t="s">
        <v>759</v>
      </c>
      <c r="I226" t="s">
        <v>550</v>
      </c>
      <c r="K226" s="15" t="s">
        <v>547</v>
      </c>
    </row>
    <row r="227" spans="1:11">
      <c r="A227" s="66"/>
      <c r="B227" s="66"/>
      <c r="C227" s="47" t="s">
        <v>775</v>
      </c>
      <c r="D227" t="s">
        <v>569</v>
      </c>
      <c r="F227"/>
      <c r="H227" s="3" t="s">
        <v>752</v>
      </c>
      <c r="I227" t="s">
        <v>748</v>
      </c>
      <c r="K227" s="15" t="s">
        <v>547</v>
      </c>
    </row>
    <row r="228" spans="1:11">
      <c r="A228" s="66"/>
      <c r="B228" s="66"/>
      <c r="C228" s="47" t="s">
        <v>776</v>
      </c>
      <c r="D228" t="s">
        <v>569</v>
      </c>
      <c r="F228"/>
      <c r="H228" s="3" t="s">
        <v>754</v>
      </c>
      <c r="I228" t="s">
        <v>748</v>
      </c>
      <c r="K228" s="15" t="s">
        <v>547</v>
      </c>
    </row>
    <row r="229" spans="1:11">
      <c r="A229" s="66"/>
      <c r="B229" s="66"/>
      <c r="C229" s="47" t="s">
        <v>777</v>
      </c>
      <c r="D229" t="s">
        <v>569</v>
      </c>
      <c r="F229"/>
      <c r="H229" s="3" t="s">
        <v>682</v>
      </c>
      <c r="I229" t="s">
        <v>748</v>
      </c>
      <c r="K229" s="15" t="s">
        <v>547</v>
      </c>
    </row>
    <row r="230" spans="1:11">
      <c r="A230" s="66"/>
      <c r="B230" s="66"/>
      <c r="C230" s="47" t="s">
        <v>778</v>
      </c>
      <c r="D230" t="s">
        <v>569</v>
      </c>
      <c r="F230"/>
      <c r="H230" s="3" t="s">
        <v>757</v>
      </c>
      <c r="I230" t="s">
        <v>748</v>
      </c>
      <c r="K230" s="15" t="s">
        <v>547</v>
      </c>
    </row>
    <row r="231" spans="1:11">
      <c r="A231" s="66"/>
      <c r="B231" s="66"/>
      <c r="C231" s="47" t="s">
        <v>779</v>
      </c>
      <c r="D231" t="s">
        <v>569</v>
      </c>
      <c r="F231"/>
      <c r="H231" s="3" t="s">
        <v>759</v>
      </c>
      <c r="I231" t="s">
        <v>748</v>
      </c>
      <c r="K231" s="15" t="s">
        <v>547</v>
      </c>
    </row>
    <row r="232" spans="1:11">
      <c r="A232" s="66"/>
      <c r="B232" s="66"/>
      <c r="C232" s="47" t="s">
        <v>780</v>
      </c>
      <c r="D232" t="s">
        <v>569</v>
      </c>
      <c r="F232"/>
      <c r="H232" s="3" t="s">
        <v>752</v>
      </c>
      <c r="I232" t="s">
        <v>620</v>
      </c>
      <c r="K232" s="15" t="s">
        <v>547</v>
      </c>
    </row>
    <row r="233" spans="1:11">
      <c r="A233" s="66"/>
      <c r="B233" s="66"/>
      <c r="C233" s="47" t="s">
        <v>781</v>
      </c>
      <c r="D233" t="s">
        <v>569</v>
      </c>
      <c r="F233"/>
      <c r="H233" s="3" t="s">
        <v>754</v>
      </c>
      <c r="I233" t="s">
        <v>620</v>
      </c>
      <c r="K233" s="15" t="s">
        <v>547</v>
      </c>
    </row>
    <row r="234" spans="1:11">
      <c r="A234" s="66"/>
      <c r="B234" s="66"/>
      <c r="C234" s="47" t="s">
        <v>782</v>
      </c>
      <c r="D234" t="s">
        <v>569</v>
      </c>
      <c r="F234"/>
      <c r="H234" s="3" t="s">
        <v>682</v>
      </c>
      <c r="I234" t="s">
        <v>620</v>
      </c>
      <c r="K234" s="15" t="s">
        <v>547</v>
      </c>
    </row>
    <row r="235" spans="1:11">
      <c r="A235" s="66"/>
      <c r="B235" s="66"/>
      <c r="C235" s="47" t="s">
        <v>783</v>
      </c>
      <c r="D235" t="s">
        <v>569</v>
      </c>
      <c r="F235"/>
      <c r="H235" s="3" t="s">
        <v>757</v>
      </c>
      <c r="I235" t="s">
        <v>620</v>
      </c>
      <c r="K235" s="15" t="s">
        <v>547</v>
      </c>
    </row>
    <row r="236" spans="1:11">
      <c r="A236" s="66"/>
      <c r="B236" s="66"/>
      <c r="C236" s="47" t="s">
        <v>784</v>
      </c>
      <c r="D236" t="s">
        <v>569</v>
      </c>
      <c r="F236"/>
      <c r="H236" s="3" t="s">
        <v>759</v>
      </c>
      <c r="I236" t="s">
        <v>620</v>
      </c>
      <c r="K236" s="15" t="s">
        <v>547</v>
      </c>
    </row>
    <row r="237" spans="1:11">
      <c r="A237" s="66"/>
      <c r="B237" s="66"/>
      <c r="C237" s="47" t="s">
        <v>785</v>
      </c>
      <c r="D237" t="s">
        <v>569</v>
      </c>
      <c r="F237"/>
      <c r="H237" s="3" t="s">
        <v>752</v>
      </c>
      <c r="I237" t="s">
        <v>576</v>
      </c>
      <c r="K237" s="15" t="s">
        <v>547</v>
      </c>
    </row>
    <row r="238" spans="1:11">
      <c r="A238" s="66"/>
      <c r="B238" s="66"/>
      <c r="C238" s="47" t="s">
        <v>786</v>
      </c>
      <c r="D238" t="s">
        <v>569</v>
      </c>
      <c r="F238"/>
      <c r="H238" s="3" t="s">
        <v>754</v>
      </c>
      <c r="I238" t="s">
        <v>576</v>
      </c>
      <c r="K238" s="15" t="s">
        <v>547</v>
      </c>
    </row>
    <row r="239" spans="1:11">
      <c r="A239" s="66"/>
      <c r="B239" s="66"/>
      <c r="C239" s="47" t="s">
        <v>787</v>
      </c>
      <c r="D239" t="s">
        <v>569</v>
      </c>
      <c r="F239"/>
      <c r="H239" s="3" t="s">
        <v>682</v>
      </c>
      <c r="I239" t="s">
        <v>576</v>
      </c>
      <c r="K239" s="15" t="s">
        <v>547</v>
      </c>
    </row>
    <row r="240" spans="1:11">
      <c r="A240" s="66"/>
      <c r="B240" s="66"/>
      <c r="C240" s="47" t="s">
        <v>788</v>
      </c>
      <c r="D240" t="s">
        <v>569</v>
      </c>
      <c r="F240"/>
      <c r="H240" s="3" t="s">
        <v>757</v>
      </c>
      <c r="I240" t="s">
        <v>576</v>
      </c>
      <c r="K240" s="15" t="s">
        <v>547</v>
      </c>
    </row>
    <row r="241" spans="1:11">
      <c r="A241" s="66"/>
      <c r="B241" s="66"/>
      <c r="C241" s="47" t="s">
        <v>789</v>
      </c>
      <c r="D241" t="s">
        <v>569</v>
      </c>
      <c r="F241"/>
      <c r="H241" s="3" t="s">
        <v>759</v>
      </c>
      <c r="I241" t="s">
        <v>576</v>
      </c>
      <c r="K241" s="15" t="s">
        <v>547</v>
      </c>
    </row>
    <row r="242" spans="1:11">
      <c r="A242" s="66"/>
      <c r="B242" s="66"/>
      <c r="C242" s="47" t="s">
        <v>790</v>
      </c>
      <c r="D242" t="s">
        <v>632</v>
      </c>
      <c r="F242"/>
      <c r="H242" s="3"/>
      <c r="I242"/>
    </row>
    <row r="243" spans="1:11">
      <c r="A243" s="66"/>
      <c r="B243" s="66"/>
      <c r="C243" s="47" t="s">
        <v>791</v>
      </c>
      <c r="D243" t="s">
        <v>632</v>
      </c>
      <c r="F243"/>
      <c r="H243" s="3"/>
      <c r="I243"/>
    </row>
    <row r="244" spans="1:11">
      <c r="A244" s="66"/>
      <c r="B244" s="66"/>
      <c r="C244" s="47" t="s">
        <v>792</v>
      </c>
      <c r="D244" t="s">
        <v>632</v>
      </c>
      <c r="F244"/>
      <c r="H244" s="3"/>
      <c r="I244"/>
    </row>
    <row r="245" spans="1:11">
      <c r="A245" s="66"/>
      <c r="B245" s="66"/>
      <c r="C245" s="47" t="s">
        <v>793</v>
      </c>
      <c r="D245" t="s">
        <v>632</v>
      </c>
      <c r="F245"/>
      <c r="H245" s="3"/>
      <c r="I245"/>
    </row>
    <row r="246" spans="1:11">
      <c r="A246" s="66"/>
      <c r="B246" s="66"/>
      <c r="C246" s="47" t="s">
        <v>794</v>
      </c>
      <c r="D246" t="s">
        <v>632</v>
      </c>
      <c r="F246"/>
      <c r="H246" s="3"/>
      <c r="I246"/>
    </row>
    <row r="247" spans="1:11">
      <c r="A247" s="66"/>
      <c r="B247" s="66"/>
      <c r="C247" s="47" t="s">
        <v>795</v>
      </c>
      <c r="D247" t="s">
        <v>632</v>
      </c>
      <c r="F247"/>
      <c r="H247" s="3"/>
      <c r="I247"/>
    </row>
    <row r="248" spans="1:11">
      <c r="A248" s="66"/>
      <c r="B248" s="66"/>
      <c r="C248" s="47" t="s">
        <v>796</v>
      </c>
      <c r="D248" t="s">
        <v>632</v>
      </c>
      <c r="F248"/>
      <c r="H248" s="3"/>
      <c r="I248"/>
    </row>
    <row r="249" spans="1:11">
      <c r="A249" s="66"/>
      <c r="B249" s="66"/>
      <c r="C249" s="47" t="s">
        <v>797</v>
      </c>
      <c r="D249" t="s">
        <v>632</v>
      </c>
      <c r="F249"/>
      <c r="H249" s="3"/>
      <c r="I249"/>
    </row>
    <row r="250" spans="1:11">
      <c r="A250" s="66"/>
      <c r="B250" s="66"/>
      <c r="C250" s="47" t="s">
        <v>798</v>
      </c>
      <c r="D250" t="s">
        <v>632</v>
      </c>
      <c r="F250"/>
      <c r="H250" s="3"/>
      <c r="I250"/>
    </row>
    <row r="251" spans="1:11">
      <c r="A251" s="66"/>
      <c r="B251" s="66"/>
      <c r="C251" s="47" t="s">
        <v>799</v>
      </c>
      <c r="D251" t="s">
        <v>632</v>
      </c>
      <c r="F251"/>
      <c r="H251" s="3"/>
      <c r="I251"/>
    </row>
    <row r="252" spans="1:11">
      <c r="A252" s="66"/>
      <c r="B252" s="66"/>
      <c r="C252" s="47" t="s">
        <v>800</v>
      </c>
      <c r="D252" t="s">
        <v>632</v>
      </c>
      <c r="F252"/>
      <c r="H252" s="3"/>
      <c r="I252"/>
    </row>
    <row r="253" spans="1:11">
      <c r="A253" s="66"/>
      <c r="B253" s="66"/>
      <c r="C253" s="47" t="s">
        <v>801</v>
      </c>
      <c r="D253" t="s">
        <v>632</v>
      </c>
      <c r="F253"/>
      <c r="H253" s="3"/>
      <c r="I253"/>
    </row>
    <row r="254" spans="1:11">
      <c r="A254" s="66"/>
      <c r="B254" s="66"/>
      <c r="C254" s="47" t="s">
        <v>802</v>
      </c>
      <c r="D254" t="s">
        <v>632</v>
      </c>
      <c r="F254"/>
      <c r="H254" s="3"/>
      <c r="I254"/>
    </row>
    <row r="255" spans="1:11">
      <c r="A255" s="66"/>
      <c r="B255" s="66"/>
      <c r="C255" s="47" t="s">
        <v>803</v>
      </c>
      <c r="D255" t="s">
        <v>632</v>
      </c>
      <c r="F255"/>
      <c r="H255" s="3"/>
      <c r="I255"/>
    </row>
    <row r="256" spans="1:11">
      <c r="A256" s="66"/>
      <c r="B256" s="66"/>
      <c r="C256" s="47" t="s">
        <v>804</v>
      </c>
      <c r="D256" t="s">
        <v>632</v>
      </c>
      <c r="F256"/>
      <c r="H256" s="3"/>
      <c r="I256"/>
    </row>
    <row r="257" spans="1:9">
      <c r="A257" s="66"/>
      <c r="B257" s="66"/>
      <c r="C257" s="47" t="s">
        <v>805</v>
      </c>
      <c r="D257" t="s">
        <v>632</v>
      </c>
      <c r="F257"/>
      <c r="H257" s="3"/>
      <c r="I257"/>
    </row>
    <row r="258" spans="1:9">
      <c r="A258" s="66"/>
      <c r="B258" s="66"/>
      <c r="C258" s="47" t="s">
        <v>806</v>
      </c>
      <c r="D258" t="s">
        <v>632</v>
      </c>
      <c r="F258"/>
      <c r="H258" s="3"/>
      <c r="I258"/>
    </row>
    <row r="259" spans="1:9">
      <c r="A259" s="66"/>
      <c r="B259" s="66"/>
      <c r="C259" s="47" t="s">
        <v>807</v>
      </c>
      <c r="D259" t="s">
        <v>632</v>
      </c>
      <c r="F259"/>
      <c r="H259" s="3"/>
      <c r="I259"/>
    </row>
    <row r="260" spans="1:9">
      <c r="A260" s="66"/>
      <c r="B260" s="66"/>
      <c r="C260" s="47" t="s">
        <v>808</v>
      </c>
      <c r="D260" t="s">
        <v>632</v>
      </c>
      <c r="F260"/>
      <c r="H260" s="3"/>
      <c r="I260"/>
    </row>
    <row r="261" spans="1:9">
      <c r="A261" s="66"/>
      <c r="B261" s="66"/>
      <c r="C261" s="47" t="s">
        <v>809</v>
      </c>
      <c r="D261" t="s">
        <v>632</v>
      </c>
      <c r="F261"/>
      <c r="H261" s="3"/>
      <c r="I261"/>
    </row>
    <row r="262" spans="1:9">
      <c r="A262" s="66"/>
      <c r="B262" s="66"/>
      <c r="C262" s="47" t="s">
        <v>810</v>
      </c>
      <c r="D262" t="s">
        <v>632</v>
      </c>
      <c r="F262"/>
      <c r="H262" s="3"/>
      <c r="I262"/>
    </row>
    <row r="263" spans="1:9">
      <c r="A263" s="66"/>
      <c r="B263" s="66"/>
      <c r="C263" s="47" t="s">
        <v>811</v>
      </c>
      <c r="D263" t="s">
        <v>632</v>
      </c>
      <c r="F263"/>
      <c r="H263" s="3"/>
      <c r="I263"/>
    </row>
    <row r="264" spans="1:9">
      <c r="A264" s="66"/>
      <c r="B264" s="66"/>
      <c r="C264" s="47" t="s">
        <v>812</v>
      </c>
      <c r="D264" t="s">
        <v>632</v>
      </c>
      <c r="F264"/>
      <c r="H264" s="3"/>
      <c r="I264"/>
    </row>
    <row r="265" spans="1:9">
      <c r="A265" s="66"/>
      <c r="B265" s="66"/>
      <c r="C265" s="47" t="s">
        <v>813</v>
      </c>
      <c r="D265" t="s">
        <v>632</v>
      </c>
      <c r="F265"/>
      <c r="H265" s="3"/>
      <c r="I265"/>
    </row>
    <row r="266" spans="1:9">
      <c r="A266" s="66"/>
      <c r="B266" s="66"/>
      <c r="C266" s="47" t="s">
        <v>814</v>
      </c>
      <c r="D266" t="s">
        <v>632</v>
      </c>
      <c r="F266"/>
      <c r="H266" s="3"/>
      <c r="I266"/>
    </row>
    <row r="267" spans="1:9">
      <c r="A267" s="66"/>
      <c r="B267" s="66"/>
      <c r="C267" s="47" t="s">
        <v>815</v>
      </c>
      <c r="D267" t="s">
        <v>632</v>
      </c>
      <c r="F267"/>
      <c r="H267" s="3"/>
      <c r="I267"/>
    </row>
    <row r="268" spans="1:9">
      <c r="A268" s="66"/>
      <c r="B268" s="66"/>
      <c r="C268" s="47" t="s">
        <v>816</v>
      </c>
      <c r="D268" t="s">
        <v>632</v>
      </c>
      <c r="F268"/>
      <c r="H268" s="3"/>
      <c r="I268"/>
    </row>
    <row r="269" spans="1:9">
      <c r="A269" s="66"/>
      <c r="B269" s="66"/>
      <c r="C269" s="47" t="s">
        <v>817</v>
      </c>
      <c r="D269" t="s">
        <v>632</v>
      </c>
      <c r="F269"/>
      <c r="H269" s="3"/>
      <c r="I269"/>
    </row>
    <row r="270" spans="1:9">
      <c r="A270" s="66"/>
      <c r="B270" s="66"/>
      <c r="C270" s="47" t="s">
        <v>818</v>
      </c>
      <c r="D270" t="s">
        <v>632</v>
      </c>
      <c r="F270"/>
      <c r="H270" s="3"/>
      <c r="I270"/>
    </row>
    <row r="271" spans="1:9">
      <c r="A271" s="66"/>
      <c r="B271" s="66"/>
      <c r="C271" s="47" t="s">
        <v>819</v>
      </c>
      <c r="D271" t="s">
        <v>632</v>
      </c>
      <c r="F271"/>
      <c r="H271" s="3"/>
      <c r="I271"/>
    </row>
    <row r="272" spans="1:9">
      <c r="A272" s="66"/>
      <c r="B272" s="66"/>
      <c r="C272" s="47" t="s">
        <v>820</v>
      </c>
      <c r="D272" t="s">
        <v>632</v>
      </c>
      <c r="F272"/>
      <c r="H272" s="3"/>
      <c r="I272"/>
    </row>
    <row r="273" spans="1:12">
      <c r="A273" s="66"/>
      <c r="B273" s="66"/>
      <c r="C273" s="47" t="s">
        <v>821</v>
      </c>
      <c r="D273" t="s">
        <v>632</v>
      </c>
      <c r="F273"/>
      <c r="H273" s="3"/>
      <c r="I273"/>
    </row>
    <row r="274" spans="1:12">
      <c r="A274" s="66"/>
      <c r="B274" s="66"/>
      <c r="C274" s="47" t="s">
        <v>822</v>
      </c>
      <c r="D274" t="s">
        <v>632</v>
      </c>
      <c r="F274"/>
      <c r="H274" s="3"/>
      <c r="I274"/>
    </row>
    <row r="275" spans="1:12">
      <c r="A275" s="66"/>
      <c r="B275" s="66"/>
      <c r="C275" s="47" t="s">
        <v>823</v>
      </c>
      <c r="D275" t="s">
        <v>632</v>
      </c>
      <c r="F275"/>
      <c r="H275" s="3"/>
      <c r="I275"/>
    </row>
    <row r="276" spans="1:12">
      <c r="A276" s="66"/>
      <c r="B276" s="66"/>
      <c r="C276" s="47" t="s">
        <v>824</v>
      </c>
      <c r="D276" t="s">
        <v>632</v>
      </c>
      <c r="F276"/>
      <c r="H276" s="3"/>
      <c r="I276"/>
    </row>
    <row r="277" spans="1:12">
      <c r="A277" s="66"/>
      <c r="B277" s="66"/>
      <c r="C277" s="47" t="s">
        <v>825</v>
      </c>
      <c r="D277" t="s">
        <v>632</v>
      </c>
      <c r="F277"/>
      <c r="H277" s="3"/>
      <c r="I277"/>
    </row>
    <row r="278" spans="1:12">
      <c r="A278" s="66"/>
      <c r="B278" s="66"/>
      <c r="C278" s="47" t="s">
        <v>826</v>
      </c>
      <c r="D278" t="s">
        <v>632</v>
      </c>
      <c r="F278"/>
      <c r="H278" s="3"/>
      <c r="I278"/>
    </row>
    <row r="279" spans="1:12">
      <c r="A279" s="66"/>
      <c r="B279" s="66"/>
      <c r="C279" s="47" t="s">
        <v>827</v>
      </c>
      <c r="D279" t="s">
        <v>632</v>
      </c>
      <c r="F279"/>
      <c r="H279" s="3"/>
      <c r="I279"/>
    </row>
    <row r="280" spans="1:12">
      <c r="A280" s="66"/>
      <c r="B280" s="66"/>
      <c r="C280" s="47" t="s">
        <v>828</v>
      </c>
      <c r="D280" t="s">
        <v>632</v>
      </c>
      <c r="F280"/>
      <c r="H280" s="3"/>
      <c r="I280"/>
    </row>
    <row r="281" spans="1:12">
      <c r="A281" s="66"/>
      <c r="B281" s="66"/>
      <c r="C281" s="47" t="s">
        <v>829</v>
      </c>
      <c r="D281" t="s">
        <v>632</v>
      </c>
      <c r="F281"/>
      <c r="H281" s="3"/>
      <c r="I281"/>
    </row>
    <row r="282" spans="1:12">
      <c r="A282" s="66"/>
      <c r="B282" s="66"/>
      <c r="C282" s="47" t="s">
        <v>830</v>
      </c>
      <c r="D282" t="s">
        <v>632</v>
      </c>
      <c r="F282"/>
      <c r="H282" s="3"/>
      <c r="I282"/>
    </row>
    <row r="283" spans="1:12">
      <c r="A283" s="66"/>
      <c r="B283" s="66"/>
      <c r="C283" s="47" t="s">
        <v>831</v>
      </c>
      <c r="D283" t="s">
        <v>632</v>
      </c>
      <c r="F283"/>
      <c r="H283" s="3"/>
      <c r="I283"/>
    </row>
    <row r="284" spans="1:12">
      <c r="A284" s="66"/>
      <c r="B284" s="66"/>
      <c r="C284" s="47" t="s">
        <v>832</v>
      </c>
      <c r="D284" t="s">
        <v>632</v>
      </c>
      <c r="F284"/>
      <c r="H284" s="3"/>
      <c r="I284"/>
    </row>
    <row r="285" spans="1:12">
      <c r="A285" s="66"/>
      <c r="B285" s="66"/>
      <c r="C285" s="47" t="s">
        <v>833</v>
      </c>
      <c r="D285" t="s">
        <v>632</v>
      </c>
      <c r="F285"/>
      <c r="H285" s="3"/>
      <c r="I285"/>
    </row>
    <row r="286" spans="1:12">
      <c r="A286" s="66"/>
      <c r="B286" s="66"/>
      <c r="C286" s="47" t="s">
        <v>834</v>
      </c>
      <c r="D286" t="s">
        <v>632</v>
      </c>
      <c r="F286"/>
      <c r="H286" s="3"/>
      <c r="I286"/>
    </row>
    <row r="287" spans="1:12">
      <c r="A287" s="66"/>
      <c r="B287" s="66"/>
      <c r="C287" s="47" t="s">
        <v>835</v>
      </c>
      <c r="D287" t="s">
        <v>543</v>
      </c>
      <c r="E287">
        <v>597</v>
      </c>
      <c r="F287">
        <v>1</v>
      </c>
      <c r="G287" s="61">
        <v>79.1875</v>
      </c>
      <c r="H287" s="3" t="s">
        <v>609</v>
      </c>
      <c r="I287" t="s">
        <v>545</v>
      </c>
      <c r="J287" s="15" t="s">
        <v>546</v>
      </c>
      <c r="K287" s="15" t="s">
        <v>547</v>
      </c>
      <c r="L287" s="15" t="s">
        <v>546</v>
      </c>
    </row>
    <row r="288" spans="1:12">
      <c r="A288" s="66"/>
      <c r="B288" s="66"/>
      <c r="C288" s="47" t="s">
        <v>836</v>
      </c>
      <c r="D288" t="s">
        <v>569</v>
      </c>
      <c r="F288"/>
      <c r="H288" s="3" t="s">
        <v>609</v>
      </c>
      <c r="I288" t="s">
        <v>545</v>
      </c>
      <c r="K288" s="15" t="s">
        <v>547</v>
      </c>
    </row>
    <row r="289" spans="1:12">
      <c r="A289" s="66"/>
      <c r="B289" s="66"/>
      <c r="C289" s="47" t="s">
        <v>837</v>
      </c>
      <c r="D289" t="s">
        <v>543</v>
      </c>
      <c r="E289">
        <v>600</v>
      </c>
      <c r="F289">
        <v>1</v>
      </c>
      <c r="G289" s="61">
        <v>78.494699999999995</v>
      </c>
      <c r="H289" s="3">
        <v>0.85</v>
      </c>
      <c r="I289" t="s">
        <v>609</v>
      </c>
      <c r="J289" s="15" t="s">
        <v>546</v>
      </c>
      <c r="K289" s="15" t="s">
        <v>547</v>
      </c>
      <c r="L289" s="15" t="s">
        <v>546</v>
      </c>
    </row>
    <row r="290" spans="1:12">
      <c r="A290" s="66"/>
      <c r="B290" s="66"/>
      <c r="C290" s="47" t="s">
        <v>838</v>
      </c>
      <c r="D290" t="s">
        <v>569</v>
      </c>
      <c r="F290"/>
      <c r="H290" s="3">
        <v>0.85</v>
      </c>
      <c r="I290" t="s">
        <v>609</v>
      </c>
      <c r="K290" s="15" t="s">
        <v>547</v>
      </c>
    </row>
    <row r="291" spans="1:12">
      <c r="A291" s="64"/>
      <c r="B291" s="64"/>
      <c r="C291" s="48" t="s">
        <v>839</v>
      </c>
      <c r="D291" t="s">
        <v>561</v>
      </c>
      <c r="E291">
        <v>603</v>
      </c>
      <c r="F291" s="1">
        <v>1</v>
      </c>
      <c r="G291" s="61">
        <v>159.625</v>
      </c>
      <c r="H291" s="3">
        <v>0</v>
      </c>
      <c r="I291" t="s">
        <v>609</v>
      </c>
      <c r="K291" s="15" t="s">
        <v>547</v>
      </c>
    </row>
    <row r="292" spans="1:12">
      <c r="A292" s="63" t="s">
        <v>369</v>
      </c>
      <c r="B292" s="63" t="s">
        <v>369</v>
      </c>
      <c r="C292" s="13" t="s">
        <v>841</v>
      </c>
      <c r="D292" t="s">
        <v>639</v>
      </c>
      <c r="F292"/>
      <c r="H292" s="3" t="s">
        <v>842</v>
      </c>
      <c r="I292" t="s">
        <v>552</v>
      </c>
      <c r="K292" s="15" t="s">
        <v>547</v>
      </c>
    </row>
    <row r="293" spans="1:12">
      <c r="A293" s="66"/>
      <c r="B293" s="66"/>
      <c r="C293" s="47" t="s">
        <v>843</v>
      </c>
      <c r="D293" t="s">
        <v>543</v>
      </c>
      <c r="E293">
        <v>610</v>
      </c>
      <c r="F293">
        <v>1</v>
      </c>
      <c r="G293" s="61">
        <v>73.101399999999998</v>
      </c>
      <c r="H293" s="3" t="s">
        <v>844</v>
      </c>
      <c r="I293" t="s">
        <v>545</v>
      </c>
      <c r="J293" s="15" t="s">
        <v>546</v>
      </c>
      <c r="K293" s="15" t="s">
        <v>547</v>
      </c>
      <c r="L293" s="15" t="s">
        <v>546</v>
      </c>
    </row>
    <row r="294" spans="1:12">
      <c r="A294" s="66"/>
      <c r="B294" s="66"/>
      <c r="C294" s="47" t="s">
        <v>845</v>
      </c>
      <c r="D294" t="s">
        <v>569</v>
      </c>
      <c r="F294"/>
      <c r="H294" s="3" t="s">
        <v>844</v>
      </c>
      <c r="I294" t="s">
        <v>545</v>
      </c>
      <c r="K294" s="15" t="s">
        <v>547</v>
      </c>
    </row>
    <row r="295" spans="1:12">
      <c r="A295" s="66"/>
      <c r="B295" s="66"/>
      <c r="C295" s="47" t="s">
        <v>846</v>
      </c>
      <c r="D295" t="s">
        <v>543</v>
      </c>
      <c r="E295">
        <v>613</v>
      </c>
      <c r="F295">
        <v>1</v>
      </c>
      <c r="G295" s="61">
        <v>71.224900000000005</v>
      </c>
      <c r="H295" s="3" t="s">
        <v>847</v>
      </c>
      <c r="I295" t="s">
        <v>552</v>
      </c>
      <c r="J295" s="15" t="s">
        <v>546</v>
      </c>
      <c r="K295" s="15" t="s">
        <v>547</v>
      </c>
      <c r="L295" s="15" t="s">
        <v>546</v>
      </c>
    </row>
    <row r="296" spans="1:12">
      <c r="A296" s="66"/>
      <c r="B296" s="66"/>
      <c r="C296" s="47" t="s">
        <v>848</v>
      </c>
      <c r="D296" t="s">
        <v>569</v>
      </c>
      <c r="F296"/>
      <c r="H296" s="3" t="s">
        <v>847</v>
      </c>
      <c r="I296" t="s">
        <v>552</v>
      </c>
      <c r="K296" s="15" t="s">
        <v>547</v>
      </c>
    </row>
    <row r="297" spans="1:12">
      <c r="A297" s="66"/>
      <c r="B297" s="66"/>
      <c r="C297" s="47" t="s">
        <v>849</v>
      </c>
      <c r="D297" t="s">
        <v>543</v>
      </c>
      <c r="E297">
        <v>616</v>
      </c>
      <c r="F297">
        <v>1</v>
      </c>
      <c r="G297" s="61">
        <v>72.438599999999994</v>
      </c>
      <c r="H297" s="3" t="s">
        <v>850</v>
      </c>
      <c r="I297" t="s">
        <v>620</v>
      </c>
      <c r="J297" s="15" t="s">
        <v>546</v>
      </c>
      <c r="K297" s="15" t="s">
        <v>547</v>
      </c>
      <c r="L297" s="15" t="s">
        <v>546</v>
      </c>
    </row>
    <row r="298" spans="1:12">
      <c r="A298" s="66"/>
      <c r="B298" s="66"/>
      <c r="C298" s="47" t="s">
        <v>851</v>
      </c>
      <c r="D298" t="s">
        <v>569</v>
      </c>
      <c r="F298"/>
      <c r="H298" s="3" t="s">
        <v>850</v>
      </c>
      <c r="I298" t="s">
        <v>620</v>
      </c>
      <c r="K298" s="15" t="s">
        <v>547</v>
      </c>
    </row>
    <row r="299" spans="1:12">
      <c r="A299" s="66"/>
      <c r="B299" s="66"/>
      <c r="C299" s="47" t="s">
        <v>852</v>
      </c>
      <c r="D299" t="s">
        <v>632</v>
      </c>
      <c r="F299"/>
      <c r="H299" s="3"/>
      <c r="I299"/>
    </row>
    <row r="300" spans="1:12">
      <c r="A300" s="66"/>
      <c r="B300" s="66"/>
      <c r="C300" s="47" t="s">
        <v>853</v>
      </c>
      <c r="D300" t="s">
        <v>543</v>
      </c>
      <c r="E300">
        <v>620</v>
      </c>
      <c r="F300">
        <v>1</v>
      </c>
      <c r="G300" s="61">
        <v>71.872900000000001</v>
      </c>
      <c r="H300" s="3" t="s">
        <v>850</v>
      </c>
      <c r="I300" t="s">
        <v>552</v>
      </c>
      <c r="J300" s="15" t="s">
        <v>546</v>
      </c>
      <c r="K300" s="15" t="s">
        <v>547</v>
      </c>
      <c r="L300" s="15" t="s">
        <v>546</v>
      </c>
    </row>
    <row r="301" spans="1:12">
      <c r="A301" s="66"/>
      <c r="B301" s="66"/>
      <c r="C301" s="47" t="s">
        <v>854</v>
      </c>
      <c r="D301" t="s">
        <v>569</v>
      </c>
      <c r="F301"/>
      <c r="H301" s="3" t="s">
        <v>850</v>
      </c>
      <c r="I301" t="s">
        <v>552</v>
      </c>
      <c r="K301" s="15" t="s">
        <v>547</v>
      </c>
    </row>
    <row r="302" spans="1:12">
      <c r="A302" s="64"/>
      <c r="B302" s="64"/>
      <c r="C302" s="48" t="s">
        <v>855</v>
      </c>
      <c r="D302" t="s">
        <v>632</v>
      </c>
      <c r="F302"/>
      <c r="H302" s="3"/>
      <c r="I302"/>
    </row>
    <row r="303" spans="1:12">
      <c r="A303" s="63" t="s">
        <v>370</v>
      </c>
      <c r="B303" s="63" t="s">
        <v>370</v>
      </c>
      <c r="C303" s="13" t="s">
        <v>900</v>
      </c>
      <c r="D303" t="s">
        <v>543</v>
      </c>
      <c r="E303">
        <v>626</v>
      </c>
      <c r="F303">
        <v>1</v>
      </c>
      <c r="G303" s="61">
        <v>73.277100000000004</v>
      </c>
      <c r="H303" s="3" t="s">
        <v>901</v>
      </c>
      <c r="I303" t="s">
        <v>545</v>
      </c>
      <c r="J303" s="15" t="s">
        <v>546</v>
      </c>
      <c r="K303" s="15" t="s">
        <v>547</v>
      </c>
      <c r="L303" s="15" t="s">
        <v>546</v>
      </c>
    </row>
    <row r="304" spans="1:12">
      <c r="A304" s="66"/>
      <c r="B304" s="66"/>
      <c r="C304" s="47" t="s">
        <v>902</v>
      </c>
      <c r="D304" t="s">
        <v>569</v>
      </c>
      <c r="F304"/>
      <c r="H304" s="3" t="s">
        <v>901</v>
      </c>
      <c r="I304" t="s">
        <v>545</v>
      </c>
      <c r="K304" s="15" t="s">
        <v>547</v>
      </c>
    </row>
    <row r="305" spans="1:12">
      <c r="A305" s="66"/>
      <c r="B305" s="66"/>
      <c r="C305" s="47" t="s">
        <v>903</v>
      </c>
      <c r="D305" t="s">
        <v>543</v>
      </c>
      <c r="E305">
        <v>629</v>
      </c>
      <c r="F305">
        <v>1</v>
      </c>
      <c r="G305" s="61">
        <v>71.831599999999995</v>
      </c>
      <c r="H305" s="3" t="s">
        <v>850</v>
      </c>
      <c r="I305" t="s">
        <v>554</v>
      </c>
      <c r="J305" s="15" t="s">
        <v>546</v>
      </c>
      <c r="K305" s="15" t="s">
        <v>547</v>
      </c>
      <c r="L305" s="15" t="s">
        <v>546</v>
      </c>
    </row>
    <row r="306" spans="1:12">
      <c r="A306" s="66"/>
      <c r="B306" s="66"/>
      <c r="C306" s="47" t="s">
        <v>904</v>
      </c>
      <c r="D306" t="s">
        <v>569</v>
      </c>
      <c r="F306"/>
      <c r="H306" s="3" t="s">
        <v>850</v>
      </c>
      <c r="I306" t="s">
        <v>554</v>
      </c>
      <c r="K306" s="15" t="s">
        <v>547</v>
      </c>
    </row>
    <row r="307" spans="1:12">
      <c r="A307" s="66"/>
      <c r="B307" s="66"/>
      <c r="C307" s="47" t="s">
        <v>905</v>
      </c>
      <c r="D307" t="s">
        <v>543</v>
      </c>
      <c r="E307">
        <v>632</v>
      </c>
      <c r="F307">
        <v>1</v>
      </c>
      <c r="G307" s="61">
        <v>71.896799999999999</v>
      </c>
      <c r="H307" s="3" t="s">
        <v>906</v>
      </c>
      <c r="I307" t="s">
        <v>552</v>
      </c>
      <c r="J307" s="15" t="s">
        <v>546</v>
      </c>
      <c r="K307" s="15" t="s">
        <v>547</v>
      </c>
      <c r="L307" s="15" t="s">
        <v>546</v>
      </c>
    </row>
    <row r="308" spans="1:12">
      <c r="A308" s="66"/>
      <c r="B308" s="66"/>
      <c r="C308" s="47" t="s">
        <v>907</v>
      </c>
      <c r="D308" t="s">
        <v>569</v>
      </c>
      <c r="F308"/>
      <c r="H308" s="3" t="s">
        <v>906</v>
      </c>
      <c r="I308" t="s">
        <v>552</v>
      </c>
      <c r="K308" s="15" t="s">
        <v>547</v>
      </c>
    </row>
    <row r="309" spans="1:12">
      <c r="A309" s="66"/>
      <c r="B309" s="66"/>
      <c r="C309" s="47" t="s">
        <v>908</v>
      </c>
      <c r="D309" t="s">
        <v>632</v>
      </c>
      <c r="F309"/>
      <c r="H309" s="3"/>
      <c r="I309"/>
    </row>
    <row r="310" spans="1:12">
      <c r="A310" s="66"/>
      <c r="B310" s="66"/>
      <c r="C310" s="47" t="s">
        <v>909</v>
      </c>
      <c r="D310" t="s">
        <v>543</v>
      </c>
      <c r="E310">
        <v>636</v>
      </c>
      <c r="F310">
        <v>1</v>
      </c>
      <c r="G310" s="61">
        <v>71.729200000000006</v>
      </c>
      <c r="H310" s="3" t="s">
        <v>906</v>
      </c>
      <c r="I310" t="s">
        <v>554</v>
      </c>
      <c r="J310" s="15" t="s">
        <v>546</v>
      </c>
      <c r="K310" s="15" t="s">
        <v>547</v>
      </c>
      <c r="L310" s="15" t="s">
        <v>546</v>
      </c>
    </row>
    <row r="311" spans="1:12">
      <c r="A311" s="64"/>
      <c r="B311" s="64"/>
      <c r="C311" s="48" t="s">
        <v>910</v>
      </c>
      <c r="D311" t="s">
        <v>569</v>
      </c>
      <c r="F311"/>
      <c r="H311" s="3" t="s">
        <v>906</v>
      </c>
      <c r="I311" t="s">
        <v>554</v>
      </c>
      <c r="K311" s="15" t="s">
        <v>547</v>
      </c>
    </row>
  </sheetData>
  <autoFilter ref="A1:N315" xr:uid="{AE5A445C-7D30-4958-80ED-2DF7BAC7F85B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82FD-CC7D-4251-AEFC-2A9244D2EB95}">
  <sheetPr codeName="Sheet10"/>
  <dimension ref="A1:P714"/>
  <sheetViews>
    <sheetView zoomScale="85" zoomScaleNormal="85" workbookViewId="0">
      <pane ySplit="2" topLeftCell="A159" activePane="bottomLeft" state="frozen"/>
      <selection pane="bottomLeft" activeCell="A5" sqref="A5"/>
    </sheetView>
  </sheetViews>
  <sheetFormatPr defaultRowHeight="14.25"/>
  <cols>
    <col min="1" max="1" width="20.140625" bestFit="1" customWidth="1"/>
    <col min="2" max="2" width="28" bestFit="1" customWidth="1"/>
    <col min="3" max="3" width="27.5703125" bestFit="1" customWidth="1"/>
    <col min="4" max="4" width="12.140625" customWidth="1"/>
    <col min="5" max="5" width="29.85546875" style="97" customWidth="1"/>
    <col min="6" max="6" width="5.5703125" style="3" bestFit="1" customWidth="1"/>
    <col min="7" max="7" width="4" style="3" bestFit="1" customWidth="1"/>
    <col min="8" max="8" width="5.5703125" style="3" bestFit="1" customWidth="1"/>
    <col min="9" max="9" width="4" style="56" bestFit="1" customWidth="1"/>
    <col min="10" max="10" width="29.140625" style="90" customWidth="1"/>
    <col min="11" max="11" width="5.5703125" bestFit="1" customWidth="1"/>
    <col min="12" max="12" width="4.42578125" bestFit="1" customWidth="1"/>
    <col min="13" max="13" width="3.85546875" bestFit="1" customWidth="1"/>
    <col min="14" max="14" width="4" style="45" bestFit="1" customWidth="1"/>
    <col min="15" max="15" width="2.42578125" customWidth="1"/>
    <col min="16" max="16" width="8.85546875" style="106"/>
  </cols>
  <sheetData>
    <row r="1" spans="1:16">
      <c r="E1" s="96" t="s">
        <v>1344</v>
      </c>
      <c r="F1" s="88"/>
      <c r="G1" s="88"/>
      <c r="H1" s="88"/>
      <c r="I1" s="55"/>
      <c r="J1" s="102" t="s">
        <v>1345</v>
      </c>
      <c r="K1" s="53"/>
      <c r="L1" s="53"/>
      <c r="M1" s="53"/>
      <c r="N1" s="16"/>
      <c r="P1" s="104"/>
    </row>
    <row r="2" spans="1:16">
      <c r="A2" s="28" t="s">
        <v>371</v>
      </c>
      <c r="B2" s="24" t="s">
        <v>149</v>
      </c>
      <c r="C2" s="24" t="s">
        <v>296</v>
      </c>
      <c r="D2" s="95" t="s">
        <v>538</v>
      </c>
      <c r="E2" s="23" t="s">
        <v>83</v>
      </c>
      <c r="F2" s="23" t="s">
        <v>82</v>
      </c>
      <c r="G2" s="23" t="s">
        <v>84</v>
      </c>
      <c r="H2" s="23" t="s">
        <v>79</v>
      </c>
      <c r="I2" s="23" t="s">
        <v>78</v>
      </c>
      <c r="J2" s="23" t="s">
        <v>75</v>
      </c>
      <c r="K2" s="23" t="s">
        <v>372</v>
      </c>
      <c r="L2" s="23" t="s">
        <v>373</v>
      </c>
      <c r="M2" s="23" t="s">
        <v>81</v>
      </c>
      <c r="N2" s="23" t="s">
        <v>80</v>
      </c>
      <c r="P2" s="105" t="s">
        <v>57</v>
      </c>
    </row>
    <row r="3" spans="1:16">
      <c r="A3" s="63" t="s">
        <v>374</v>
      </c>
      <c r="B3" s="63" t="s">
        <v>375</v>
      </c>
      <c r="C3" s="25" t="s">
        <v>542</v>
      </c>
      <c r="D3" s="1" t="s">
        <v>543</v>
      </c>
      <c r="E3" s="97" t="s">
        <v>1346</v>
      </c>
      <c r="F3" s="3" t="s">
        <v>545</v>
      </c>
      <c r="G3" s="3" t="s">
        <v>546</v>
      </c>
      <c r="H3" s="3" t="s">
        <v>547</v>
      </c>
      <c r="I3" s="56" t="s">
        <v>546</v>
      </c>
      <c r="P3" s="93" t="s">
        <v>547</v>
      </c>
    </row>
    <row r="4" spans="1:16">
      <c r="A4" s="66"/>
      <c r="B4" s="66"/>
      <c r="C4" s="25" t="s">
        <v>548</v>
      </c>
      <c r="D4" s="1" t="s">
        <v>543</v>
      </c>
      <c r="E4" s="97" t="s">
        <v>1347</v>
      </c>
      <c r="F4" s="3" t="s">
        <v>550</v>
      </c>
      <c r="G4" s="3" t="s">
        <v>546</v>
      </c>
      <c r="H4" s="3" t="s">
        <v>547</v>
      </c>
      <c r="I4" s="56" t="s">
        <v>546</v>
      </c>
      <c r="P4" s="93" t="s">
        <v>547</v>
      </c>
    </row>
    <row r="5" spans="1:16">
      <c r="A5" s="66"/>
      <c r="B5" s="66"/>
      <c r="C5" s="25" t="s">
        <v>551</v>
      </c>
      <c r="D5" s="1" t="s">
        <v>543</v>
      </c>
      <c r="E5" s="97" t="s">
        <v>1347</v>
      </c>
      <c r="F5" s="3" t="s">
        <v>552</v>
      </c>
      <c r="G5" s="3" t="s">
        <v>546</v>
      </c>
      <c r="H5" s="3" t="s">
        <v>547</v>
      </c>
      <c r="I5" s="56" t="s">
        <v>546</v>
      </c>
      <c r="P5" s="93" t="s">
        <v>547</v>
      </c>
    </row>
    <row r="6" spans="1:16">
      <c r="A6" s="66"/>
      <c r="B6" s="66"/>
      <c r="C6" s="25" t="s">
        <v>553</v>
      </c>
      <c r="D6" s="1" t="s">
        <v>543</v>
      </c>
      <c r="E6" s="97" t="s">
        <v>1347</v>
      </c>
      <c r="F6" s="3" t="s">
        <v>554</v>
      </c>
      <c r="G6" s="3" t="s">
        <v>546</v>
      </c>
      <c r="H6" s="3" t="s">
        <v>547</v>
      </c>
      <c r="I6" s="56" t="s">
        <v>546</v>
      </c>
      <c r="P6" s="93" t="s">
        <v>547</v>
      </c>
    </row>
    <row r="7" spans="1:16">
      <c r="A7" s="66"/>
      <c r="B7" s="66"/>
      <c r="C7" s="25" t="s">
        <v>542</v>
      </c>
      <c r="D7" s="1" t="s">
        <v>543</v>
      </c>
      <c r="J7" s="97" t="s">
        <v>1346</v>
      </c>
      <c r="K7" s="3" t="s">
        <v>545</v>
      </c>
      <c r="L7" s="3" t="s">
        <v>546</v>
      </c>
      <c r="M7" s="3" t="s">
        <v>547</v>
      </c>
      <c r="N7" s="56" t="s">
        <v>546</v>
      </c>
      <c r="P7" s="93" t="s">
        <v>547</v>
      </c>
    </row>
    <row r="8" spans="1:16">
      <c r="A8" s="66"/>
      <c r="B8" s="66"/>
      <c r="C8" s="25" t="s">
        <v>548</v>
      </c>
      <c r="D8" s="1" t="s">
        <v>543</v>
      </c>
      <c r="J8" s="97" t="s">
        <v>1347</v>
      </c>
      <c r="K8" s="3" t="s">
        <v>550</v>
      </c>
      <c r="L8" s="3" t="s">
        <v>546</v>
      </c>
      <c r="M8" s="3" t="s">
        <v>547</v>
      </c>
      <c r="N8" s="56" t="s">
        <v>546</v>
      </c>
      <c r="P8" s="93" t="s">
        <v>547</v>
      </c>
    </row>
    <row r="9" spans="1:16">
      <c r="A9" s="66"/>
      <c r="B9" s="66"/>
      <c r="C9" s="25" t="s">
        <v>551</v>
      </c>
      <c r="D9" s="1" t="s">
        <v>543</v>
      </c>
      <c r="J9" s="97" t="s">
        <v>1347</v>
      </c>
      <c r="K9" s="3" t="s">
        <v>552</v>
      </c>
      <c r="L9" s="3" t="s">
        <v>546</v>
      </c>
      <c r="M9" s="3" t="s">
        <v>547</v>
      </c>
      <c r="N9" s="56" t="s">
        <v>546</v>
      </c>
      <c r="P9" s="93" t="s">
        <v>547</v>
      </c>
    </row>
    <row r="10" spans="1:16">
      <c r="A10" s="66"/>
      <c r="B10" s="64"/>
      <c r="C10" s="25" t="s">
        <v>553</v>
      </c>
      <c r="D10" s="1" t="s">
        <v>543</v>
      </c>
      <c r="J10" s="97" t="s">
        <v>1347</v>
      </c>
      <c r="K10" s="3" t="s">
        <v>554</v>
      </c>
      <c r="L10" s="3" t="s">
        <v>546</v>
      </c>
      <c r="M10" s="3" t="s">
        <v>547</v>
      </c>
      <c r="N10" s="56" t="s">
        <v>546</v>
      </c>
      <c r="P10" s="93" t="s">
        <v>547</v>
      </c>
    </row>
    <row r="11" spans="1:16">
      <c r="A11" s="66"/>
      <c r="B11" s="63" t="s">
        <v>376</v>
      </c>
      <c r="C11" s="25" t="s">
        <v>560</v>
      </c>
      <c r="D11" s="1" t="s">
        <v>561</v>
      </c>
      <c r="F11" s="3" t="s">
        <v>552</v>
      </c>
      <c r="G11" s="3" t="s">
        <v>547</v>
      </c>
    </row>
    <row r="12" spans="1:16">
      <c r="A12" s="66"/>
      <c r="B12" s="66"/>
      <c r="C12" s="25" t="s">
        <v>562</v>
      </c>
      <c r="D12" s="1" t="s">
        <v>561</v>
      </c>
      <c r="H12" s="3" t="s">
        <v>552</v>
      </c>
      <c r="I12" s="56" t="s">
        <v>547</v>
      </c>
    </row>
    <row r="13" spans="1:16">
      <c r="A13" s="66"/>
      <c r="B13" s="66"/>
      <c r="C13" s="25" t="s">
        <v>563</v>
      </c>
      <c r="D13" s="1" t="s">
        <v>561</v>
      </c>
      <c r="E13" s="97" t="s">
        <v>554</v>
      </c>
      <c r="H13" s="3" t="s">
        <v>547</v>
      </c>
    </row>
    <row r="14" spans="1:16">
      <c r="A14" s="66"/>
      <c r="B14" s="66"/>
      <c r="C14" s="25" t="s">
        <v>564</v>
      </c>
      <c r="D14" s="1" t="s">
        <v>561</v>
      </c>
      <c r="E14" s="97" t="s">
        <v>554</v>
      </c>
      <c r="F14" s="3" t="s">
        <v>547</v>
      </c>
    </row>
    <row r="15" spans="1:16">
      <c r="A15" s="66"/>
      <c r="B15" s="66"/>
      <c r="C15" s="25" t="s">
        <v>565</v>
      </c>
      <c r="D15" s="1" t="s">
        <v>561</v>
      </c>
      <c r="E15" s="97" t="s">
        <v>547</v>
      </c>
      <c r="F15" s="3" t="s">
        <v>554</v>
      </c>
      <c r="H15" s="3" t="s">
        <v>547</v>
      </c>
    </row>
    <row r="16" spans="1:16">
      <c r="A16" s="66"/>
      <c r="B16" s="66"/>
      <c r="C16" s="25" t="s">
        <v>566</v>
      </c>
      <c r="D16" s="1" t="s">
        <v>561</v>
      </c>
      <c r="F16" s="3" t="s">
        <v>554</v>
      </c>
      <c r="H16" s="3" t="s">
        <v>547</v>
      </c>
    </row>
    <row r="17" spans="1:16">
      <c r="A17" s="66"/>
      <c r="B17" s="66"/>
      <c r="C17" s="25" t="s">
        <v>560</v>
      </c>
      <c r="D17" s="1" t="s">
        <v>561</v>
      </c>
      <c r="J17" s="97"/>
      <c r="K17" s="3" t="s">
        <v>552</v>
      </c>
      <c r="L17" s="3" t="s">
        <v>547</v>
      </c>
      <c r="M17" s="3"/>
      <c r="N17" s="56"/>
    </row>
    <row r="18" spans="1:16">
      <c r="A18" s="66"/>
      <c r="B18" s="66"/>
      <c r="C18" s="25" t="s">
        <v>562</v>
      </c>
      <c r="D18" s="1" t="s">
        <v>561</v>
      </c>
      <c r="J18" s="97"/>
      <c r="K18" s="3"/>
      <c r="L18" s="3"/>
      <c r="M18" s="3" t="s">
        <v>552</v>
      </c>
      <c r="N18" s="56" t="s">
        <v>547</v>
      </c>
    </row>
    <row r="19" spans="1:16">
      <c r="A19" s="66"/>
      <c r="B19" s="66"/>
      <c r="C19" s="25" t="s">
        <v>563</v>
      </c>
      <c r="D19" s="1" t="s">
        <v>561</v>
      </c>
      <c r="J19" s="97" t="s">
        <v>554</v>
      </c>
      <c r="K19" s="3"/>
      <c r="L19" s="3"/>
      <c r="M19" s="3" t="s">
        <v>547</v>
      </c>
      <c r="N19" s="56"/>
    </row>
    <row r="20" spans="1:16">
      <c r="A20" s="66"/>
      <c r="B20" s="66"/>
      <c r="C20" s="25" t="s">
        <v>564</v>
      </c>
      <c r="D20" s="1" t="s">
        <v>561</v>
      </c>
      <c r="J20" s="97" t="s">
        <v>554</v>
      </c>
      <c r="K20" s="3" t="s">
        <v>547</v>
      </c>
      <c r="L20" s="3"/>
      <c r="M20" s="3"/>
      <c r="N20" s="56"/>
    </row>
    <row r="21" spans="1:16">
      <c r="A21" s="66"/>
      <c r="B21" s="66"/>
      <c r="C21" s="25" t="s">
        <v>565</v>
      </c>
      <c r="D21" s="1" t="s">
        <v>561</v>
      </c>
      <c r="J21" s="97" t="s">
        <v>547</v>
      </c>
      <c r="K21" s="3" t="s">
        <v>554</v>
      </c>
      <c r="L21" s="3"/>
      <c r="M21" s="3" t="s">
        <v>547</v>
      </c>
      <c r="N21" s="56"/>
    </row>
    <row r="22" spans="1:16">
      <c r="A22" s="66"/>
      <c r="B22" s="64"/>
      <c r="C22" s="25" t="s">
        <v>566</v>
      </c>
      <c r="D22" s="1" t="s">
        <v>561</v>
      </c>
      <c r="J22" s="97"/>
      <c r="K22" s="3" t="s">
        <v>554</v>
      </c>
      <c r="L22" s="3"/>
      <c r="M22" s="3" t="s">
        <v>547</v>
      </c>
      <c r="N22" s="56"/>
    </row>
    <row r="23" spans="1:16">
      <c r="A23" s="66"/>
      <c r="B23" s="63" t="s">
        <v>377</v>
      </c>
      <c r="C23" s="25" t="s">
        <v>578</v>
      </c>
      <c r="D23" s="1" t="s">
        <v>543</v>
      </c>
      <c r="E23" s="97" t="s">
        <v>554</v>
      </c>
      <c r="F23" s="3" t="s">
        <v>545</v>
      </c>
      <c r="G23" s="3" t="s">
        <v>546</v>
      </c>
      <c r="H23" s="3" t="s">
        <v>547</v>
      </c>
      <c r="I23" s="56" t="s">
        <v>546</v>
      </c>
      <c r="P23" s="93" t="s">
        <v>547</v>
      </c>
    </row>
    <row r="24" spans="1:16">
      <c r="A24" s="66"/>
      <c r="B24" s="66"/>
      <c r="C24" s="25" t="s">
        <v>579</v>
      </c>
      <c r="D24" s="1" t="s">
        <v>1348</v>
      </c>
      <c r="E24" s="97" t="s">
        <v>554</v>
      </c>
      <c r="F24" s="3" t="s">
        <v>545</v>
      </c>
      <c r="H24" s="3" t="s">
        <v>547</v>
      </c>
      <c r="P24" s="93" t="s">
        <v>547</v>
      </c>
    </row>
    <row r="25" spans="1:16">
      <c r="A25" s="66"/>
      <c r="B25" s="66"/>
      <c r="C25" s="50" t="s">
        <v>1349</v>
      </c>
      <c r="D25" s="1" t="s">
        <v>1348</v>
      </c>
      <c r="E25" s="97" t="s">
        <v>554</v>
      </c>
      <c r="F25" s="3" t="s">
        <v>545</v>
      </c>
      <c r="H25" s="3" t="s">
        <v>547</v>
      </c>
      <c r="P25" s="93" t="s">
        <v>547</v>
      </c>
    </row>
    <row r="26" spans="1:16">
      <c r="A26" s="66"/>
      <c r="B26" s="66"/>
      <c r="C26" s="25" t="s">
        <v>580</v>
      </c>
      <c r="D26" s="1" t="s">
        <v>543</v>
      </c>
      <c r="E26" s="97" t="s">
        <v>554</v>
      </c>
      <c r="F26" s="3" t="s">
        <v>547</v>
      </c>
      <c r="H26" s="3" t="s">
        <v>547</v>
      </c>
      <c r="P26" s="93" t="s">
        <v>547</v>
      </c>
    </row>
    <row r="27" spans="1:16">
      <c r="A27" s="66"/>
      <c r="B27" s="66"/>
      <c r="C27" s="25" t="s">
        <v>581</v>
      </c>
      <c r="D27" s="1" t="s">
        <v>1348</v>
      </c>
      <c r="E27" s="97" t="s">
        <v>554</v>
      </c>
      <c r="F27" s="3" t="s">
        <v>547</v>
      </c>
      <c r="H27" s="3" t="s">
        <v>547</v>
      </c>
      <c r="P27" s="93" t="s">
        <v>547</v>
      </c>
    </row>
    <row r="28" spans="1:16">
      <c r="A28" s="66"/>
      <c r="B28" s="66"/>
      <c r="C28" s="50" t="s">
        <v>1350</v>
      </c>
      <c r="D28" s="1" t="s">
        <v>1348</v>
      </c>
      <c r="E28" s="97" t="s">
        <v>554</v>
      </c>
      <c r="F28" s="3" t="s">
        <v>547</v>
      </c>
      <c r="H28" s="3" t="s">
        <v>547</v>
      </c>
      <c r="P28" s="93" t="s">
        <v>547</v>
      </c>
    </row>
    <row r="29" spans="1:16">
      <c r="A29" s="66"/>
      <c r="B29" s="66"/>
      <c r="C29" s="25" t="s">
        <v>582</v>
      </c>
      <c r="D29" s="1" t="s">
        <v>543</v>
      </c>
      <c r="E29" s="97" t="s">
        <v>1351</v>
      </c>
      <c r="F29" s="3" t="s">
        <v>545</v>
      </c>
      <c r="G29" s="3" t="s">
        <v>546</v>
      </c>
      <c r="H29" s="3" t="s">
        <v>547</v>
      </c>
      <c r="I29" s="56" t="s">
        <v>546</v>
      </c>
      <c r="P29" s="93" t="s">
        <v>547</v>
      </c>
    </row>
    <row r="30" spans="1:16">
      <c r="A30" s="66"/>
      <c r="B30" s="66"/>
      <c r="C30" s="25" t="s">
        <v>584</v>
      </c>
      <c r="D30" s="1" t="s">
        <v>585</v>
      </c>
      <c r="E30" s="97" t="s">
        <v>1351</v>
      </c>
      <c r="F30" s="3" t="s">
        <v>545</v>
      </c>
      <c r="H30" s="3" t="s">
        <v>547</v>
      </c>
      <c r="P30" s="93" t="s">
        <v>547</v>
      </c>
    </row>
    <row r="31" spans="1:16">
      <c r="A31" s="66"/>
      <c r="B31" s="66"/>
      <c r="C31" s="25" t="s">
        <v>586</v>
      </c>
      <c r="D31" s="1"/>
    </row>
    <row r="32" spans="1:16">
      <c r="A32" s="66"/>
      <c r="B32" s="66"/>
      <c r="C32" s="25" t="s">
        <v>587</v>
      </c>
      <c r="D32" s="1" t="s">
        <v>569</v>
      </c>
      <c r="E32" s="97" t="s">
        <v>586</v>
      </c>
      <c r="F32" s="3" t="s">
        <v>545</v>
      </c>
      <c r="H32" s="3" t="s">
        <v>547</v>
      </c>
      <c r="P32" s="93" t="s">
        <v>547</v>
      </c>
    </row>
    <row r="33" spans="1:16">
      <c r="A33" s="66"/>
      <c r="B33" s="66"/>
      <c r="C33" s="25" t="s">
        <v>588</v>
      </c>
      <c r="D33" s="1" t="s">
        <v>569</v>
      </c>
      <c r="E33" s="97" t="s">
        <v>586</v>
      </c>
      <c r="F33" s="3" t="s">
        <v>545</v>
      </c>
      <c r="H33" s="3" t="s">
        <v>547</v>
      </c>
      <c r="P33" s="93" t="s">
        <v>547</v>
      </c>
    </row>
    <row r="34" spans="1:16">
      <c r="A34" s="66"/>
      <c r="B34" s="66"/>
      <c r="C34" s="25" t="s">
        <v>578</v>
      </c>
      <c r="D34" s="1" t="s">
        <v>543</v>
      </c>
      <c r="J34" s="97" t="s">
        <v>554</v>
      </c>
      <c r="K34" s="3" t="s">
        <v>545</v>
      </c>
      <c r="L34" s="3" t="s">
        <v>546</v>
      </c>
      <c r="M34" s="3" t="s">
        <v>547</v>
      </c>
      <c r="N34" s="56" t="s">
        <v>546</v>
      </c>
      <c r="P34" s="93" t="s">
        <v>547</v>
      </c>
    </row>
    <row r="35" spans="1:16">
      <c r="A35" s="66"/>
      <c r="B35" s="66"/>
      <c r="C35" s="25" t="s">
        <v>579</v>
      </c>
      <c r="D35" s="1" t="s">
        <v>1348</v>
      </c>
      <c r="J35" s="97" t="s">
        <v>554</v>
      </c>
      <c r="K35" s="3" t="s">
        <v>545</v>
      </c>
      <c r="L35" s="3"/>
      <c r="M35" s="3" t="s">
        <v>547</v>
      </c>
      <c r="N35" s="56"/>
      <c r="P35" s="93" t="s">
        <v>547</v>
      </c>
    </row>
    <row r="36" spans="1:16">
      <c r="A36" s="66"/>
      <c r="B36" s="66"/>
      <c r="C36" s="50" t="s">
        <v>1349</v>
      </c>
      <c r="D36" s="1" t="s">
        <v>1348</v>
      </c>
      <c r="J36" s="97" t="s">
        <v>554</v>
      </c>
      <c r="K36" s="3" t="s">
        <v>545</v>
      </c>
      <c r="L36" s="3"/>
      <c r="M36" s="3" t="s">
        <v>547</v>
      </c>
      <c r="N36" s="56"/>
      <c r="P36" s="93" t="s">
        <v>547</v>
      </c>
    </row>
    <row r="37" spans="1:16">
      <c r="A37" s="66"/>
      <c r="B37" s="66"/>
      <c r="C37" s="25" t="s">
        <v>580</v>
      </c>
      <c r="D37" s="1" t="s">
        <v>543</v>
      </c>
      <c r="J37" s="97" t="s">
        <v>554</v>
      </c>
      <c r="K37" s="3" t="s">
        <v>547</v>
      </c>
      <c r="L37" s="3"/>
      <c r="M37" s="3" t="s">
        <v>547</v>
      </c>
      <c r="N37" s="56"/>
      <c r="P37" s="93" t="s">
        <v>547</v>
      </c>
    </row>
    <row r="38" spans="1:16">
      <c r="A38" s="66"/>
      <c r="B38" s="66"/>
      <c r="C38" s="25" t="s">
        <v>581</v>
      </c>
      <c r="D38" s="1" t="s">
        <v>1348</v>
      </c>
      <c r="J38" s="97" t="s">
        <v>554</v>
      </c>
      <c r="K38" s="3" t="s">
        <v>547</v>
      </c>
      <c r="L38" s="3"/>
      <c r="M38" s="3" t="s">
        <v>547</v>
      </c>
      <c r="N38" s="56"/>
      <c r="P38" s="93" t="s">
        <v>547</v>
      </c>
    </row>
    <row r="39" spans="1:16">
      <c r="A39" s="66"/>
      <c r="B39" s="66"/>
      <c r="C39" s="50" t="s">
        <v>1350</v>
      </c>
      <c r="D39" s="1" t="s">
        <v>1348</v>
      </c>
      <c r="J39" s="97" t="s">
        <v>554</v>
      </c>
      <c r="K39" s="3" t="s">
        <v>547</v>
      </c>
      <c r="L39" s="3"/>
      <c r="M39" s="3" t="s">
        <v>547</v>
      </c>
      <c r="N39" s="56"/>
      <c r="P39" s="93" t="s">
        <v>547</v>
      </c>
    </row>
    <row r="40" spans="1:16">
      <c r="A40" s="66"/>
      <c r="B40" s="66"/>
      <c r="C40" s="25" t="s">
        <v>582</v>
      </c>
      <c r="D40" s="1" t="s">
        <v>543</v>
      </c>
      <c r="J40" s="97" t="s">
        <v>1351</v>
      </c>
      <c r="K40" s="3" t="s">
        <v>545</v>
      </c>
      <c r="L40" s="3" t="s">
        <v>546</v>
      </c>
      <c r="M40" s="3" t="s">
        <v>547</v>
      </c>
      <c r="N40" s="56" t="s">
        <v>546</v>
      </c>
      <c r="P40" s="93" t="s">
        <v>547</v>
      </c>
    </row>
    <row r="41" spans="1:16">
      <c r="A41" s="66"/>
      <c r="B41" s="66"/>
      <c r="C41" s="50" t="s">
        <v>584</v>
      </c>
      <c r="D41" s="1" t="s">
        <v>585</v>
      </c>
      <c r="J41" s="97" t="s">
        <v>1351</v>
      </c>
      <c r="K41" s="3" t="s">
        <v>545</v>
      </c>
      <c r="L41" s="3"/>
      <c r="M41" s="3" t="s">
        <v>547</v>
      </c>
      <c r="N41" s="56"/>
      <c r="P41" s="93" t="s">
        <v>547</v>
      </c>
    </row>
    <row r="42" spans="1:16">
      <c r="A42" s="66"/>
      <c r="B42" s="66"/>
      <c r="C42" s="25" t="s">
        <v>586</v>
      </c>
      <c r="D42" s="1"/>
      <c r="J42" s="97"/>
      <c r="K42" s="3"/>
      <c r="L42" s="3"/>
      <c r="M42" s="3"/>
      <c r="N42" s="56"/>
    </row>
    <row r="43" spans="1:16">
      <c r="A43" s="66"/>
      <c r="B43" s="66"/>
      <c r="C43" s="25" t="s">
        <v>587</v>
      </c>
      <c r="D43" s="1" t="s">
        <v>569</v>
      </c>
      <c r="J43" s="97" t="s">
        <v>586</v>
      </c>
      <c r="K43" s="3" t="s">
        <v>545</v>
      </c>
      <c r="L43" s="3" t="s">
        <v>546</v>
      </c>
      <c r="M43" s="3" t="s">
        <v>547</v>
      </c>
      <c r="N43" s="56" t="s">
        <v>546</v>
      </c>
      <c r="P43" s="93" t="s">
        <v>547</v>
      </c>
    </row>
    <row r="44" spans="1:16">
      <c r="A44" s="66"/>
      <c r="B44" s="64"/>
      <c r="C44" s="25" t="s">
        <v>588</v>
      </c>
      <c r="D44" s="1" t="s">
        <v>569</v>
      </c>
      <c r="J44" s="97" t="s">
        <v>586</v>
      </c>
      <c r="K44" s="3" t="s">
        <v>545</v>
      </c>
      <c r="L44" s="3" t="s">
        <v>546</v>
      </c>
      <c r="M44" s="3" t="s">
        <v>547</v>
      </c>
      <c r="N44" s="56" t="s">
        <v>546</v>
      </c>
      <c r="P44" s="93" t="s">
        <v>547</v>
      </c>
    </row>
    <row r="45" spans="1:16">
      <c r="A45" s="66"/>
      <c r="B45" s="63" t="s">
        <v>378</v>
      </c>
      <c r="C45" s="50" t="s">
        <v>557</v>
      </c>
      <c r="D45" s="1" t="s">
        <v>558</v>
      </c>
      <c r="E45" s="97" t="s">
        <v>1352</v>
      </c>
      <c r="F45" s="3" t="s">
        <v>545</v>
      </c>
      <c r="H45" s="3" t="s">
        <v>547</v>
      </c>
      <c r="P45" s="93" t="s">
        <v>547</v>
      </c>
    </row>
    <row r="46" spans="1:16">
      <c r="A46" s="66"/>
      <c r="B46" s="66"/>
      <c r="C46" s="25" t="s">
        <v>1302</v>
      </c>
      <c r="D46" s="1"/>
    </row>
    <row r="47" spans="1:16">
      <c r="A47" s="66"/>
      <c r="B47" s="66"/>
      <c r="C47" s="50" t="s">
        <v>1353</v>
      </c>
      <c r="D47" s="1"/>
    </row>
    <row r="48" spans="1:16">
      <c r="A48" s="66"/>
      <c r="B48" s="66"/>
      <c r="C48" s="25" t="s">
        <v>1286</v>
      </c>
      <c r="D48" s="1" t="s">
        <v>543</v>
      </c>
      <c r="E48" s="97" t="s">
        <v>686</v>
      </c>
      <c r="F48" s="3" t="s">
        <v>545</v>
      </c>
      <c r="G48" s="3" t="s">
        <v>546</v>
      </c>
      <c r="H48" s="3" t="s">
        <v>547</v>
      </c>
      <c r="I48" s="56" t="s">
        <v>546</v>
      </c>
      <c r="P48" s="93" t="s">
        <v>547</v>
      </c>
    </row>
    <row r="49" spans="1:16">
      <c r="A49" s="66"/>
      <c r="B49" s="66"/>
      <c r="C49" s="25" t="s">
        <v>1287</v>
      </c>
      <c r="D49" s="1" t="s">
        <v>569</v>
      </c>
      <c r="E49" s="97" t="s">
        <v>686</v>
      </c>
      <c r="F49" s="3" t="s">
        <v>545</v>
      </c>
      <c r="H49" s="3" t="s">
        <v>547</v>
      </c>
      <c r="P49" s="93" t="s">
        <v>547</v>
      </c>
    </row>
    <row r="50" spans="1:16">
      <c r="A50" s="66"/>
      <c r="B50" s="66"/>
      <c r="C50" s="50" t="s">
        <v>1354</v>
      </c>
      <c r="D50" s="1" t="s">
        <v>569</v>
      </c>
      <c r="E50" s="97" t="s">
        <v>686</v>
      </c>
      <c r="F50" s="3" t="s">
        <v>545</v>
      </c>
      <c r="H50" s="3" t="s">
        <v>547</v>
      </c>
      <c r="P50" s="93" t="s">
        <v>547</v>
      </c>
    </row>
    <row r="51" spans="1:16">
      <c r="A51" s="66"/>
      <c r="B51" s="66"/>
      <c r="C51" s="25" t="s">
        <v>589</v>
      </c>
      <c r="D51" s="1" t="s">
        <v>543</v>
      </c>
      <c r="E51" s="97" t="s">
        <v>583</v>
      </c>
      <c r="F51" s="3" t="s">
        <v>552</v>
      </c>
      <c r="G51" s="3" t="s">
        <v>546</v>
      </c>
      <c r="H51" s="3" t="s">
        <v>547</v>
      </c>
      <c r="I51" s="56" t="s">
        <v>546</v>
      </c>
      <c r="P51" s="93" t="s">
        <v>547</v>
      </c>
    </row>
    <row r="52" spans="1:16">
      <c r="A52" s="66"/>
      <c r="B52" s="66"/>
      <c r="C52" s="50" t="s">
        <v>590</v>
      </c>
      <c r="D52" s="1" t="s">
        <v>585</v>
      </c>
      <c r="E52" s="97" t="s">
        <v>583</v>
      </c>
      <c r="F52" s="3" t="s">
        <v>552</v>
      </c>
      <c r="H52" s="3" t="s">
        <v>547</v>
      </c>
      <c r="P52" s="93" t="s">
        <v>547</v>
      </c>
    </row>
    <row r="53" spans="1:16">
      <c r="A53" s="66"/>
      <c r="B53" s="66"/>
      <c r="C53" s="25" t="s">
        <v>591</v>
      </c>
      <c r="D53" s="1"/>
    </row>
    <row r="54" spans="1:16">
      <c r="A54" s="66"/>
      <c r="B54" s="66"/>
      <c r="C54" s="25" t="s">
        <v>592</v>
      </c>
      <c r="D54" s="1" t="s">
        <v>569</v>
      </c>
      <c r="E54" s="97" t="s">
        <v>586</v>
      </c>
      <c r="F54" s="3" t="s">
        <v>552</v>
      </c>
      <c r="H54" s="3" t="s">
        <v>547</v>
      </c>
      <c r="P54" s="93" t="s">
        <v>547</v>
      </c>
    </row>
    <row r="55" spans="1:16">
      <c r="A55" s="66"/>
      <c r="B55" s="66"/>
      <c r="C55" s="25" t="s">
        <v>1355</v>
      </c>
      <c r="D55" s="1" t="s">
        <v>569</v>
      </c>
      <c r="E55" s="97" t="s">
        <v>586</v>
      </c>
      <c r="F55" s="3" t="s">
        <v>552</v>
      </c>
      <c r="H55" s="3" t="s">
        <v>547</v>
      </c>
      <c r="P55" s="93" t="s">
        <v>547</v>
      </c>
    </row>
    <row r="56" spans="1:16">
      <c r="A56" s="66"/>
      <c r="B56" s="66"/>
      <c r="C56" s="50" t="s">
        <v>557</v>
      </c>
      <c r="J56" s="103" t="s">
        <v>558</v>
      </c>
      <c r="K56" s="3" t="s">
        <v>1352</v>
      </c>
      <c r="L56" s="3" t="s">
        <v>545</v>
      </c>
      <c r="M56" s="3"/>
      <c r="N56" s="56" t="s">
        <v>547</v>
      </c>
      <c r="O56" s="3"/>
      <c r="P56" s="93" t="s">
        <v>547</v>
      </c>
    </row>
    <row r="57" spans="1:16">
      <c r="A57" s="66"/>
      <c r="B57" s="66"/>
      <c r="C57" s="25" t="s">
        <v>1302</v>
      </c>
      <c r="J57" s="103"/>
      <c r="K57" s="3"/>
      <c r="L57" s="3"/>
      <c r="M57" s="3"/>
      <c r="N57" s="56"/>
      <c r="O57" s="3"/>
    </row>
    <row r="58" spans="1:16">
      <c r="A58" s="66"/>
      <c r="B58" s="66"/>
      <c r="C58" s="50" t="s">
        <v>1353</v>
      </c>
      <c r="J58" s="103"/>
      <c r="K58" s="3"/>
      <c r="L58" s="3"/>
      <c r="M58" s="3"/>
      <c r="N58" s="56"/>
      <c r="O58" s="3"/>
    </row>
    <row r="59" spans="1:16">
      <c r="A59" s="66"/>
      <c r="B59" s="66"/>
      <c r="C59" s="25" t="s">
        <v>1286</v>
      </c>
      <c r="J59" s="103" t="s">
        <v>543</v>
      </c>
      <c r="K59" s="3" t="s">
        <v>686</v>
      </c>
      <c r="L59" s="3" t="s">
        <v>545</v>
      </c>
      <c r="M59" s="3" t="s">
        <v>546</v>
      </c>
      <c r="N59" s="56" t="s">
        <v>547</v>
      </c>
      <c r="O59" s="3" t="s">
        <v>546</v>
      </c>
      <c r="P59" s="93" t="s">
        <v>547</v>
      </c>
    </row>
    <row r="60" spans="1:16">
      <c r="A60" s="66"/>
      <c r="B60" s="66"/>
      <c r="C60" s="25" t="s">
        <v>1287</v>
      </c>
      <c r="J60" s="103" t="s">
        <v>569</v>
      </c>
      <c r="K60" s="3" t="s">
        <v>686</v>
      </c>
      <c r="L60" s="3" t="s">
        <v>545</v>
      </c>
      <c r="M60" s="3"/>
      <c r="N60" s="56" t="s">
        <v>547</v>
      </c>
      <c r="O60" s="3"/>
      <c r="P60" s="93" t="s">
        <v>547</v>
      </c>
    </row>
    <row r="61" spans="1:16">
      <c r="A61" s="66"/>
      <c r="B61" s="66"/>
      <c r="C61" s="50" t="s">
        <v>1354</v>
      </c>
      <c r="J61" s="103" t="s">
        <v>569</v>
      </c>
      <c r="K61" s="3" t="s">
        <v>686</v>
      </c>
      <c r="L61" s="3" t="s">
        <v>545</v>
      </c>
      <c r="M61" s="3"/>
      <c r="N61" s="56" t="s">
        <v>547</v>
      </c>
      <c r="O61" s="3"/>
      <c r="P61" s="93" t="s">
        <v>547</v>
      </c>
    </row>
    <row r="62" spans="1:16">
      <c r="A62" s="66"/>
      <c r="B62" s="66"/>
      <c r="C62" s="25" t="s">
        <v>589</v>
      </c>
      <c r="J62" s="103" t="s">
        <v>543</v>
      </c>
      <c r="K62" s="3" t="s">
        <v>583</v>
      </c>
      <c r="L62" s="3" t="s">
        <v>552</v>
      </c>
      <c r="M62" s="3" t="s">
        <v>546</v>
      </c>
      <c r="N62" s="56" t="s">
        <v>547</v>
      </c>
      <c r="O62" s="3" t="s">
        <v>546</v>
      </c>
      <c r="P62" s="93" t="s">
        <v>547</v>
      </c>
    </row>
    <row r="63" spans="1:16">
      <c r="A63" s="66"/>
      <c r="B63" s="66"/>
      <c r="C63" s="50" t="s">
        <v>590</v>
      </c>
      <c r="J63" s="103" t="s">
        <v>585</v>
      </c>
      <c r="K63" s="3" t="s">
        <v>583</v>
      </c>
      <c r="L63" s="3" t="s">
        <v>552</v>
      </c>
      <c r="M63" s="3"/>
      <c r="N63" s="56" t="s">
        <v>547</v>
      </c>
      <c r="O63" s="3"/>
      <c r="P63" s="93" t="s">
        <v>547</v>
      </c>
    </row>
    <row r="64" spans="1:16">
      <c r="A64" s="66"/>
      <c r="B64" s="66"/>
      <c r="C64" s="25" t="s">
        <v>591</v>
      </c>
      <c r="J64" s="103"/>
      <c r="K64" s="3"/>
      <c r="L64" s="3"/>
      <c r="M64" s="3"/>
      <c r="N64" s="56"/>
      <c r="O64" s="3"/>
    </row>
    <row r="65" spans="1:16">
      <c r="A65" s="66"/>
      <c r="B65" s="66"/>
      <c r="C65" s="25" t="s">
        <v>592</v>
      </c>
      <c r="J65" s="103" t="s">
        <v>569</v>
      </c>
      <c r="K65" s="3" t="s">
        <v>586</v>
      </c>
      <c r="L65" s="3" t="s">
        <v>552</v>
      </c>
      <c r="M65" s="3"/>
      <c r="N65" s="56" t="s">
        <v>547</v>
      </c>
      <c r="O65" s="3"/>
      <c r="P65" s="93" t="s">
        <v>547</v>
      </c>
    </row>
    <row r="66" spans="1:16">
      <c r="A66" s="66"/>
      <c r="B66" s="64"/>
      <c r="C66" s="25" t="s">
        <v>1355</v>
      </c>
      <c r="J66" s="103" t="s">
        <v>569</v>
      </c>
      <c r="K66" s="3" t="s">
        <v>586</v>
      </c>
      <c r="L66" s="3" t="s">
        <v>552</v>
      </c>
      <c r="M66" s="3"/>
      <c r="N66" s="56" t="s">
        <v>547</v>
      </c>
      <c r="O66" s="3"/>
      <c r="P66" s="93" t="s">
        <v>547</v>
      </c>
    </row>
    <row r="67" spans="1:16">
      <c r="A67" s="66"/>
      <c r="B67" s="63" t="s">
        <v>379</v>
      </c>
      <c r="C67" s="25" t="s">
        <v>593</v>
      </c>
      <c r="D67" s="1" t="s">
        <v>561</v>
      </c>
      <c r="E67" s="97" t="s">
        <v>547</v>
      </c>
      <c r="F67" s="3" t="s">
        <v>552</v>
      </c>
      <c r="H67" s="3" t="s">
        <v>547</v>
      </c>
    </row>
    <row r="68" spans="1:16">
      <c r="A68" s="66"/>
      <c r="B68" s="66"/>
      <c r="C68" s="25" t="s">
        <v>594</v>
      </c>
      <c r="D68" s="1"/>
    </row>
    <row r="69" spans="1:16">
      <c r="A69" s="66"/>
      <c r="B69" s="66"/>
      <c r="C69" s="25" t="s">
        <v>595</v>
      </c>
      <c r="D69" s="1"/>
    </row>
    <row r="70" spans="1:16">
      <c r="A70" s="66"/>
      <c r="B70" s="66"/>
      <c r="C70" s="25" t="s">
        <v>596</v>
      </c>
      <c r="D70" s="1" t="s">
        <v>561</v>
      </c>
      <c r="E70" s="97" t="s">
        <v>597</v>
      </c>
      <c r="F70" s="3" t="s">
        <v>552</v>
      </c>
      <c r="H70" s="3" t="s">
        <v>547</v>
      </c>
    </row>
    <row r="71" spans="1:16">
      <c r="A71" s="66"/>
      <c r="B71" s="66"/>
      <c r="C71" s="50" t="s">
        <v>1356</v>
      </c>
    </row>
    <row r="72" spans="1:16">
      <c r="A72" s="66"/>
      <c r="B72" s="66"/>
      <c r="C72" s="25" t="s">
        <v>598</v>
      </c>
      <c r="D72" s="1" t="s">
        <v>561</v>
      </c>
      <c r="E72" s="97" t="s">
        <v>599</v>
      </c>
      <c r="F72" s="3" t="s">
        <v>552</v>
      </c>
      <c r="H72" s="3" t="s">
        <v>547</v>
      </c>
    </row>
    <row r="73" spans="1:16">
      <c r="A73" s="66"/>
      <c r="B73" s="66"/>
      <c r="C73" s="50" t="s">
        <v>1357</v>
      </c>
    </row>
    <row r="74" spans="1:16">
      <c r="A74" s="66"/>
      <c r="B74" s="66"/>
      <c r="C74" s="25" t="s">
        <v>600</v>
      </c>
      <c r="D74" s="1" t="s">
        <v>561</v>
      </c>
      <c r="E74" s="98" t="s">
        <v>1358</v>
      </c>
      <c r="F74" s="3" t="s">
        <v>552</v>
      </c>
      <c r="H74" s="3" t="s">
        <v>547</v>
      </c>
    </row>
    <row r="75" spans="1:16">
      <c r="A75" s="66"/>
      <c r="B75" s="66"/>
      <c r="C75" s="50" t="s">
        <v>1359</v>
      </c>
      <c r="D75" s="1"/>
    </row>
    <row r="76" spans="1:16">
      <c r="A76" s="66"/>
      <c r="B76" s="66"/>
      <c r="C76" s="25" t="s">
        <v>602</v>
      </c>
      <c r="D76" s="1" t="s">
        <v>561</v>
      </c>
      <c r="E76" s="98" t="s">
        <v>552</v>
      </c>
      <c r="F76" s="3" t="s">
        <v>547</v>
      </c>
      <c r="H76" s="3" t="s">
        <v>547</v>
      </c>
    </row>
    <row r="77" spans="1:16">
      <c r="A77" s="66"/>
      <c r="B77" s="66"/>
      <c r="C77" s="25" t="s">
        <v>603</v>
      </c>
      <c r="D77" s="1" t="s">
        <v>543</v>
      </c>
      <c r="E77" s="97" t="s">
        <v>604</v>
      </c>
      <c r="F77" s="3" t="s">
        <v>545</v>
      </c>
      <c r="G77" s="3" t="s">
        <v>546</v>
      </c>
      <c r="H77" s="3" t="s">
        <v>547</v>
      </c>
      <c r="I77" s="56" t="s">
        <v>546</v>
      </c>
      <c r="P77" s="93" t="s">
        <v>547</v>
      </c>
    </row>
    <row r="78" spans="1:16">
      <c r="A78" s="66"/>
      <c r="B78" s="66"/>
      <c r="C78" s="25" t="s">
        <v>605</v>
      </c>
      <c r="D78" s="1" t="s">
        <v>569</v>
      </c>
      <c r="E78" s="97" t="s">
        <v>552</v>
      </c>
      <c r="F78" s="3" t="s">
        <v>545</v>
      </c>
      <c r="H78" s="3" t="s">
        <v>547</v>
      </c>
      <c r="P78" s="93" t="s">
        <v>547</v>
      </c>
    </row>
    <row r="79" spans="1:16">
      <c r="A79" s="66"/>
      <c r="B79" s="66"/>
      <c r="C79" s="50" t="s">
        <v>1360</v>
      </c>
      <c r="D79" s="1" t="s">
        <v>569</v>
      </c>
      <c r="E79" s="97" t="s">
        <v>552</v>
      </c>
      <c r="F79" s="3" t="s">
        <v>545</v>
      </c>
      <c r="H79" s="3" t="s">
        <v>547</v>
      </c>
      <c r="P79" s="93" t="s">
        <v>547</v>
      </c>
    </row>
    <row r="80" spans="1:16">
      <c r="A80" s="66"/>
      <c r="B80" s="66"/>
      <c r="C80" s="25" t="s">
        <v>606</v>
      </c>
      <c r="D80" s="1" t="s">
        <v>569</v>
      </c>
      <c r="E80" s="97" t="s">
        <v>607</v>
      </c>
      <c r="F80" s="3" t="s">
        <v>545</v>
      </c>
      <c r="H80" s="3" t="s">
        <v>547</v>
      </c>
      <c r="P80" s="93" t="s">
        <v>547</v>
      </c>
    </row>
    <row r="81" spans="1:16">
      <c r="A81" s="66"/>
      <c r="B81" s="66"/>
      <c r="C81" s="50" t="s">
        <v>1361</v>
      </c>
      <c r="D81" s="1" t="s">
        <v>569</v>
      </c>
      <c r="E81" s="97" t="s">
        <v>607</v>
      </c>
      <c r="F81" s="3" t="s">
        <v>545</v>
      </c>
      <c r="H81" s="3" t="s">
        <v>547</v>
      </c>
      <c r="P81" s="93" t="s">
        <v>547</v>
      </c>
    </row>
    <row r="82" spans="1:16">
      <c r="A82" s="66"/>
      <c r="B82" s="66"/>
      <c r="C82" s="25" t="s">
        <v>608</v>
      </c>
      <c r="D82" s="1" t="s">
        <v>569</v>
      </c>
      <c r="E82" s="97" t="s">
        <v>609</v>
      </c>
      <c r="F82" s="3" t="s">
        <v>545</v>
      </c>
      <c r="H82" s="3" t="s">
        <v>547</v>
      </c>
      <c r="P82" s="93" t="s">
        <v>547</v>
      </c>
    </row>
    <row r="83" spans="1:16">
      <c r="A83" s="66"/>
      <c r="B83" s="66"/>
      <c r="C83" s="50" t="s">
        <v>836</v>
      </c>
      <c r="D83" s="1" t="s">
        <v>569</v>
      </c>
      <c r="E83" s="97" t="s">
        <v>609</v>
      </c>
      <c r="F83" s="3" t="s">
        <v>545</v>
      </c>
      <c r="H83" s="3" t="s">
        <v>547</v>
      </c>
      <c r="P83" s="93" t="s">
        <v>547</v>
      </c>
    </row>
    <row r="84" spans="1:16">
      <c r="A84" s="66"/>
      <c r="B84" s="66"/>
      <c r="C84" s="25" t="s">
        <v>610</v>
      </c>
      <c r="D84" s="1" t="s">
        <v>569</v>
      </c>
      <c r="E84" s="97" t="s">
        <v>611</v>
      </c>
      <c r="F84" s="3" t="s">
        <v>545</v>
      </c>
      <c r="H84" s="3" t="s">
        <v>547</v>
      </c>
      <c r="P84" s="93" t="s">
        <v>547</v>
      </c>
    </row>
    <row r="85" spans="1:16">
      <c r="A85" s="66"/>
      <c r="B85" s="66"/>
      <c r="C85" s="50" t="s">
        <v>1362</v>
      </c>
      <c r="D85" s="1" t="s">
        <v>569</v>
      </c>
      <c r="E85" s="97" t="s">
        <v>611</v>
      </c>
      <c r="F85" s="3" t="s">
        <v>545</v>
      </c>
      <c r="H85" s="3" t="s">
        <v>547</v>
      </c>
      <c r="P85" s="93" t="s">
        <v>547</v>
      </c>
    </row>
    <row r="86" spans="1:16">
      <c r="A86" s="66"/>
      <c r="B86" s="66"/>
      <c r="C86" s="25" t="s">
        <v>612</v>
      </c>
      <c r="D86" s="1" t="s">
        <v>543</v>
      </c>
      <c r="E86" s="97" t="s">
        <v>604</v>
      </c>
      <c r="F86" s="3" t="s">
        <v>552</v>
      </c>
      <c r="G86" s="3" t="s">
        <v>546</v>
      </c>
      <c r="H86" s="3" t="s">
        <v>547</v>
      </c>
      <c r="I86" s="56" t="s">
        <v>546</v>
      </c>
      <c r="P86" s="93" t="s">
        <v>547</v>
      </c>
    </row>
    <row r="87" spans="1:16">
      <c r="A87" s="66"/>
      <c r="B87" s="66"/>
      <c r="C87" s="25" t="s">
        <v>613</v>
      </c>
      <c r="D87" s="1" t="s">
        <v>569</v>
      </c>
      <c r="E87" s="97" t="s">
        <v>552</v>
      </c>
      <c r="F87" s="3" t="s">
        <v>552</v>
      </c>
      <c r="H87" s="3" t="s">
        <v>547</v>
      </c>
      <c r="P87" s="93" t="s">
        <v>547</v>
      </c>
    </row>
    <row r="88" spans="1:16">
      <c r="A88" s="66"/>
      <c r="B88" s="66"/>
      <c r="C88" s="50" t="s">
        <v>1363</v>
      </c>
      <c r="D88" s="1" t="s">
        <v>569</v>
      </c>
      <c r="E88" s="97" t="s">
        <v>552</v>
      </c>
      <c r="F88" s="3" t="s">
        <v>552</v>
      </c>
      <c r="H88" s="3" t="s">
        <v>547</v>
      </c>
      <c r="P88" s="93" t="s">
        <v>547</v>
      </c>
    </row>
    <row r="89" spans="1:16">
      <c r="A89" s="66"/>
      <c r="B89" s="66"/>
      <c r="C89" s="25" t="s">
        <v>614</v>
      </c>
      <c r="D89" s="1" t="s">
        <v>569</v>
      </c>
      <c r="E89" s="97" t="s">
        <v>607</v>
      </c>
      <c r="F89" s="3" t="s">
        <v>552</v>
      </c>
      <c r="H89" s="3" t="s">
        <v>547</v>
      </c>
      <c r="P89" s="93" t="s">
        <v>547</v>
      </c>
    </row>
    <row r="90" spans="1:16">
      <c r="A90" s="66"/>
      <c r="B90" s="66"/>
      <c r="C90" s="50" t="s">
        <v>1364</v>
      </c>
      <c r="D90" s="1" t="s">
        <v>569</v>
      </c>
      <c r="E90" s="97" t="s">
        <v>607</v>
      </c>
      <c r="F90" s="3" t="s">
        <v>552</v>
      </c>
      <c r="H90" s="3" t="s">
        <v>547</v>
      </c>
      <c r="P90" s="93" t="s">
        <v>547</v>
      </c>
    </row>
    <row r="91" spans="1:16">
      <c r="A91" s="66"/>
      <c r="B91" s="66"/>
      <c r="C91" s="25" t="s">
        <v>615</v>
      </c>
      <c r="D91" s="1" t="s">
        <v>569</v>
      </c>
      <c r="E91" s="97" t="s">
        <v>609</v>
      </c>
      <c r="F91" s="3" t="s">
        <v>552</v>
      </c>
      <c r="H91" s="3" t="s">
        <v>547</v>
      </c>
      <c r="P91" s="93" t="s">
        <v>547</v>
      </c>
    </row>
    <row r="92" spans="1:16">
      <c r="A92" s="66"/>
      <c r="B92" s="66"/>
      <c r="C92" s="50" t="s">
        <v>1365</v>
      </c>
      <c r="D92" s="1" t="s">
        <v>569</v>
      </c>
      <c r="E92" s="97" t="s">
        <v>609</v>
      </c>
      <c r="F92" s="3" t="s">
        <v>552</v>
      </c>
      <c r="H92" s="3" t="s">
        <v>547</v>
      </c>
      <c r="P92" s="93" t="s">
        <v>547</v>
      </c>
    </row>
    <row r="93" spans="1:16">
      <c r="A93" s="66"/>
      <c r="B93" s="66"/>
      <c r="C93" s="25" t="s">
        <v>616</v>
      </c>
      <c r="D93" s="1" t="s">
        <v>569</v>
      </c>
      <c r="E93" s="97" t="s">
        <v>611</v>
      </c>
      <c r="F93" s="3" t="s">
        <v>552</v>
      </c>
      <c r="H93" s="3" t="s">
        <v>547</v>
      </c>
      <c r="P93" s="93" t="s">
        <v>547</v>
      </c>
    </row>
    <row r="94" spans="1:16">
      <c r="A94" s="66"/>
      <c r="B94" s="66"/>
      <c r="C94" s="50" t="s">
        <v>1366</v>
      </c>
      <c r="D94" s="1" t="s">
        <v>569</v>
      </c>
      <c r="E94" s="97" t="s">
        <v>611</v>
      </c>
      <c r="F94" s="3" t="s">
        <v>552</v>
      </c>
      <c r="H94" s="3" t="s">
        <v>547</v>
      </c>
      <c r="P94" s="93" t="s">
        <v>547</v>
      </c>
    </row>
    <row r="95" spans="1:16">
      <c r="A95" s="66"/>
      <c r="B95" s="66"/>
      <c r="C95" s="25" t="s">
        <v>617</v>
      </c>
      <c r="D95" s="1" t="s">
        <v>543</v>
      </c>
      <c r="E95" s="97" t="s">
        <v>618</v>
      </c>
      <c r="F95" s="3" t="s">
        <v>552</v>
      </c>
      <c r="G95" s="3" t="s">
        <v>546</v>
      </c>
      <c r="H95" s="3" t="s">
        <v>547</v>
      </c>
      <c r="I95" s="56" t="s">
        <v>546</v>
      </c>
      <c r="P95" s="93" t="s">
        <v>547</v>
      </c>
    </row>
    <row r="96" spans="1:16">
      <c r="A96" s="66"/>
      <c r="B96" s="66"/>
      <c r="C96" s="25" t="s">
        <v>619</v>
      </c>
      <c r="D96" s="1" t="s">
        <v>569</v>
      </c>
      <c r="E96" s="97" t="s">
        <v>620</v>
      </c>
      <c r="F96" s="3" t="s">
        <v>552</v>
      </c>
      <c r="H96" s="3" t="s">
        <v>547</v>
      </c>
      <c r="P96" s="93" t="s">
        <v>547</v>
      </c>
    </row>
    <row r="97" spans="1:16">
      <c r="A97" s="66"/>
      <c r="B97" s="66"/>
      <c r="C97" s="50" t="s">
        <v>1367</v>
      </c>
      <c r="D97" s="1" t="s">
        <v>569</v>
      </c>
      <c r="E97" s="97" t="s">
        <v>620</v>
      </c>
      <c r="F97" s="3" t="s">
        <v>552</v>
      </c>
      <c r="H97" s="3" t="s">
        <v>547</v>
      </c>
      <c r="P97" s="106" t="s">
        <v>547</v>
      </c>
    </row>
    <row r="98" spans="1:16">
      <c r="A98" s="66"/>
      <c r="B98" s="66"/>
      <c r="C98" s="25" t="s">
        <v>621</v>
      </c>
      <c r="D98" s="1" t="s">
        <v>569</v>
      </c>
      <c r="E98" s="97" t="s">
        <v>622</v>
      </c>
      <c r="F98" s="3" t="s">
        <v>552</v>
      </c>
      <c r="H98" s="3" t="s">
        <v>547</v>
      </c>
      <c r="P98" s="106" t="s">
        <v>547</v>
      </c>
    </row>
    <row r="99" spans="1:16">
      <c r="A99" s="66"/>
      <c r="B99" s="66"/>
      <c r="C99" s="50" t="s">
        <v>1368</v>
      </c>
      <c r="D99" s="1" t="s">
        <v>569</v>
      </c>
      <c r="E99" s="97" t="s">
        <v>622</v>
      </c>
      <c r="F99" s="3" t="s">
        <v>552</v>
      </c>
      <c r="H99" s="3" t="s">
        <v>547</v>
      </c>
      <c r="P99" s="106" t="s">
        <v>547</v>
      </c>
    </row>
    <row r="100" spans="1:16">
      <c r="A100" s="66"/>
      <c r="B100" s="66"/>
      <c r="C100" s="25" t="s">
        <v>623</v>
      </c>
      <c r="D100" s="1" t="s">
        <v>569</v>
      </c>
      <c r="E100" s="97" t="s">
        <v>624</v>
      </c>
      <c r="F100" s="3" t="s">
        <v>552</v>
      </c>
      <c r="H100" s="3" t="s">
        <v>547</v>
      </c>
      <c r="P100" s="106" t="s">
        <v>547</v>
      </c>
    </row>
    <row r="101" spans="1:16">
      <c r="A101" s="66"/>
      <c r="B101" s="66"/>
      <c r="C101" s="50" t="s">
        <v>1369</v>
      </c>
      <c r="D101" s="1" t="s">
        <v>569</v>
      </c>
      <c r="E101" s="97" t="s">
        <v>624</v>
      </c>
      <c r="F101" s="3" t="s">
        <v>552</v>
      </c>
      <c r="H101" s="3" t="s">
        <v>547</v>
      </c>
      <c r="P101" s="106" t="s">
        <v>547</v>
      </c>
    </row>
    <row r="102" spans="1:16">
      <c r="A102" s="66"/>
      <c r="B102" s="66"/>
      <c r="C102" s="25" t="s">
        <v>625</v>
      </c>
      <c r="D102" s="1" t="s">
        <v>569</v>
      </c>
      <c r="E102" s="97" t="s">
        <v>550</v>
      </c>
      <c r="F102" s="3" t="s">
        <v>552</v>
      </c>
      <c r="H102" s="3" t="s">
        <v>547</v>
      </c>
      <c r="P102" s="106" t="s">
        <v>547</v>
      </c>
    </row>
    <row r="103" spans="1:16">
      <c r="A103" s="66"/>
      <c r="B103" s="66"/>
      <c r="C103" s="50" t="s">
        <v>1370</v>
      </c>
      <c r="D103" s="1" t="s">
        <v>569</v>
      </c>
      <c r="E103" s="97" t="s">
        <v>550</v>
      </c>
      <c r="F103" s="3" t="s">
        <v>552</v>
      </c>
      <c r="H103" s="3" t="s">
        <v>547</v>
      </c>
      <c r="P103" s="106" t="s">
        <v>547</v>
      </c>
    </row>
    <row r="104" spans="1:16">
      <c r="A104" s="66"/>
      <c r="B104" s="66"/>
      <c r="C104" s="25" t="s">
        <v>626</v>
      </c>
      <c r="D104" s="1" t="s">
        <v>543</v>
      </c>
      <c r="E104" s="97" t="s">
        <v>604</v>
      </c>
      <c r="F104" s="3" t="s">
        <v>620</v>
      </c>
      <c r="G104" s="3" t="s">
        <v>546</v>
      </c>
      <c r="H104" s="3" t="s">
        <v>547</v>
      </c>
      <c r="I104" s="56" t="s">
        <v>546</v>
      </c>
      <c r="P104" s="106" t="s">
        <v>547</v>
      </c>
    </row>
    <row r="105" spans="1:16">
      <c r="A105" s="66"/>
      <c r="B105" s="66"/>
      <c r="C105" s="25" t="s">
        <v>627</v>
      </c>
      <c r="D105" s="1" t="s">
        <v>569</v>
      </c>
      <c r="E105" s="97" t="s">
        <v>552</v>
      </c>
      <c r="F105" s="3" t="s">
        <v>620</v>
      </c>
      <c r="H105" s="3" t="s">
        <v>547</v>
      </c>
      <c r="P105" s="106" t="s">
        <v>547</v>
      </c>
    </row>
    <row r="106" spans="1:16">
      <c r="A106" s="66"/>
      <c r="B106" s="66"/>
      <c r="C106" s="50" t="s">
        <v>1371</v>
      </c>
      <c r="D106" s="1" t="s">
        <v>569</v>
      </c>
      <c r="E106" s="97" t="s">
        <v>552</v>
      </c>
      <c r="F106" s="3" t="s">
        <v>620</v>
      </c>
      <c r="H106" s="3" t="s">
        <v>547</v>
      </c>
      <c r="P106" s="106" t="s">
        <v>547</v>
      </c>
    </row>
    <row r="107" spans="1:16">
      <c r="A107" s="66"/>
      <c r="B107" s="66"/>
      <c r="C107" s="25" t="s">
        <v>628</v>
      </c>
      <c r="D107" s="1" t="s">
        <v>569</v>
      </c>
      <c r="E107" s="97" t="s">
        <v>607</v>
      </c>
      <c r="F107" s="3" t="s">
        <v>620</v>
      </c>
      <c r="H107" s="3" t="s">
        <v>547</v>
      </c>
      <c r="P107" s="106" t="s">
        <v>547</v>
      </c>
    </row>
    <row r="108" spans="1:16">
      <c r="A108" s="66"/>
      <c r="B108" s="66"/>
      <c r="C108" s="50" t="s">
        <v>1372</v>
      </c>
      <c r="D108" s="1" t="s">
        <v>569</v>
      </c>
      <c r="E108" s="97" t="s">
        <v>607</v>
      </c>
      <c r="F108" s="3" t="s">
        <v>620</v>
      </c>
      <c r="H108" s="3" t="s">
        <v>547</v>
      </c>
      <c r="P108" s="106" t="s">
        <v>547</v>
      </c>
    </row>
    <row r="109" spans="1:16">
      <c r="A109" s="66"/>
      <c r="B109" s="66"/>
      <c r="C109" s="25" t="s">
        <v>629</v>
      </c>
      <c r="D109" s="1" t="s">
        <v>569</v>
      </c>
      <c r="E109" s="97" t="s">
        <v>609</v>
      </c>
      <c r="F109" s="3" t="s">
        <v>620</v>
      </c>
      <c r="H109" s="3" t="s">
        <v>547</v>
      </c>
      <c r="P109" s="106" t="s">
        <v>547</v>
      </c>
    </row>
    <row r="110" spans="1:16">
      <c r="A110" s="66"/>
      <c r="B110" s="66"/>
      <c r="C110" s="50" t="s">
        <v>1373</v>
      </c>
      <c r="D110" s="1" t="s">
        <v>569</v>
      </c>
      <c r="E110" s="97" t="s">
        <v>609</v>
      </c>
      <c r="F110" s="3" t="s">
        <v>620</v>
      </c>
      <c r="H110" s="3" t="s">
        <v>547</v>
      </c>
      <c r="P110" s="106" t="s">
        <v>547</v>
      </c>
    </row>
    <row r="111" spans="1:16">
      <c r="A111" s="66"/>
      <c r="B111" s="66"/>
      <c r="C111" s="25" t="s">
        <v>630</v>
      </c>
      <c r="D111" s="1" t="s">
        <v>569</v>
      </c>
      <c r="E111" s="97" t="s">
        <v>611</v>
      </c>
      <c r="F111" s="3" t="s">
        <v>620</v>
      </c>
      <c r="H111" s="3" t="s">
        <v>547</v>
      </c>
      <c r="P111" s="106" t="s">
        <v>547</v>
      </c>
    </row>
    <row r="112" spans="1:16">
      <c r="A112" s="66"/>
      <c r="B112" s="66"/>
      <c r="C112" s="50" t="s">
        <v>1374</v>
      </c>
      <c r="D112" s="1" t="s">
        <v>569</v>
      </c>
      <c r="E112" s="97" t="s">
        <v>611</v>
      </c>
      <c r="F112" s="3" t="s">
        <v>620</v>
      </c>
      <c r="H112" s="3" t="s">
        <v>547</v>
      </c>
      <c r="P112" s="106" t="s">
        <v>547</v>
      </c>
    </row>
    <row r="113" spans="1:16">
      <c r="A113" s="66"/>
      <c r="B113" s="66"/>
      <c r="C113" s="25" t="s">
        <v>631</v>
      </c>
      <c r="D113" s="1"/>
      <c r="P113" s="93"/>
    </row>
    <row r="114" spans="1:16">
      <c r="A114" s="66"/>
      <c r="B114" s="66"/>
      <c r="C114" s="50" t="s">
        <v>1375</v>
      </c>
      <c r="D114" s="1"/>
      <c r="P114" s="93"/>
    </row>
    <row r="115" spans="1:16">
      <c r="A115" s="66"/>
      <c r="B115" s="66"/>
      <c r="C115" s="25" t="s">
        <v>633</v>
      </c>
      <c r="D115" s="1"/>
      <c r="P115" s="93"/>
    </row>
    <row r="116" spans="1:16">
      <c r="A116" s="66"/>
      <c r="B116" s="66"/>
      <c r="C116" s="50" t="s">
        <v>1376</v>
      </c>
      <c r="D116" s="1"/>
      <c r="P116" s="93"/>
    </row>
    <row r="117" spans="1:16">
      <c r="A117" s="66"/>
      <c r="B117" s="66"/>
      <c r="C117" s="25" t="s">
        <v>634</v>
      </c>
      <c r="D117" s="1"/>
      <c r="P117" s="93"/>
    </row>
    <row r="118" spans="1:16">
      <c r="A118" s="66"/>
      <c r="B118" s="66"/>
      <c r="C118" s="50" t="s">
        <v>1377</v>
      </c>
      <c r="D118" s="1"/>
      <c r="P118" s="93"/>
    </row>
    <row r="119" spans="1:16">
      <c r="A119" s="66"/>
      <c r="B119" s="66"/>
      <c r="C119" s="25" t="s">
        <v>635</v>
      </c>
      <c r="D119" s="1"/>
      <c r="P119" s="93"/>
    </row>
    <row r="120" spans="1:16">
      <c r="A120" s="66"/>
      <c r="B120" s="66"/>
      <c r="C120" s="50" t="s">
        <v>1378</v>
      </c>
      <c r="D120" s="1"/>
      <c r="P120" s="93"/>
    </row>
    <row r="121" spans="1:16">
      <c r="A121" s="66"/>
      <c r="B121" s="66"/>
      <c r="C121" s="25" t="s">
        <v>636</v>
      </c>
      <c r="D121" s="1" t="s">
        <v>543</v>
      </c>
      <c r="E121" s="97" t="s">
        <v>557</v>
      </c>
      <c r="F121" s="3" t="s">
        <v>545</v>
      </c>
      <c r="G121" s="3" t="s">
        <v>546</v>
      </c>
      <c r="H121" s="3" t="s">
        <v>547</v>
      </c>
      <c r="I121" s="56" t="s">
        <v>546</v>
      </c>
      <c r="P121" s="93" t="s">
        <v>547</v>
      </c>
    </row>
    <row r="122" spans="1:16">
      <c r="A122" s="66"/>
      <c r="B122" s="66"/>
      <c r="C122" s="25" t="s">
        <v>637</v>
      </c>
      <c r="D122" s="1" t="s">
        <v>569</v>
      </c>
      <c r="E122" s="97" t="s">
        <v>557</v>
      </c>
      <c r="F122" s="3" t="s">
        <v>545</v>
      </c>
      <c r="H122" s="3" t="s">
        <v>547</v>
      </c>
      <c r="P122" s="93" t="s">
        <v>547</v>
      </c>
    </row>
    <row r="123" spans="1:16">
      <c r="A123" s="66"/>
      <c r="B123" s="66"/>
      <c r="C123" s="50" t="s">
        <v>1379</v>
      </c>
      <c r="D123" s="1" t="s">
        <v>569</v>
      </c>
      <c r="E123" s="97" t="s">
        <v>557</v>
      </c>
      <c r="F123" s="3" t="s">
        <v>545</v>
      </c>
      <c r="H123" s="3" t="s">
        <v>547</v>
      </c>
      <c r="P123" s="93" t="s">
        <v>547</v>
      </c>
    </row>
    <row r="124" spans="1:16">
      <c r="A124" s="66"/>
      <c r="B124" s="66"/>
      <c r="C124" s="25" t="s">
        <v>1304</v>
      </c>
      <c r="D124" s="1" t="s">
        <v>543</v>
      </c>
      <c r="E124" s="97" t="s">
        <v>1380</v>
      </c>
      <c r="F124" s="3" t="s">
        <v>552</v>
      </c>
      <c r="G124" s="3" t="s">
        <v>546</v>
      </c>
      <c r="H124" s="3" t="s">
        <v>547</v>
      </c>
      <c r="I124" s="56" t="s">
        <v>546</v>
      </c>
      <c r="P124" s="93" t="s">
        <v>547</v>
      </c>
    </row>
    <row r="125" spans="1:16">
      <c r="A125" s="66"/>
      <c r="B125" s="66"/>
      <c r="C125" s="50" t="s">
        <v>638</v>
      </c>
      <c r="D125" s="1" t="s">
        <v>639</v>
      </c>
      <c r="E125" s="97" t="s">
        <v>1380</v>
      </c>
      <c r="F125" s="3" t="s">
        <v>552</v>
      </c>
      <c r="H125" s="3" t="s">
        <v>547</v>
      </c>
      <c r="P125" s="93" t="s">
        <v>547</v>
      </c>
    </row>
    <row r="126" spans="1:16">
      <c r="A126" s="66"/>
      <c r="B126" s="66"/>
      <c r="C126" s="50" t="s">
        <v>641</v>
      </c>
      <c r="D126" s="1" t="s">
        <v>639</v>
      </c>
    </row>
    <row r="127" spans="1:16">
      <c r="A127" s="66"/>
      <c r="B127" s="66"/>
      <c r="C127" s="50" t="s">
        <v>1381</v>
      </c>
      <c r="D127" s="1" t="s">
        <v>639</v>
      </c>
    </row>
    <row r="128" spans="1:16">
      <c r="A128" s="66"/>
      <c r="B128" s="66"/>
      <c r="C128" s="50" t="s">
        <v>642</v>
      </c>
      <c r="D128" s="1" t="s">
        <v>639</v>
      </c>
    </row>
    <row r="129" spans="1:16">
      <c r="A129" s="66"/>
      <c r="B129" s="66"/>
      <c r="C129" s="50" t="s">
        <v>1382</v>
      </c>
      <c r="D129" s="1" t="s">
        <v>639</v>
      </c>
    </row>
    <row r="130" spans="1:16">
      <c r="A130" s="66"/>
      <c r="B130" s="66"/>
      <c r="C130" s="50" t="s">
        <v>665</v>
      </c>
      <c r="D130" s="1"/>
    </row>
    <row r="131" spans="1:16">
      <c r="A131" s="66"/>
      <c r="B131" s="66"/>
      <c r="C131" s="50" t="s">
        <v>666</v>
      </c>
      <c r="D131" s="1"/>
    </row>
    <row r="132" spans="1:16">
      <c r="A132" s="66"/>
      <c r="B132" s="66"/>
      <c r="C132" s="50" t="s">
        <v>667</v>
      </c>
      <c r="D132" s="1"/>
    </row>
    <row r="133" spans="1:16">
      <c r="A133" s="66"/>
      <c r="B133" s="66"/>
      <c r="C133" s="25" t="s">
        <v>668</v>
      </c>
      <c r="D133" s="1" t="s">
        <v>561</v>
      </c>
      <c r="E133" s="97" t="s">
        <v>1383</v>
      </c>
      <c r="F133" s="3" t="s">
        <v>552</v>
      </c>
      <c r="H133" s="3" t="s">
        <v>547</v>
      </c>
    </row>
    <row r="134" spans="1:16">
      <c r="A134" s="66"/>
      <c r="B134" s="66"/>
      <c r="C134" s="50" t="s">
        <v>671</v>
      </c>
      <c r="D134" s="1" t="s">
        <v>543</v>
      </c>
      <c r="E134" s="97" t="s">
        <v>1384</v>
      </c>
      <c r="F134" s="3" t="s">
        <v>545</v>
      </c>
      <c r="G134" s="3" t="s">
        <v>546</v>
      </c>
      <c r="H134" s="3" t="s">
        <v>547</v>
      </c>
      <c r="I134" s="56" t="s">
        <v>546</v>
      </c>
      <c r="P134" s="106" t="s">
        <v>547</v>
      </c>
    </row>
    <row r="135" spans="1:16">
      <c r="A135" s="66"/>
      <c r="B135" s="66"/>
      <c r="C135" s="25" t="s">
        <v>673</v>
      </c>
      <c r="D135" s="1" t="s">
        <v>569</v>
      </c>
      <c r="E135" s="97" t="s">
        <v>674</v>
      </c>
      <c r="F135" s="3" t="s">
        <v>545</v>
      </c>
      <c r="H135" s="3" t="s">
        <v>547</v>
      </c>
    </row>
    <row r="136" spans="1:16">
      <c r="A136" s="66"/>
      <c r="B136" s="66"/>
      <c r="C136" s="50" t="s">
        <v>1385</v>
      </c>
      <c r="D136" s="1" t="s">
        <v>569</v>
      </c>
      <c r="E136" s="97" t="s">
        <v>674</v>
      </c>
      <c r="F136" s="3" t="s">
        <v>545</v>
      </c>
      <c r="H136" s="3" t="s">
        <v>547</v>
      </c>
    </row>
    <row r="137" spans="1:16">
      <c r="A137" s="66"/>
      <c r="B137" s="66"/>
      <c r="C137" s="25" t="s">
        <v>675</v>
      </c>
      <c r="D137" s="1" t="s">
        <v>569</v>
      </c>
      <c r="E137" s="97" t="s">
        <v>676</v>
      </c>
      <c r="F137" s="3" t="s">
        <v>545</v>
      </c>
      <c r="H137" s="3" t="s">
        <v>547</v>
      </c>
    </row>
    <row r="138" spans="1:16">
      <c r="A138" s="66"/>
      <c r="B138" s="66"/>
      <c r="C138" s="50" t="s">
        <v>1386</v>
      </c>
      <c r="D138" s="1" t="s">
        <v>569</v>
      </c>
      <c r="E138" s="97" t="s">
        <v>676</v>
      </c>
      <c r="F138" s="3" t="s">
        <v>545</v>
      </c>
      <c r="H138" s="3" t="s">
        <v>547</v>
      </c>
    </row>
    <row r="139" spans="1:16">
      <c r="A139" s="66"/>
      <c r="B139" s="66"/>
      <c r="C139" s="25" t="s">
        <v>677</v>
      </c>
      <c r="D139" s="1" t="s">
        <v>569</v>
      </c>
      <c r="E139" s="97" t="s">
        <v>678</v>
      </c>
      <c r="F139" s="3" t="s">
        <v>545</v>
      </c>
      <c r="H139" s="3" t="s">
        <v>547</v>
      </c>
    </row>
    <row r="140" spans="1:16">
      <c r="A140" s="66"/>
      <c r="B140" s="66"/>
      <c r="C140" s="50" t="s">
        <v>1387</v>
      </c>
      <c r="D140" s="1" t="s">
        <v>569</v>
      </c>
      <c r="E140" s="97" t="s">
        <v>678</v>
      </c>
      <c r="F140" s="3" t="s">
        <v>545</v>
      </c>
      <c r="H140" s="3" t="s">
        <v>547</v>
      </c>
    </row>
    <row r="141" spans="1:16">
      <c r="A141" s="66"/>
      <c r="B141" s="66"/>
      <c r="C141" s="25" t="s">
        <v>679</v>
      </c>
      <c r="D141" s="1" t="s">
        <v>543</v>
      </c>
      <c r="E141" s="97" t="s">
        <v>1384</v>
      </c>
      <c r="F141" s="3" t="s">
        <v>552</v>
      </c>
      <c r="G141" s="3" t="s">
        <v>546</v>
      </c>
      <c r="H141" s="3" t="s">
        <v>547</v>
      </c>
      <c r="I141" s="56" t="s">
        <v>546</v>
      </c>
      <c r="P141" s="106" t="s">
        <v>547</v>
      </c>
    </row>
    <row r="142" spans="1:16">
      <c r="A142" s="66"/>
      <c r="B142" s="66"/>
      <c r="C142" s="25" t="s">
        <v>681</v>
      </c>
      <c r="D142" s="1" t="s">
        <v>569</v>
      </c>
      <c r="E142" s="97" t="s">
        <v>674</v>
      </c>
      <c r="F142" s="3" t="s">
        <v>552</v>
      </c>
      <c r="H142" s="3" t="s">
        <v>547</v>
      </c>
    </row>
    <row r="143" spans="1:16">
      <c r="A143" s="66"/>
      <c r="B143" s="66"/>
      <c r="C143" s="50" t="s">
        <v>1388</v>
      </c>
      <c r="D143" s="1" t="s">
        <v>569</v>
      </c>
      <c r="E143" s="97" t="s">
        <v>674</v>
      </c>
      <c r="F143" s="3" t="s">
        <v>552</v>
      </c>
      <c r="H143" s="3" t="s">
        <v>547</v>
      </c>
    </row>
    <row r="144" spans="1:16">
      <c r="A144" s="66"/>
      <c r="B144" s="66"/>
      <c r="C144" s="25" t="s">
        <v>683</v>
      </c>
      <c r="D144" s="1" t="s">
        <v>569</v>
      </c>
      <c r="E144" s="97" t="s">
        <v>676</v>
      </c>
      <c r="F144" s="3" t="s">
        <v>552</v>
      </c>
      <c r="H144" s="3" t="s">
        <v>547</v>
      </c>
    </row>
    <row r="145" spans="1:16">
      <c r="A145" s="66"/>
      <c r="B145" s="66"/>
      <c r="C145" s="50" t="s">
        <v>1389</v>
      </c>
      <c r="D145" s="1" t="s">
        <v>569</v>
      </c>
      <c r="E145" s="97" t="s">
        <v>676</v>
      </c>
      <c r="F145" s="3" t="s">
        <v>552</v>
      </c>
      <c r="H145" s="3" t="s">
        <v>547</v>
      </c>
    </row>
    <row r="146" spans="1:16">
      <c r="A146" s="66"/>
      <c r="B146" s="66"/>
      <c r="C146" s="25" t="s">
        <v>685</v>
      </c>
      <c r="D146" s="1" t="s">
        <v>569</v>
      </c>
      <c r="E146" s="97" t="s">
        <v>678</v>
      </c>
      <c r="F146" s="3" t="s">
        <v>552</v>
      </c>
      <c r="H146" s="3" t="s">
        <v>547</v>
      </c>
    </row>
    <row r="147" spans="1:16">
      <c r="A147" s="66"/>
      <c r="B147" s="66"/>
      <c r="C147" s="50" t="s">
        <v>1390</v>
      </c>
      <c r="D147" s="1" t="s">
        <v>569</v>
      </c>
      <c r="E147" s="97" t="s">
        <v>678</v>
      </c>
      <c r="F147" s="3" t="s">
        <v>552</v>
      </c>
      <c r="H147" s="3" t="s">
        <v>547</v>
      </c>
    </row>
    <row r="148" spans="1:16">
      <c r="A148" s="66"/>
      <c r="B148" s="66"/>
      <c r="C148" s="25" t="s">
        <v>687</v>
      </c>
      <c r="D148" s="1" t="s">
        <v>543</v>
      </c>
      <c r="E148" s="97" t="s">
        <v>1391</v>
      </c>
      <c r="F148" s="3" t="s">
        <v>545</v>
      </c>
      <c r="G148" s="3" t="s">
        <v>546</v>
      </c>
      <c r="H148" s="3" t="s">
        <v>547</v>
      </c>
      <c r="I148" s="56" t="s">
        <v>546</v>
      </c>
      <c r="P148" s="106" t="s">
        <v>547</v>
      </c>
    </row>
    <row r="149" spans="1:16">
      <c r="A149" s="66"/>
      <c r="B149" s="66"/>
      <c r="C149" s="25" t="s">
        <v>689</v>
      </c>
      <c r="D149" s="1" t="s">
        <v>543</v>
      </c>
      <c r="E149" s="97" t="s">
        <v>1392</v>
      </c>
      <c r="F149" s="3" t="s">
        <v>545</v>
      </c>
      <c r="G149" s="3" t="s">
        <v>546</v>
      </c>
      <c r="H149" s="3" t="s">
        <v>547</v>
      </c>
      <c r="I149" s="56" t="s">
        <v>546</v>
      </c>
      <c r="P149" s="106" t="s">
        <v>547</v>
      </c>
    </row>
    <row r="150" spans="1:16">
      <c r="A150" s="66"/>
      <c r="B150" s="66"/>
      <c r="C150" s="25" t="s">
        <v>691</v>
      </c>
      <c r="D150" s="1" t="s">
        <v>569</v>
      </c>
      <c r="E150" s="97" t="s">
        <v>1393</v>
      </c>
      <c r="F150" s="3" t="s">
        <v>545</v>
      </c>
      <c r="H150" s="3" t="s">
        <v>547</v>
      </c>
      <c r="P150" s="106" t="s">
        <v>547</v>
      </c>
    </row>
    <row r="151" spans="1:16">
      <c r="A151" s="66"/>
      <c r="B151" s="66"/>
      <c r="C151" s="50" t="s">
        <v>1394</v>
      </c>
      <c r="D151" s="1" t="s">
        <v>569</v>
      </c>
      <c r="E151" s="97" t="s">
        <v>1393</v>
      </c>
      <c r="F151" s="3" t="s">
        <v>545</v>
      </c>
      <c r="H151" s="3" t="s">
        <v>547</v>
      </c>
      <c r="P151" s="106" t="s">
        <v>547</v>
      </c>
    </row>
    <row r="152" spans="1:16">
      <c r="A152" s="66"/>
      <c r="B152" s="66"/>
      <c r="C152" s="25" t="s">
        <v>693</v>
      </c>
      <c r="D152" s="1" t="s">
        <v>569</v>
      </c>
      <c r="E152" s="97" t="s">
        <v>1395</v>
      </c>
      <c r="F152" s="3" t="s">
        <v>545</v>
      </c>
      <c r="H152" s="3" t="s">
        <v>547</v>
      </c>
      <c r="P152" s="106" t="s">
        <v>547</v>
      </c>
    </row>
    <row r="153" spans="1:16">
      <c r="A153" s="66"/>
      <c r="B153" s="66"/>
      <c r="C153" s="50" t="s">
        <v>1396</v>
      </c>
      <c r="D153" s="1" t="s">
        <v>569</v>
      </c>
      <c r="E153" s="97" t="s">
        <v>1395</v>
      </c>
      <c r="F153" s="3" t="s">
        <v>545</v>
      </c>
      <c r="H153" s="3" t="s">
        <v>547</v>
      </c>
      <c r="P153" s="106" t="s">
        <v>547</v>
      </c>
    </row>
    <row r="154" spans="1:16">
      <c r="A154" s="66"/>
      <c r="B154" s="66"/>
      <c r="C154" s="25" t="s">
        <v>695</v>
      </c>
      <c r="D154" s="1" t="s">
        <v>569</v>
      </c>
      <c r="E154" s="97" t="s">
        <v>1397</v>
      </c>
      <c r="F154" s="3" t="s">
        <v>545</v>
      </c>
      <c r="H154" s="3" t="s">
        <v>547</v>
      </c>
      <c r="P154" s="106" t="s">
        <v>547</v>
      </c>
    </row>
    <row r="155" spans="1:16">
      <c r="A155" s="66"/>
      <c r="B155" s="66"/>
      <c r="C155" s="50" t="s">
        <v>1398</v>
      </c>
      <c r="D155" s="1" t="s">
        <v>569</v>
      </c>
      <c r="E155" s="97" t="s">
        <v>1397</v>
      </c>
      <c r="F155" s="3" t="s">
        <v>545</v>
      </c>
      <c r="H155" s="3" t="s">
        <v>547</v>
      </c>
      <c r="P155" s="106" t="s">
        <v>547</v>
      </c>
    </row>
    <row r="156" spans="1:16">
      <c r="A156" s="66"/>
      <c r="B156" s="66"/>
      <c r="C156" s="25" t="s">
        <v>697</v>
      </c>
      <c r="D156" s="1" t="s">
        <v>569</v>
      </c>
      <c r="E156" s="97" t="s">
        <v>1399</v>
      </c>
      <c r="F156" s="3" t="s">
        <v>545</v>
      </c>
      <c r="H156" s="3" t="s">
        <v>547</v>
      </c>
      <c r="P156" s="106" t="s">
        <v>547</v>
      </c>
    </row>
    <row r="157" spans="1:16">
      <c r="A157" s="66"/>
      <c r="B157" s="66"/>
      <c r="C157" s="50" t="s">
        <v>1400</v>
      </c>
      <c r="D157" s="1" t="s">
        <v>569</v>
      </c>
      <c r="E157" s="97" t="s">
        <v>1399</v>
      </c>
      <c r="F157" s="3" t="s">
        <v>545</v>
      </c>
      <c r="H157" s="3" t="s">
        <v>547</v>
      </c>
      <c r="P157" s="106" t="s">
        <v>547</v>
      </c>
    </row>
    <row r="158" spans="1:16">
      <c r="A158" s="66"/>
      <c r="B158" s="66"/>
      <c r="C158" s="25" t="s">
        <v>709</v>
      </c>
      <c r="D158" s="1" t="s">
        <v>543</v>
      </c>
      <c r="E158" s="97" t="s">
        <v>1401</v>
      </c>
      <c r="F158" s="3" t="s">
        <v>545</v>
      </c>
      <c r="G158" s="3" t="s">
        <v>546</v>
      </c>
      <c r="H158" s="3" t="s">
        <v>547</v>
      </c>
      <c r="I158" s="56" t="s">
        <v>546</v>
      </c>
      <c r="P158" s="106" t="s">
        <v>547</v>
      </c>
    </row>
    <row r="159" spans="1:16">
      <c r="A159" s="66"/>
      <c r="B159" s="66"/>
      <c r="C159" s="25" t="s">
        <v>711</v>
      </c>
      <c r="D159" s="1" t="s">
        <v>543</v>
      </c>
      <c r="E159" s="97" t="s">
        <v>1402</v>
      </c>
      <c r="F159" s="3" t="s">
        <v>545</v>
      </c>
      <c r="G159" s="3" t="s">
        <v>546</v>
      </c>
      <c r="H159" s="3" t="s">
        <v>547</v>
      </c>
      <c r="I159" s="56" t="s">
        <v>546</v>
      </c>
      <c r="P159" s="106" t="s">
        <v>547</v>
      </c>
    </row>
    <row r="160" spans="1:16">
      <c r="A160" s="66"/>
      <c r="B160" s="66"/>
      <c r="C160" s="25" t="s">
        <v>713</v>
      </c>
      <c r="D160" s="1" t="s">
        <v>569</v>
      </c>
      <c r="E160" s="97" t="s">
        <v>1403</v>
      </c>
      <c r="F160" s="3" t="s">
        <v>545</v>
      </c>
      <c r="H160" s="3" t="s">
        <v>547</v>
      </c>
      <c r="P160" s="106" t="s">
        <v>547</v>
      </c>
    </row>
    <row r="161" spans="1:16">
      <c r="A161" s="66"/>
      <c r="B161" s="66"/>
      <c r="C161" s="50" t="s">
        <v>1404</v>
      </c>
      <c r="D161" s="1" t="s">
        <v>569</v>
      </c>
      <c r="E161" s="97" t="s">
        <v>1403</v>
      </c>
      <c r="F161" s="3" t="s">
        <v>545</v>
      </c>
      <c r="H161" s="3" t="s">
        <v>547</v>
      </c>
      <c r="P161" s="106" t="s">
        <v>547</v>
      </c>
    </row>
    <row r="162" spans="1:16">
      <c r="A162" s="66"/>
      <c r="B162" s="66"/>
      <c r="C162" s="25" t="s">
        <v>715</v>
      </c>
      <c r="D162" s="1" t="s">
        <v>569</v>
      </c>
      <c r="E162" s="97" t="s">
        <v>1405</v>
      </c>
      <c r="F162" s="3" t="s">
        <v>545</v>
      </c>
      <c r="H162" s="3" t="s">
        <v>547</v>
      </c>
      <c r="P162" s="106" t="s">
        <v>547</v>
      </c>
    </row>
    <row r="163" spans="1:16">
      <c r="A163" s="66"/>
      <c r="B163" s="66"/>
      <c r="C163" s="50" t="s">
        <v>1406</v>
      </c>
      <c r="D163" s="1" t="s">
        <v>569</v>
      </c>
      <c r="E163" s="97" t="s">
        <v>1405</v>
      </c>
      <c r="F163" s="3" t="s">
        <v>545</v>
      </c>
      <c r="H163" s="3" t="s">
        <v>547</v>
      </c>
      <c r="P163" s="106" t="s">
        <v>547</v>
      </c>
    </row>
    <row r="164" spans="1:16">
      <c r="A164" s="66"/>
      <c r="B164" s="66"/>
      <c r="C164" s="25" t="s">
        <v>717</v>
      </c>
      <c r="D164" s="1" t="s">
        <v>569</v>
      </c>
      <c r="E164" s="97" t="s">
        <v>1407</v>
      </c>
      <c r="F164" s="3" t="s">
        <v>545</v>
      </c>
      <c r="H164" s="3" t="s">
        <v>547</v>
      </c>
      <c r="P164" s="106" t="s">
        <v>547</v>
      </c>
    </row>
    <row r="165" spans="1:16">
      <c r="A165" s="66"/>
      <c r="B165" s="66"/>
      <c r="C165" s="50" t="s">
        <v>1408</v>
      </c>
      <c r="D165" s="1" t="s">
        <v>569</v>
      </c>
      <c r="E165" s="97" t="s">
        <v>1407</v>
      </c>
      <c r="F165" s="3" t="s">
        <v>545</v>
      </c>
      <c r="H165" s="3" t="s">
        <v>547</v>
      </c>
      <c r="P165" s="106" t="s">
        <v>547</v>
      </c>
    </row>
    <row r="166" spans="1:16">
      <c r="A166" s="66"/>
      <c r="B166" s="66"/>
      <c r="C166" s="25" t="s">
        <v>719</v>
      </c>
      <c r="D166" s="1" t="s">
        <v>569</v>
      </c>
      <c r="E166" s="97" t="s">
        <v>1409</v>
      </c>
      <c r="F166" s="3" t="s">
        <v>545</v>
      </c>
      <c r="H166" s="3" t="s">
        <v>547</v>
      </c>
      <c r="P166" s="106" t="s">
        <v>547</v>
      </c>
    </row>
    <row r="167" spans="1:16">
      <c r="A167" s="66"/>
      <c r="B167" s="66"/>
      <c r="C167" s="50" t="s">
        <v>1410</v>
      </c>
      <c r="D167" s="1" t="s">
        <v>569</v>
      </c>
      <c r="E167" s="97" t="s">
        <v>1409</v>
      </c>
      <c r="F167" s="3" t="s">
        <v>545</v>
      </c>
      <c r="H167" s="3" t="s">
        <v>547</v>
      </c>
      <c r="P167" s="106" t="s">
        <v>547</v>
      </c>
    </row>
    <row r="168" spans="1:16">
      <c r="A168" s="66"/>
      <c r="B168" s="66"/>
      <c r="C168" s="25" t="s">
        <v>721</v>
      </c>
      <c r="D168" s="1" t="s">
        <v>543</v>
      </c>
      <c r="E168" s="97" t="s">
        <v>1401</v>
      </c>
      <c r="F168" s="3" t="s">
        <v>552</v>
      </c>
      <c r="G168" s="3" t="s">
        <v>546</v>
      </c>
      <c r="H168" s="3" t="s">
        <v>547</v>
      </c>
      <c r="I168" s="56" t="s">
        <v>546</v>
      </c>
      <c r="P168" s="106" t="s">
        <v>547</v>
      </c>
    </row>
    <row r="169" spans="1:16">
      <c r="A169" s="66"/>
      <c r="B169" s="66"/>
      <c r="C169" s="25" t="s">
        <v>723</v>
      </c>
      <c r="D169" s="1" t="s">
        <v>543</v>
      </c>
      <c r="E169" s="97" t="s">
        <v>1407</v>
      </c>
      <c r="F169" s="3" t="s">
        <v>552</v>
      </c>
      <c r="G169" s="3" t="s">
        <v>546</v>
      </c>
      <c r="H169" s="3" t="s">
        <v>547</v>
      </c>
      <c r="I169" s="56" t="s">
        <v>546</v>
      </c>
      <c r="P169" s="106" t="s">
        <v>547</v>
      </c>
    </row>
    <row r="170" spans="1:16">
      <c r="A170" s="66"/>
      <c r="B170" s="66"/>
      <c r="C170" s="25" t="s">
        <v>724</v>
      </c>
      <c r="D170" s="1" t="s">
        <v>569</v>
      </c>
      <c r="E170" s="97" t="s">
        <v>1403</v>
      </c>
      <c r="F170" s="3" t="s">
        <v>552</v>
      </c>
      <c r="H170" s="3" t="s">
        <v>547</v>
      </c>
      <c r="P170" s="106" t="s">
        <v>547</v>
      </c>
    </row>
    <row r="171" spans="1:16">
      <c r="A171" s="66"/>
      <c r="B171" s="66"/>
      <c r="C171" s="50" t="s">
        <v>1411</v>
      </c>
      <c r="D171" s="1" t="s">
        <v>569</v>
      </c>
      <c r="E171" s="97" t="s">
        <v>1403</v>
      </c>
      <c r="F171" s="3" t="s">
        <v>552</v>
      </c>
      <c r="H171" s="3" t="s">
        <v>547</v>
      </c>
      <c r="P171" s="106" t="s">
        <v>547</v>
      </c>
    </row>
    <row r="172" spans="1:16">
      <c r="A172" s="66"/>
      <c r="B172" s="66"/>
      <c r="C172" s="25" t="s">
        <v>726</v>
      </c>
      <c r="D172" s="1" t="s">
        <v>569</v>
      </c>
      <c r="E172" s="97" t="s">
        <v>1405</v>
      </c>
      <c r="F172" s="3" t="s">
        <v>552</v>
      </c>
      <c r="H172" s="3" t="s">
        <v>547</v>
      </c>
      <c r="P172" s="106" t="s">
        <v>547</v>
      </c>
    </row>
    <row r="173" spans="1:16">
      <c r="A173" s="66"/>
      <c r="B173" s="66"/>
      <c r="C173" s="50" t="s">
        <v>1412</v>
      </c>
      <c r="D173" s="1" t="s">
        <v>569</v>
      </c>
      <c r="E173" s="97" t="s">
        <v>1405</v>
      </c>
      <c r="F173" s="3" t="s">
        <v>552</v>
      </c>
      <c r="H173" s="3" t="s">
        <v>547</v>
      </c>
      <c r="P173" s="106" t="s">
        <v>547</v>
      </c>
    </row>
    <row r="174" spans="1:16">
      <c r="A174" s="66"/>
      <c r="B174" s="66"/>
      <c r="C174" s="25" t="s">
        <v>728</v>
      </c>
      <c r="D174" s="1" t="s">
        <v>569</v>
      </c>
      <c r="E174" s="97" t="s">
        <v>1407</v>
      </c>
      <c r="F174" s="3" t="s">
        <v>552</v>
      </c>
      <c r="H174" s="3" t="s">
        <v>547</v>
      </c>
      <c r="P174" s="106" t="s">
        <v>547</v>
      </c>
    </row>
    <row r="175" spans="1:16">
      <c r="A175" s="66"/>
      <c r="B175" s="66"/>
      <c r="C175" s="50" t="s">
        <v>1413</v>
      </c>
      <c r="D175" s="1" t="s">
        <v>569</v>
      </c>
      <c r="E175" s="97" t="s">
        <v>1407</v>
      </c>
      <c r="F175" s="3" t="s">
        <v>552</v>
      </c>
      <c r="H175" s="3" t="s">
        <v>547</v>
      </c>
      <c r="P175" s="106" t="s">
        <v>547</v>
      </c>
    </row>
    <row r="176" spans="1:16">
      <c r="A176" s="66"/>
      <c r="B176" s="66"/>
      <c r="C176" s="25" t="s">
        <v>1414</v>
      </c>
      <c r="D176" s="1" t="s">
        <v>543</v>
      </c>
      <c r="E176" s="97" t="s">
        <v>1401</v>
      </c>
      <c r="F176" s="3" t="s">
        <v>554</v>
      </c>
      <c r="G176" s="3" t="s">
        <v>546</v>
      </c>
      <c r="H176" s="3" t="s">
        <v>547</v>
      </c>
      <c r="I176" s="56" t="s">
        <v>546</v>
      </c>
      <c r="P176" s="106" t="s">
        <v>547</v>
      </c>
    </row>
    <row r="177" spans="1:16">
      <c r="A177" s="66"/>
      <c r="B177" s="66"/>
      <c r="C177" s="25" t="s">
        <v>1415</v>
      </c>
      <c r="D177" s="1" t="s">
        <v>543</v>
      </c>
      <c r="E177" s="97" t="s">
        <v>1407</v>
      </c>
      <c r="F177" s="3" t="s">
        <v>554</v>
      </c>
      <c r="G177" s="3" t="s">
        <v>546</v>
      </c>
      <c r="H177" s="3" t="s">
        <v>547</v>
      </c>
      <c r="I177" s="56" t="s">
        <v>546</v>
      </c>
      <c r="P177" s="106" t="s">
        <v>547</v>
      </c>
    </row>
    <row r="178" spans="1:16">
      <c r="A178" s="66"/>
      <c r="B178" s="66"/>
      <c r="C178" s="25" t="s">
        <v>731</v>
      </c>
      <c r="D178" s="1" t="s">
        <v>569</v>
      </c>
      <c r="E178" s="97" t="s">
        <v>1403</v>
      </c>
      <c r="F178" s="3" t="s">
        <v>554</v>
      </c>
      <c r="H178" s="3" t="s">
        <v>547</v>
      </c>
      <c r="P178" s="106" t="s">
        <v>547</v>
      </c>
    </row>
    <row r="179" spans="1:16">
      <c r="A179" s="66"/>
      <c r="B179" s="66"/>
      <c r="C179" s="50" t="s">
        <v>1416</v>
      </c>
      <c r="D179" s="1" t="s">
        <v>569</v>
      </c>
      <c r="E179" s="97" t="s">
        <v>1403</v>
      </c>
      <c r="F179" s="3" t="s">
        <v>554</v>
      </c>
      <c r="H179" s="3" t="s">
        <v>547</v>
      </c>
      <c r="P179" s="106" t="s">
        <v>547</v>
      </c>
    </row>
    <row r="180" spans="1:16">
      <c r="A180" s="66"/>
      <c r="B180" s="66"/>
      <c r="C180" s="25" t="s">
        <v>732</v>
      </c>
      <c r="D180" s="1" t="s">
        <v>569</v>
      </c>
      <c r="E180" s="97" t="s">
        <v>1405</v>
      </c>
      <c r="F180" s="3" t="s">
        <v>554</v>
      </c>
      <c r="H180" s="3" t="s">
        <v>547</v>
      </c>
      <c r="P180" s="106" t="s">
        <v>547</v>
      </c>
    </row>
    <row r="181" spans="1:16">
      <c r="A181" s="66"/>
      <c r="B181" s="66"/>
      <c r="C181" s="50" t="s">
        <v>1417</v>
      </c>
      <c r="D181" s="1" t="s">
        <v>569</v>
      </c>
      <c r="E181" s="97" t="s">
        <v>1405</v>
      </c>
      <c r="F181" s="3" t="s">
        <v>554</v>
      </c>
      <c r="H181" s="3" t="s">
        <v>547</v>
      </c>
      <c r="P181" s="106" t="s">
        <v>547</v>
      </c>
    </row>
    <row r="182" spans="1:16">
      <c r="A182" s="66"/>
      <c r="B182" s="66"/>
      <c r="C182" s="25" t="s">
        <v>733</v>
      </c>
      <c r="D182" s="1" t="s">
        <v>569</v>
      </c>
      <c r="E182" s="97" t="s">
        <v>1407</v>
      </c>
      <c r="F182" s="3" t="s">
        <v>554</v>
      </c>
      <c r="H182" s="3" t="s">
        <v>547</v>
      </c>
      <c r="P182" s="106" t="s">
        <v>547</v>
      </c>
    </row>
    <row r="183" spans="1:16">
      <c r="A183" s="66"/>
      <c r="B183" s="66"/>
      <c r="C183" s="50" t="s">
        <v>1418</v>
      </c>
      <c r="D183" s="1" t="s">
        <v>569</v>
      </c>
      <c r="E183" s="97" t="s">
        <v>1407</v>
      </c>
      <c r="F183" s="3" t="s">
        <v>554</v>
      </c>
      <c r="H183" s="3" t="s">
        <v>547</v>
      </c>
      <c r="P183" s="106" t="s">
        <v>547</v>
      </c>
    </row>
    <row r="184" spans="1:16">
      <c r="A184" s="66"/>
      <c r="B184" s="66"/>
      <c r="C184" s="25" t="s">
        <v>593</v>
      </c>
      <c r="D184" s="1" t="s">
        <v>561</v>
      </c>
      <c r="J184" s="97" t="s">
        <v>547</v>
      </c>
      <c r="K184" s="3" t="s">
        <v>552</v>
      </c>
      <c r="L184" s="3"/>
      <c r="M184" s="3" t="s">
        <v>547</v>
      </c>
      <c r="N184" s="56"/>
    </row>
    <row r="185" spans="1:16">
      <c r="A185" s="66"/>
      <c r="B185" s="66"/>
      <c r="C185" s="25" t="s">
        <v>594</v>
      </c>
      <c r="D185" s="1"/>
      <c r="J185" s="97"/>
      <c r="K185" s="3"/>
      <c r="L185" s="3"/>
      <c r="M185" s="3"/>
      <c r="N185" s="56"/>
    </row>
    <row r="186" spans="1:16">
      <c r="A186" s="66"/>
      <c r="B186" s="66"/>
      <c r="C186" s="25" t="s">
        <v>595</v>
      </c>
      <c r="D186" s="1"/>
      <c r="J186" s="97"/>
      <c r="K186" s="3"/>
      <c r="L186" s="3"/>
      <c r="M186" s="3"/>
      <c r="N186" s="56"/>
    </row>
    <row r="187" spans="1:16">
      <c r="A187" s="66"/>
      <c r="B187" s="66"/>
      <c r="C187" s="25" t="s">
        <v>596</v>
      </c>
      <c r="D187" s="1" t="s">
        <v>561</v>
      </c>
      <c r="J187" s="97" t="s">
        <v>597</v>
      </c>
      <c r="K187" s="3" t="s">
        <v>552</v>
      </c>
      <c r="L187" s="3"/>
      <c r="M187" s="3" t="s">
        <v>547</v>
      </c>
      <c r="N187" s="56"/>
    </row>
    <row r="188" spans="1:16">
      <c r="A188" s="66"/>
      <c r="B188" s="66"/>
      <c r="C188" s="50" t="s">
        <v>1356</v>
      </c>
      <c r="J188" s="97"/>
      <c r="K188" s="3"/>
      <c r="L188" s="3"/>
      <c r="M188" s="3"/>
      <c r="N188" s="56"/>
    </row>
    <row r="189" spans="1:16">
      <c r="A189" s="66"/>
      <c r="B189" s="66"/>
      <c r="C189" s="25" t="s">
        <v>598</v>
      </c>
      <c r="D189" s="1" t="s">
        <v>561</v>
      </c>
      <c r="J189" s="97" t="s">
        <v>599</v>
      </c>
      <c r="K189" s="3" t="s">
        <v>552</v>
      </c>
      <c r="L189" s="3"/>
      <c r="M189" s="3" t="s">
        <v>547</v>
      </c>
      <c r="N189" s="56"/>
    </row>
    <row r="190" spans="1:16">
      <c r="A190" s="66"/>
      <c r="B190" s="66"/>
      <c r="C190" s="50" t="s">
        <v>1357</v>
      </c>
      <c r="J190" s="97"/>
      <c r="K190" s="3"/>
      <c r="L190" s="3"/>
      <c r="M190" s="3"/>
      <c r="N190" s="56"/>
    </row>
    <row r="191" spans="1:16">
      <c r="A191" s="66"/>
      <c r="B191" s="66"/>
      <c r="C191" s="25" t="s">
        <v>600</v>
      </c>
      <c r="D191" s="1" t="s">
        <v>561</v>
      </c>
      <c r="J191" s="98" t="s">
        <v>1358</v>
      </c>
      <c r="K191" s="3" t="s">
        <v>552</v>
      </c>
      <c r="L191" s="3"/>
      <c r="M191" s="3" t="s">
        <v>547</v>
      </c>
      <c r="N191" s="56"/>
    </row>
    <row r="192" spans="1:16">
      <c r="A192" s="66"/>
      <c r="B192" s="66"/>
      <c r="C192" s="50" t="s">
        <v>1359</v>
      </c>
      <c r="D192" s="1"/>
      <c r="J192" s="97"/>
      <c r="K192" s="3"/>
      <c r="L192" s="3"/>
      <c r="M192" s="3"/>
      <c r="N192" s="56"/>
    </row>
    <row r="193" spans="1:16">
      <c r="A193" s="66"/>
      <c r="B193" s="66"/>
      <c r="C193" s="25" t="s">
        <v>602</v>
      </c>
      <c r="D193" s="1" t="s">
        <v>561</v>
      </c>
      <c r="J193" s="98" t="s">
        <v>552</v>
      </c>
      <c r="K193" s="3" t="s">
        <v>547</v>
      </c>
      <c r="L193" s="3"/>
      <c r="M193" s="3" t="s">
        <v>547</v>
      </c>
      <c r="N193" s="56"/>
    </row>
    <row r="194" spans="1:16">
      <c r="A194" s="66"/>
      <c r="B194" s="66"/>
      <c r="C194" s="25" t="s">
        <v>603</v>
      </c>
      <c r="D194" s="1" t="s">
        <v>543</v>
      </c>
      <c r="J194" s="97" t="s">
        <v>604</v>
      </c>
      <c r="K194" s="3" t="s">
        <v>545</v>
      </c>
      <c r="L194" s="3" t="s">
        <v>546</v>
      </c>
      <c r="M194" s="3" t="s">
        <v>547</v>
      </c>
      <c r="N194" s="56" t="s">
        <v>546</v>
      </c>
      <c r="P194" s="93" t="s">
        <v>547</v>
      </c>
    </row>
    <row r="195" spans="1:16">
      <c r="A195" s="66"/>
      <c r="B195" s="66"/>
      <c r="C195" s="25" t="s">
        <v>605</v>
      </c>
      <c r="D195" s="1" t="s">
        <v>569</v>
      </c>
      <c r="J195" s="97" t="s">
        <v>552</v>
      </c>
      <c r="K195" s="3" t="s">
        <v>545</v>
      </c>
      <c r="L195" s="3"/>
      <c r="M195" s="3" t="s">
        <v>547</v>
      </c>
      <c r="N195" s="56"/>
      <c r="P195" s="93" t="s">
        <v>547</v>
      </c>
    </row>
    <row r="196" spans="1:16">
      <c r="A196" s="66"/>
      <c r="B196" s="66"/>
      <c r="C196" s="50" t="s">
        <v>1360</v>
      </c>
      <c r="D196" s="1" t="s">
        <v>569</v>
      </c>
      <c r="J196" s="97" t="s">
        <v>552</v>
      </c>
      <c r="K196" s="3" t="s">
        <v>545</v>
      </c>
      <c r="L196" s="3"/>
      <c r="M196" s="3" t="s">
        <v>547</v>
      </c>
      <c r="N196" s="56"/>
      <c r="P196" s="93" t="s">
        <v>547</v>
      </c>
    </row>
    <row r="197" spans="1:16">
      <c r="A197" s="66"/>
      <c r="B197" s="66"/>
      <c r="C197" s="25" t="s">
        <v>606</v>
      </c>
      <c r="D197" s="1" t="s">
        <v>569</v>
      </c>
      <c r="J197" s="97" t="s">
        <v>607</v>
      </c>
      <c r="K197" s="3" t="s">
        <v>545</v>
      </c>
      <c r="L197" s="3"/>
      <c r="M197" s="3" t="s">
        <v>547</v>
      </c>
      <c r="N197" s="56"/>
      <c r="P197" s="93" t="s">
        <v>547</v>
      </c>
    </row>
    <row r="198" spans="1:16">
      <c r="A198" s="66"/>
      <c r="B198" s="66"/>
      <c r="C198" s="50" t="s">
        <v>1361</v>
      </c>
      <c r="D198" s="1" t="s">
        <v>569</v>
      </c>
      <c r="J198" s="97" t="s">
        <v>607</v>
      </c>
      <c r="K198" s="3" t="s">
        <v>545</v>
      </c>
      <c r="L198" s="3"/>
      <c r="M198" s="3" t="s">
        <v>547</v>
      </c>
      <c r="N198" s="56"/>
      <c r="P198" s="93" t="s">
        <v>547</v>
      </c>
    </row>
    <row r="199" spans="1:16">
      <c r="A199" s="66"/>
      <c r="B199" s="66"/>
      <c r="C199" s="25" t="s">
        <v>608</v>
      </c>
      <c r="D199" s="1" t="s">
        <v>569</v>
      </c>
      <c r="J199" s="97" t="s">
        <v>609</v>
      </c>
      <c r="K199" s="3" t="s">
        <v>545</v>
      </c>
      <c r="L199" s="3"/>
      <c r="M199" s="3" t="s">
        <v>547</v>
      </c>
      <c r="N199" s="56"/>
      <c r="P199" s="93" t="s">
        <v>547</v>
      </c>
    </row>
    <row r="200" spans="1:16">
      <c r="A200" s="66"/>
      <c r="B200" s="66"/>
      <c r="C200" s="50" t="s">
        <v>836</v>
      </c>
      <c r="D200" s="1" t="s">
        <v>569</v>
      </c>
      <c r="J200" s="97" t="s">
        <v>609</v>
      </c>
      <c r="K200" s="3" t="s">
        <v>545</v>
      </c>
      <c r="L200" s="3"/>
      <c r="M200" s="3" t="s">
        <v>547</v>
      </c>
      <c r="N200" s="56"/>
      <c r="P200" s="93" t="s">
        <v>547</v>
      </c>
    </row>
    <row r="201" spans="1:16">
      <c r="A201" s="66"/>
      <c r="B201" s="66"/>
      <c r="C201" s="25" t="s">
        <v>610</v>
      </c>
      <c r="D201" s="1" t="s">
        <v>569</v>
      </c>
      <c r="J201" s="97" t="s">
        <v>611</v>
      </c>
      <c r="K201" s="3" t="s">
        <v>545</v>
      </c>
      <c r="L201" s="3"/>
      <c r="M201" s="3" t="s">
        <v>547</v>
      </c>
      <c r="N201" s="56"/>
      <c r="P201" s="93" t="s">
        <v>547</v>
      </c>
    </row>
    <row r="202" spans="1:16">
      <c r="A202" s="66"/>
      <c r="B202" s="66"/>
      <c r="C202" s="50" t="s">
        <v>1362</v>
      </c>
      <c r="D202" s="1" t="s">
        <v>569</v>
      </c>
      <c r="J202" s="97" t="s">
        <v>611</v>
      </c>
      <c r="K202" s="3" t="s">
        <v>545</v>
      </c>
      <c r="L202" s="3"/>
      <c r="M202" s="3" t="s">
        <v>547</v>
      </c>
      <c r="N202" s="56"/>
      <c r="P202" s="93" t="s">
        <v>547</v>
      </c>
    </row>
    <row r="203" spans="1:16">
      <c r="A203" s="66"/>
      <c r="B203" s="66"/>
      <c r="C203" s="25" t="s">
        <v>612</v>
      </c>
      <c r="D203" s="1" t="s">
        <v>543</v>
      </c>
      <c r="J203" s="97" t="s">
        <v>604</v>
      </c>
      <c r="K203" s="3" t="s">
        <v>552</v>
      </c>
      <c r="L203" s="3" t="s">
        <v>546</v>
      </c>
      <c r="M203" s="3" t="s">
        <v>547</v>
      </c>
      <c r="N203" s="56" t="s">
        <v>546</v>
      </c>
      <c r="P203" s="93" t="s">
        <v>547</v>
      </c>
    </row>
    <row r="204" spans="1:16">
      <c r="A204" s="66"/>
      <c r="B204" s="66"/>
      <c r="C204" s="25" t="s">
        <v>613</v>
      </c>
      <c r="D204" s="1" t="s">
        <v>569</v>
      </c>
      <c r="J204" s="97" t="s">
        <v>552</v>
      </c>
      <c r="K204" s="3" t="s">
        <v>552</v>
      </c>
      <c r="L204" s="3"/>
      <c r="M204" s="3" t="s">
        <v>547</v>
      </c>
      <c r="N204" s="56"/>
      <c r="P204" s="93" t="s">
        <v>547</v>
      </c>
    </row>
    <row r="205" spans="1:16">
      <c r="A205" s="66"/>
      <c r="B205" s="66"/>
      <c r="C205" s="50" t="s">
        <v>1363</v>
      </c>
      <c r="D205" s="1" t="s">
        <v>569</v>
      </c>
      <c r="J205" s="97" t="s">
        <v>552</v>
      </c>
      <c r="K205" s="3" t="s">
        <v>552</v>
      </c>
      <c r="L205" s="3"/>
      <c r="M205" s="3" t="s">
        <v>547</v>
      </c>
      <c r="N205" s="56"/>
      <c r="P205" s="93" t="s">
        <v>547</v>
      </c>
    </row>
    <row r="206" spans="1:16">
      <c r="A206" s="66"/>
      <c r="B206" s="66"/>
      <c r="C206" s="25" t="s">
        <v>614</v>
      </c>
      <c r="D206" s="1" t="s">
        <v>569</v>
      </c>
      <c r="J206" s="97" t="s">
        <v>607</v>
      </c>
      <c r="K206" s="3" t="s">
        <v>552</v>
      </c>
      <c r="L206" s="3"/>
      <c r="M206" s="3" t="s">
        <v>547</v>
      </c>
      <c r="N206" s="56"/>
      <c r="P206" s="93" t="s">
        <v>547</v>
      </c>
    </row>
    <row r="207" spans="1:16">
      <c r="A207" s="66"/>
      <c r="B207" s="66"/>
      <c r="C207" s="50" t="s">
        <v>1364</v>
      </c>
      <c r="D207" s="1" t="s">
        <v>569</v>
      </c>
      <c r="J207" s="97" t="s">
        <v>607</v>
      </c>
      <c r="K207" s="3" t="s">
        <v>552</v>
      </c>
      <c r="L207" s="3"/>
      <c r="M207" s="3" t="s">
        <v>547</v>
      </c>
      <c r="N207" s="56"/>
      <c r="P207" s="93" t="s">
        <v>547</v>
      </c>
    </row>
    <row r="208" spans="1:16">
      <c r="A208" s="66"/>
      <c r="B208" s="66"/>
      <c r="C208" s="25" t="s">
        <v>615</v>
      </c>
      <c r="D208" s="1" t="s">
        <v>569</v>
      </c>
      <c r="J208" s="97" t="s">
        <v>609</v>
      </c>
      <c r="K208" s="3" t="s">
        <v>552</v>
      </c>
      <c r="L208" s="3"/>
      <c r="M208" s="3" t="s">
        <v>547</v>
      </c>
      <c r="N208" s="56"/>
      <c r="P208" s="93" t="s">
        <v>547</v>
      </c>
    </row>
    <row r="209" spans="1:16">
      <c r="A209" s="66"/>
      <c r="B209" s="66"/>
      <c r="C209" s="50" t="s">
        <v>1365</v>
      </c>
      <c r="D209" s="1" t="s">
        <v>569</v>
      </c>
      <c r="J209" s="97" t="s">
        <v>609</v>
      </c>
      <c r="K209" s="3" t="s">
        <v>552</v>
      </c>
      <c r="L209" s="3"/>
      <c r="M209" s="3" t="s">
        <v>547</v>
      </c>
      <c r="N209" s="56"/>
      <c r="P209" s="93" t="s">
        <v>547</v>
      </c>
    </row>
    <row r="210" spans="1:16">
      <c r="A210" s="66"/>
      <c r="B210" s="66"/>
      <c r="C210" s="25" t="s">
        <v>616</v>
      </c>
      <c r="D210" s="1" t="s">
        <v>569</v>
      </c>
      <c r="J210" s="97" t="s">
        <v>611</v>
      </c>
      <c r="K210" s="3" t="s">
        <v>552</v>
      </c>
      <c r="L210" s="3"/>
      <c r="M210" s="3" t="s">
        <v>547</v>
      </c>
      <c r="N210" s="56"/>
      <c r="P210" s="93" t="s">
        <v>547</v>
      </c>
    </row>
    <row r="211" spans="1:16">
      <c r="A211" s="66"/>
      <c r="B211" s="66"/>
      <c r="C211" s="50" t="s">
        <v>1366</v>
      </c>
      <c r="D211" s="1" t="s">
        <v>569</v>
      </c>
      <c r="J211" s="97" t="s">
        <v>611</v>
      </c>
      <c r="K211" s="3" t="s">
        <v>552</v>
      </c>
      <c r="L211" s="3"/>
      <c r="M211" s="3" t="s">
        <v>547</v>
      </c>
      <c r="N211" s="56"/>
      <c r="P211" s="93" t="s">
        <v>547</v>
      </c>
    </row>
    <row r="212" spans="1:16">
      <c r="A212" s="66"/>
      <c r="B212" s="66"/>
      <c r="C212" s="25" t="s">
        <v>617</v>
      </c>
      <c r="D212" s="1" t="s">
        <v>543</v>
      </c>
      <c r="J212" s="97" t="s">
        <v>618</v>
      </c>
      <c r="K212" s="3" t="s">
        <v>552</v>
      </c>
      <c r="L212" s="3" t="s">
        <v>546</v>
      </c>
      <c r="M212" s="3" t="s">
        <v>547</v>
      </c>
      <c r="N212" s="56" t="s">
        <v>546</v>
      </c>
      <c r="P212" s="93" t="s">
        <v>547</v>
      </c>
    </row>
    <row r="213" spans="1:16">
      <c r="A213" s="66"/>
      <c r="B213" s="66"/>
      <c r="C213" s="25" t="s">
        <v>619</v>
      </c>
      <c r="D213" s="1" t="s">
        <v>569</v>
      </c>
      <c r="J213" s="97" t="s">
        <v>620</v>
      </c>
      <c r="K213" s="3" t="s">
        <v>552</v>
      </c>
      <c r="L213" s="3"/>
      <c r="M213" s="3" t="s">
        <v>547</v>
      </c>
      <c r="N213" s="56"/>
      <c r="P213" s="93" t="s">
        <v>547</v>
      </c>
    </row>
    <row r="214" spans="1:16">
      <c r="A214" s="66"/>
      <c r="B214" s="66"/>
      <c r="C214" s="50" t="s">
        <v>1367</v>
      </c>
      <c r="D214" s="1" t="s">
        <v>569</v>
      </c>
      <c r="J214" s="97" t="s">
        <v>620</v>
      </c>
      <c r="K214" s="3" t="s">
        <v>552</v>
      </c>
      <c r="L214" s="3"/>
      <c r="M214" s="3" t="s">
        <v>547</v>
      </c>
      <c r="N214" s="56"/>
      <c r="P214" s="106" t="s">
        <v>547</v>
      </c>
    </row>
    <row r="215" spans="1:16">
      <c r="A215" s="66"/>
      <c r="B215" s="66"/>
      <c r="C215" s="25" t="s">
        <v>621</v>
      </c>
      <c r="D215" s="1" t="s">
        <v>569</v>
      </c>
      <c r="J215" s="97" t="s">
        <v>622</v>
      </c>
      <c r="K215" s="3" t="s">
        <v>552</v>
      </c>
      <c r="L215" s="3"/>
      <c r="M215" s="3" t="s">
        <v>547</v>
      </c>
      <c r="N215" s="56"/>
      <c r="P215" s="106" t="s">
        <v>547</v>
      </c>
    </row>
    <row r="216" spans="1:16">
      <c r="A216" s="66"/>
      <c r="B216" s="66"/>
      <c r="C216" s="50" t="s">
        <v>1368</v>
      </c>
      <c r="D216" s="1" t="s">
        <v>569</v>
      </c>
      <c r="J216" s="97" t="s">
        <v>622</v>
      </c>
      <c r="K216" s="3" t="s">
        <v>552</v>
      </c>
      <c r="L216" s="3"/>
      <c r="M216" s="3" t="s">
        <v>547</v>
      </c>
      <c r="N216" s="56"/>
      <c r="P216" s="106" t="s">
        <v>547</v>
      </c>
    </row>
    <row r="217" spans="1:16">
      <c r="A217" s="66"/>
      <c r="B217" s="66"/>
      <c r="C217" s="25" t="s">
        <v>623</v>
      </c>
      <c r="D217" s="1" t="s">
        <v>569</v>
      </c>
      <c r="J217" s="97" t="s">
        <v>624</v>
      </c>
      <c r="K217" s="3" t="s">
        <v>552</v>
      </c>
      <c r="L217" s="3"/>
      <c r="M217" s="3" t="s">
        <v>547</v>
      </c>
      <c r="N217" s="56"/>
      <c r="P217" s="106" t="s">
        <v>547</v>
      </c>
    </row>
    <row r="218" spans="1:16">
      <c r="A218" s="66"/>
      <c r="B218" s="66"/>
      <c r="C218" s="50" t="s">
        <v>1369</v>
      </c>
      <c r="D218" s="1" t="s">
        <v>569</v>
      </c>
      <c r="J218" s="97" t="s">
        <v>624</v>
      </c>
      <c r="K218" s="3" t="s">
        <v>552</v>
      </c>
      <c r="L218" s="3"/>
      <c r="M218" s="3" t="s">
        <v>547</v>
      </c>
      <c r="N218" s="56"/>
      <c r="P218" s="106" t="s">
        <v>547</v>
      </c>
    </row>
    <row r="219" spans="1:16">
      <c r="A219" s="66"/>
      <c r="B219" s="66"/>
      <c r="C219" s="25" t="s">
        <v>625</v>
      </c>
      <c r="D219" s="1" t="s">
        <v>569</v>
      </c>
      <c r="J219" s="97" t="s">
        <v>550</v>
      </c>
      <c r="K219" s="3" t="s">
        <v>552</v>
      </c>
      <c r="L219" s="3"/>
      <c r="M219" s="3" t="s">
        <v>547</v>
      </c>
      <c r="N219" s="56"/>
      <c r="P219" s="106" t="s">
        <v>547</v>
      </c>
    </row>
    <row r="220" spans="1:16">
      <c r="A220" s="66"/>
      <c r="B220" s="66"/>
      <c r="C220" s="50" t="s">
        <v>1370</v>
      </c>
      <c r="D220" s="1" t="s">
        <v>569</v>
      </c>
      <c r="J220" s="97" t="s">
        <v>550</v>
      </c>
      <c r="K220" s="3" t="s">
        <v>552</v>
      </c>
      <c r="L220" s="3"/>
      <c r="M220" s="3" t="s">
        <v>547</v>
      </c>
      <c r="N220" s="56"/>
      <c r="P220" s="106" t="s">
        <v>547</v>
      </c>
    </row>
    <row r="221" spans="1:16">
      <c r="A221" s="66"/>
      <c r="B221" s="66"/>
      <c r="C221" s="25" t="s">
        <v>626</v>
      </c>
      <c r="D221" s="1" t="s">
        <v>543</v>
      </c>
      <c r="J221" s="97" t="s">
        <v>604</v>
      </c>
      <c r="K221" s="3" t="s">
        <v>620</v>
      </c>
      <c r="L221" s="3" t="s">
        <v>546</v>
      </c>
      <c r="M221" s="3" t="s">
        <v>547</v>
      </c>
      <c r="N221" s="56" t="s">
        <v>546</v>
      </c>
      <c r="P221" s="106" t="s">
        <v>547</v>
      </c>
    </row>
    <row r="222" spans="1:16">
      <c r="A222" s="66"/>
      <c r="B222" s="66"/>
      <c r="C222" s="25" t="s">
        <v>627</v>
      </c>
      <c r="D222" s="1" t="s">
        <v>569</v>
      </c>
      <c r="J222" s="97" t="s">
        <v>552</v>
      </c>
      <c r="K222" s="3" t="s">
        <v>620</v>
      </c>
      <c r="L222" s="3"/>
      <c r="M222" s="3" t="s">
        <v>547</v>
      </c>
      <c r="N222" s="56"/>
      <c r="P222" s="106" t="s">
        <v>547</v>
      </c>
    </row>
    <row r="223" spans="1:16">
      <c r="A223" s="66"/>
      <c r="B223" s="66"/>
      <c r="C223" s="50" t="s">
        <v>1371</v>
      </c>
      <c r="D223" s="1" t="s">
        <v>569</v>
      </c>
      <c r="J223" s="97" t="s">
        <v>552</v>
      </c>
      <c r="K223" s="3" t="s">
        <v>620</v>
      </c>
      <c r="L223" s="3"/>
      <c r="M223" s="3" t="s">
        <v>547</v>
      </c>
      <c r="N223" s="56"/>
      <c r="P223" s="106" t="s">
        <v>547</v>
      </c>
    </row>
    <row r="224" spans="1:16">
      <c r="A224" s="66"/>
      <c r="B224" s="66"/>
      <c r="C224" s="25" t="s">
        <v>628</v>
      </c>
      <c r="D224" s="1" t="s">
        <v>569</v>
      </c>
      <c r="J224" s="97" t="s">
        <v>607</v>
      </c>
      <c r="K224" s="3" t="s">
        <v>620</v>
      </c>
      <c r="L224" s="3"/>
      <c r="M224" s="3" t="s">
        <v>547</v>
      </c>
      <c r="N224" s="56"/>
      <c r="P224" s="106" t="s">
        <v>547</v>
      </c>
    </row>
    <row r="225" spans="1:16">
      <c r="A225" s="66"/>
      <c r="B225" s="66"/>
      <c r="C225" s="50" t="s">
        <v>1372</v>
      </c>
      <c r="D225" s="1" t="s">
        <v>569</v>
      </c>
      <c r="J225" s="97" t="s">
        <v>607</v>
      </c>
      <c r="K225" s="3" t="s">
        <v>620</v>
      </c>
      <c r="L225" s="3"/>
      <c r="M225" s="3" t="s">
        <v>547</v>
      </c>
      <c r="N225" s="56"/>
      <c r="P225" s="106" t="s">
        <v>547</v>
      </c>
    </row>
    <row r="226" spans="1:16">
      <c r="A226" s="66"/>
      <c r="B226" s="66"/>
      <c r="C226" s="25" t="s">
        <v>629</v>
      </c>
      <c r="D226" s="1" t="s">
        <v>569</v>
      </c>
      <c r="J226" s="97" t="s">
        <v>609</v>
      </c>
      <c r="K226" s="3" t="s">
        <v>620</v>
      </c>
      <c r="L226" s="3"/>
      <c r="M226" s="3" t="s">
        <v>547</v>
      </c>
      <c r="N226" s="56"/>
      <c r="P226" s="106" t="s">
        <v>547</v>
      </c>
    </row>
    <row r="227" spans="1:16">
      <c r="A227" s="66"/>
      <c r="B227" s="66"/>
      <c r="C227" s="50" t="s">
        <v>1373</v>
      </c>
      <c r="D227" s="1" t="s">
        <v>569</v>
      </c>
      <c r="J227" s="97" t="s">
        <v>609</v>
      </c>
      <c r="K227" s="3" t="s">
        <v>620</v>
      </c>
      <c r="L227" s="3"/>
      <c r="M227" s="3" t="s">
        <v>547</v>
      </c>
      <c r="N227" s="56"/>
      <c r="P227" s="106" t="s">
        <v>547</v>
      </c>
    </row>
    <row r="228" spans="1:16">
      <c r="A228" s="66"/>
      <c r="B228" s="66"/>
      <c r="C228" s="25" t="s">
        <v>630</v>
      </c>
      <c r="D228" s="1" t="s">
        <v>569</v>
      </c>
      <c r="J228" s="97" t="s">
        <v>611</v>
      </c>
      <c r="K228" s="3" t="s">
        <v>620</v>
      </c>
      <c r="L228" s="3"/>
      <c r="M228" s="3" t="s">
        <v>547</v>
      </c>
      <c r="N228" s="56"/>
      <c r="P228" s="106" t="s">
        <v>547</v>
      </c>
    </row>
    <row r="229" spans="1:16">
      <c r="A229" s="66"/>
      <c r="B229" s="66"/>
      <c r="C229" s="50" t="s">
        <v>1374</v>
      </c>
      <c r="D229" s="1" t="s">
        <v>569</v>
      </c>
      <c r="J229" s="97" t="s">
        <v>611</v>
      </c>
      <c r="K229" s="3" t="s">
        <v>620</v>
      </c>
      <c r="L229" s="3"/>
      <c r="M229" s="3" t="s">
        <v>547</v>
      </c>
      <c r="N229" s="56"/>
      <c r="P229" s="106" t="s">
        <v>547</v>
      </c>
    </row>
    <row r="230" spans="1:16">
      <c r="A230" s="66"/>
      <c r="B230" s="66"/>
      <c r="C230" s="25" t="s">
        <v>631</v>
      </c>
      <c r="D230" s="1"/>
      <c r="J230" s="97"/>
      <c r="K230" s="3"/>
      <c r="L230" s="3"/>
      <c r="M230" s="3"/>
      <c r="N230" s="56"/>
      <c r="P230" s="93"/>
    </row>
    <row r="231" spans="1:16">
      <c r="A231" s="66"/>
      <c r="B231" s="66"/>
      <c r="C231" s="50" t="s">
        <v>1375</v>
      </c>
      <c r="D231" s="1"/>
      <c r="J231" s="97"/>
      <c r="K231" s="3"/>
      <c r="L231" s="3"/>
      <c r="M231" s="3"/>
      <c r="N231" s="56"/>
      <c r="P231" s="93"/>
    </row>
    <row r="232" spans="1:16">
      <c r="A232" s="66"/>
      <c r="B232" s="66"/>
      <c r="C232" s="25" t="s">
        <v>633</v>
      </c>
      <c r="D232" s="1"/>
      <c r="J232" s="97"/>
      <c r="K232" s="3"/>
      <c r="L232" s="3"/>
      <c r="M232" s="3"/>
      <c r="N232" s="56"/>
      <c r="P232" s="93"/>
    </row>
    <row r="233" spans="1:16">
      <c r="A233" s="66"/>
      <c r="B233" s="66"/>
      <c r="C233" s="50" t="s">
        <v>1376</v>
      </c>
      <c r="D233" s="1"/>
      <c r="J233" s="97"/>
      <c r="K233" s="3"/>
      <c r="L233" s="3"/>
      <c r="M233" s="3"/>
      <c r="N233" s="56"/>
      <c r="P233" s="93"/>
    </row>
    <row r="234" spans="1:16">
      <c r="A234" s="66"/>
      <c r="B234" s="66"/>
      <c r="C234" s="25" t="s">
        <v>634</v>
      </c>
      <c r="D234" s="1"/>
      <c r="J234" s="97"/>
      <c r="K234" s="3"/>
      <c r="L234" s="3"/>
      <c r="M234" s="3"/>
      <c r="N234" s="56"/>
      <c r="P234" s="93"/>
    </row>
    <row r="235" spans="1:16">
      <c r="A235" s="66"/>
      <c r="B235" s="66"/>
      <c r="C235" s="50" t="s">
        <v>1377</v>
      </c>
      <c r="D235" s="1"/>
      <c r="J235" s="97"/>
      <c r="K235" s="3"/>
      <c r="L235" s="3"/>
      <c r="M235" s="3"/>
      <c r="N235" s="56"/>
      <c r="P235" s="93"/>
    </row>
    <row r="236" spans="1:16">
      <c r="A236" s="66"/>
      <c r="B236" s="66"/>
      <c r="C236" s="25" t="s">
        <v>635</v>
      </c>
      <c r="D236" s="1"/>
      <c r="J236" s="97"/>
      <c r="K236" s="3"/>
      <c r="L236" s="3"/>
      <c r="M236" s="3"/>
      <c r="N236" s="56"/>
      <c r="P236" s="93"/>
    </row>
    <row r="237" spans="1:16">
      <c r="A237" s="66"/>
      <c r="B237" s="66"/>
      <c r="C237" s="50" t="s">
        <v>1378</v>
      </c>
      <c r="D237" s="1"/>
      <c r="J237" s="97"/>
      <c r="K237" s="3"/>
      <c r="L237" s="3"/>
      <c r="M237" s="3"/>
      <c r="N237" s="56"/>
      <c r="P237" s="93"/>
    </row>
    <row r="238" spans="1:16">
      <c r="A238" s="66"/>
      <c r="B238" s="66"/>
      <c r="C238" s="25" t="s">
        <v>636</v>
      </c>
      <c r="D238" s="1" t="s">
        <v>543</v>
      </c>
      <c r="J238" s="97" t="s">
        <v>557</v>
      </c>
      <c r="K238" s="3" t="s">
        <v>545</v>
      </c>
      <c r="L238" s="3" t="s">
        <v>546</v>
      </c>
      <c r="M238" s="3" t="s">
        <v>547</v>
      </c>
      <c r="N238" s="56" t="s">
        <v>546</v>
      </c>
      <c r="P238" s="93" t="s">
        <v>547</v>
      </c>
    </row>
    <row r="239" spans="1:16">
      <c r="A239" s="66"/>
      <c r="B239" s="66"/>
      <c r="C239" s="25" t="s">
        <v>637</v>
      </c>
      <c r="D239" s="1" t="s">
        <v>569</v>
      </c>
      <c r="J239" s="97" t="s">
        <v>557</v>
      </c>
      <c r="K239" s="3" t="s">
        <v>545</v>
      </c>
      <c r="L239" s="3"/>
      <c r="M239" s="3" t="s">
        <v>547</v>
      </c>
      <c r="N239" s="56"/>
      <c r="P239" s="93" t="s">
        <v>547</v>
      </c>
    </row>
    <row r="240" spans="1:16">
      <c r="A240" s="66"/>
      <c r="B240" s="66"/>
      <c r="C240" s="50" t="s">
        <v>1379</v>
      </c>
      <c r="D240" s="1" t="s">
        <v>569</v>
      </c>
      <c r="J240" s="97" t="s">
        <v>557</v>
      </c>
      <c r="K240" s="3" t="s">
        <v>545</v>
      </c>
      <c r="L240" s="3"/>
      <c r="M240" s="3" t="s">
        <v>547</v>
      </c>
      <c r="N240" s="56"/>
      <c r="P240" s="93" t="s">
        <v>547</v>
      </c>
    </row>
    <row r="241" spans="1:16">
      <c r="A241" s="66"/>
      <c r="B241" s="66"/>
      <c r="C241" s="25" t="s">
        <v>1304</v>
      </c>
      <c r="D241" s="1" t="s">
        <v>543</v>
      </c>
      <c r="J241" s="97" t="s">
        <v>1380</v>
      </c>
      <c r="K241" s="3" t="s">
        <v>552</v>
      </c>
      <c r="L241" s="3" t="s">
        <v>546</v>
      </c>
      <c r="M241" s="3" t="s">
        <v>547</v>
      </c>
      <c r="N241" s="56" t="s">
        <v>546</v>
      </c>
      <c r="P241" s="93" t="s">
        <v>547</v>
      </c>
    </row>
    <row r="242" spans="1:16">
      <c r="A242" s="66"/>
      <c r="B242" s="66"/>
      <c r="C242" s="50" t="s">
        <v>638</v>
      </c>
      <c r="D242" s="1" t="s">
        <v>639</v>
      </c>
      <c r="J242" s="97" t="s">
        <v>1380</v>
      </c>
      <c r="K242" s="3" t="s">
        <v>552</v>
      </c>
      <c r="L242" s="3"/>
      <c r="M242" s="3" t="s">
        <v>547</v>
      </c>
      <c r="N242" s="56"/>
      <c r="P242" s="93" t="s">
        <v>547</v>
      </c>
    </row>
    <row r="243" spans="1:16">
      <c r="A243" s="66"/>
      <c r="B243" s="66"/>
      <c r="C243" s="50" t="s">
        <v>641</v>
      </c>
      <c r="D243" s="1" t="s">
        <v>639</v>
      </c>
      <c r="J243" s="97"/>
      <c r="K243" s="3"/>
      <c r="L243" s="3"/>
      <c r="M243" s="3"/>
      <c r="N243" s="56"/>
    </row>
    <row r="244" spans="1:16">
      <c r="A244" s="66"/>
      <c r="B244" s="66"/>
      <c r="C244" s="50" t="s">
        <v>1381</v>
      </c>
      <c r="D244" s="1" t="s">
        <v>639</v>
      </c>
      <c r="J244" s="97"/>
      <c r="K244" s="3"/>
      <c r="L244" s="3"/>
      <c r="M244" s="3"/>
      <c r="N244" s="56"/>
    </row>
    <row r="245" spans="1:16">
      <c r="A245" s="66"/>
      <c r="B245" s="66"/>
      <c r="C245" s="50" t="s">
        <v>642</v>
      </c>
      <c r="D245" s="1" t="s">
        <v>639</v>
      </c>
      <c r="J245" s="97"/>
      <c r="K245" s="3"/>
      <c r="L245" s="3"/>
      <c r="M245" s="3"/>
      <c r="N245" s="56"/>
    </row>
    <row r="246" spans="1:16">
      <c r="A246" s="66"/>
      <c r="B246" s="66"/>
      <c r="C246" s="50" t="s">
        <v>1382</v>
      </c>
      <c r="D246" s="1" t="s">
        <v>639</v>
      </c>
      <c r="J246" s="97"/>
      <c r="K246" s="3"/>
      <c r="L246" s="3"/>
      <c r="M246" s="3"/>
      <c r="N246" s="56"/>
    </row>
    <row r="247" spans="1:16">
      <c r="A247" s="66"/>
      <c r="B247" s="66"/>
      <c r="C247" s="50" t="s">
        <v>665</v>
      </c>
      <c r="D247" s="1"/>
      <c r="J247" s="97"/>
      <c r="K247" s="3"/>
      <c r="L247" s="3"/>
      <c r="M247" s="3"/>
      <c r="N247" s="56"/>
    </row>
    <row r="248" spans="1:16">
      <c r="A248" s="66"/>
      <c r="B248" s="66"/>
      <c r="C248" s="50" t="s">
        <v>666</v>
      </c>
      <c r="D248" s="1"/>
      <c r="J248" s="97"/>
      <c r="K248" s="3"/>
      <c r="L248" s="3"/>
      <c r="M248" s="3"/>
      <c r="N248" s="56"/>
    </row>
    <row r="249" spans="1:16">
      <c r="A249" s="66"/>
      <c r="B249" s="66"/>
      <c r="C249" s="50" t="s">
        <v>667</v>
      </c>
      <c r="D249" s="1"/>
      <c r="J249" s="97"/>
      <c r="K249" s="3"/>
      <c r="L249" s="3"/>
      <c r="M249" s="3"/>
      <c r="N249" s="56"/>
    </row>
    <row r="250" spans="1:16">
      <c r="A250" s="66"/>
      <c r="B250" s="66"/>
      <c r="C250" s="25" t="s">
        <v>668</v>
      </c>
      <c r="D250" s="1" t="s">
        <v>561</v>
      </c>
      <c r="J250" s="97" t="s">
        <v>1383</v>
      </c>
      <c r="K250" s="3" t="s">
        <v>552</v>
      </c>
      <c r="L250" s="3"/>
      <c r="M250" s="3" t="s">
        <v>547</v>
      </c>
      <c r="N250" s="56"/>
    </row>
    <row r="251" spans="1:16">
      <c r="A251" s="66"/>
      <c r="B251" s="66"/>
      <c r="C251" s="50" t="s">
        <v>671</v>
      </c>
      <c r="D251" s="1" t="s">
        <v>543</v>
      </c>
      <c r="J251" s="97" t="s">
        <v>1384</v>
      </c>
      <c r="K251" s="3" t="s">
        <v>545</v>
      </c>
      <c r="L251" s="3" t="s">
        <v>546</v>
      </c>
      <c r="M251" s="3" t="s">
        <v>547</v>
      </c>
      <c r="N251" s="56" t="s">
        <v>546</v>
      </c>
      <c r="P251" s="106" t="s">
        <v>547</v>
      </c>
    </row>
    <row r="252" spans="1:16">
      <c r="A252" s="66"/>
      <c r="B252" s="66"/>
      <c r="C252" s="25" t="s">
        <v>673</v>
      </c>
      <c r="D252" s="1" t="s">
        <v>569</v>
      </c>
      <c r="J252" s="97" t="s">
        <v>674</v>
      </c>
      <c r="K252" s="3" t="s">
        <v>545</v>
      </c>
      <c r="L252" s="3"/>
      <c r="M252" s="3" t="s">
        <v>547</v>
      </c>
      <c r="N252" s="56"/>
    </row>
    <row r="253" spans="1:16">
      <c r="A253" s="66"/>
      <c r="B253" s="66"/>
      <c r="C253" s="50" t="s">
        <v>1385</v>
      </c>
      <c r="D253" s="1" t="s">
        <v>569</v>
      </c>
      <c r="J253" s="97" t="s">
        <v>674</v>
      </c>
      <c r="K253" s="3" t="s">
        <v>545</v>
      </c>
      <c r="L253" s="3"/>
      <c r="M253" s="3" t="s">
        <v>547</v>
      </c>
      <c r="N253" s="56"/>
    </row>
    <row r="254" spans="1:16">
      <c r="A254" s="66"/>
      <c r="B254" s="66"/>
      <c r="C254" s="25" t="s">
        <v>675</v>
      </c>
      <c r="D254" s="1" t="s">
        <v>569</v>
      </c>
      <c r="J254" s="97" t="s">
        <v>676</v>
      </c>
      <c r="K254" s="3" t="s">
        <v>545</v>
      </c>
      <c r="L254" s="3"/>
      <c r="M254" s="3" t="s">
        <v>547</v>
      </c>
      <c r="N254" s="56"/>
    </row>
    <row r="255" spans="1:16">
      <c r="A255" s="66"/>
      <c r="B255" s="66"/>
      <c r="C255" s="50" t="s">
        <v>1386</v>
      </c>
      <c r="D255" s="1" t="s">
        <v>569</v>
      </c>
      <c r="J255" s="97" t="s">
        <v>676</v>
      </c>
      <c r="K255" s="3" t="s">
        <v>545</v>
      </c>
      <c r="L255" s="3"/>
      <c r="M255" s="3" t="s">
        <v>547</v>
      </c>
      <c r="N255" s="56"/>
    </row>
    <row r="256" spans="1:16">
      <c r="A256" s="66"/>
      <c r="B256" s="66"/>
      <c r="C256" s="25" t="s">
        <v>677</v>
      </c>
      <c r="D256" s="1" t="s">
        <v>569</v>
      </c>
      <c r="J256" s="97" t="s">
        <v>678</v>
      </c>
      <c r="K256" s="3" t="s">
        <v>545</v>
      </c>
      <c r="L256" s="3"/>
      <c r="M256" s="3" t="s">
        <v>547</v>
      </c>
      <c r="N256" s="56"/>
    </row>
    <row r="257" spans="1:16">
      <c r="A257" s="66"/>
      <c r="B257" s="66"/>
      <c r="C257" s="50" t="s">
        <v>1387</v>
      </c>
      <c r="D257" s="1" t="s">
        <v>569</v>
      </c>
      <c r="J257" s="97" t="s">
        <v>678</v>
      </c>
      <c r="K257" s="3" t="s">
        <v>545</v>
      </c>
      <c r="L257" s="3"/>
      <c r="M257" s="3" t="s">
        <v>547</v>
      </c>
      <c r="N257" s="56"/>
    </row>
    <row r="258" spans="1:16">
      <c r="A258" s="66"/>
      <c r="B258" s="66"/>
      <c r="C258" s="25" t="s">
        <v>679</v>
      </c>
      <c r="D258" s="1" t="s">
        <v>543</v>
      </c>
      <c r="J258" s="97" t="s">
        <v>1384</v>
      </c>
      <c r="K258" s="3" t="s">
        <v>552</v>
      </c>
      <c r="L258" s="3" t="s">
        <v>546</v>
      </c>
      <c r="M258" s="3" t="s">
        <v>547</v>
      </c>
      <c r="N258" s="56" t="s">
        <v>546</v>
      </c>
      <c r="P258" s="106" t="s">
        <v>547</v>
      </c>
    </row>
    <row r="259" spans="1:16">
      <c r="A259" s="66"/>
      <c r="B259" s="66"/>
      <c r="C259" s="25" t="s">
        <v>681</v>
      </c>
      <c r="D259" s="1" t="s">
        <v>569</v>
      </c>
      <c r="J259" s="97" t="s">
        <v>674</v>
      </c>
      <c r="K259" s="3" t="s">
        <v>552</v>
      </c>
      <c r="L259" s="3"/>
      <c r="M259" s="3" t="s">
        <v>547</v>
      </c>
      <c r="N259" s="56"/>
    </row>
    <row r="260" spans="1:16">
      <c r="A260" s="66"/>
      <c r="B260" s="66"/>
      <c r="C260" s="50" t="s">
        <v>1388</v>
      </c>
      <c r="D260" s="1" t="s">
        <v>569</v>
      </c>
      <c r="J260" s="97" t="s">
        <v>674</v>
      </c>
      <c r="K260" s="3" t="s">
        <v>552</v>
      </c>
      <c r="L260" s="3"/>
      <c r="M260" s="3" t="s">
        <v>547</v>
      </c>
      <c r="N260" s="56"/>
    </row>
    <row r="261" spans="1:16">
      <c r="A261" s="66"/>
      <c r="B261" s="66"/>
      <c r="C261" s="25" t="s">
        <v>683</v>
      </c>
      <c r="D261" s="1" t="s">
        <v>569</v>
      </c>
      <c r="J261" s="97" t="s">
        <v>676</v>
      </c>
      <c r="K261" s="3" t="s">
        <v>552</v>
      </c>
      <c r="L261" s="3"/>
      <c r="M261" s="3" t="s">
        <v>547</v>
      </c>
      <c r="N261" s="56"/>
    </row>
    <row r="262" spans="1:16">
      <c r="A262" s="66"/>
      <c r="B262" s="66"/>
      <c r="C262" s="50" t="s">
        <v>1389</v>
      </c>
      <c r="D262" s="1" t="s">
        <v>569</v>
      </c>
      <c r="J262" s="97" t="s">
        <v>676</v>
      </c>
      <c r="K262" s="3" t="s">
        <v>552</v>
      </c>
      <c r="L262" s="3"/>
      <c r="M262" s="3" t="s">
        <v>547</v>
      </c>
      <c r="N262" s="56"/>
    </row>
    <row r="263" spans="1:16">
      <c r="A263" s="66"/>
      <c r="B263" s="66"/>
      <c r="C263" s="25" t="s">
        <v>685</v>
      </c>
      <c r="D263" s="1" t="s">
        <v>569</v>
      </c>
      <c r="J263" s="97" t="s">
        <v>678</v>
      </c>
      <c r="K263" s="3" t="s">
        <v>552</v>
      </c>
      <c r="L263" s="3"/>
      <c r="M263" s="3" t="s">
        <v>547</v>
      </c>
      <c r="N263" s="56"/>
    </row>
    <row r="264" spans="1:16">
      <c r="A264" s="66"/>
      <c r="B264" s="66"/>
      <c r="C264" s="50" t="s">
        <v>1390</v>
      </c>
      <c r="D264" s="1" t="s">
        <v>569</v>
      </c>
      <c r="J264" s="97" t="s">
        <v>678</v>
      </c>
      <c r="K264" s="3" t="s">
        <v>552</v>
      </c>
      <c r="L264" s="3"/>
      <c r="M264" s="3" t="s">
        <v>547</v>
      </c>
      <c r="N264" s="56"/>
    </row>
    <row r="265" spans="1:16">
      <c r="A265" s="66"/>
      <c r="B265" s="66"/>
      <c r="C265" s="25" t="s">
        <v>687</v>
      </c>
      <c r="D265" s="1" t="s">
        <v>543</v>
      </c>
      <c r="J265" s="97" t="s">
        <v>1391</v>
      </c>
      <c r="K265" s="3" t="s">
        <v>545</v>
      </c>
      <c r="L265" s="3" t="s">
        <v>546</v>
      </c>
      <c r="M265" s="3" t="s">
        <v>547</v>
      </c>
      <c r="N265" s="56" t="s">
        <v>546</v>
      </c>
      <c r="P265" s="106" t="s">
        <v>547</v>
      </c>
    </row>
    <row r="266" spans="1:16">
      <c r="A266" s="66"/>
      <c r="B266" s="66"/>
      <c r="C266" s="25" t="s">
        <v>689</v>
      </c>
      <c r="D266" s="1" t="s">
        <v>543</v>
      </c>
      <c r="J266" s="97" t="s">
        <v>1392</v>
      </c>
      <c r="K266" s="3" t="s">
        <v>545</v>
      </c>
      <c r="L266" s="3" t="s">
        <v>546</v>
      </c>
      <c r="M266" s="3" t="s">
        <v>547</v>
      </c>
      <c r="N266" s="56" t="s">
        <v>546</v>
      </c>
      <c r="P266" s="106" t="s">
        <v>547</v>
      </c>
    </row>
    <row r="267" spans="1:16">
      <c r="A267" s="66"/>
      <c r="B267" s="66"/>
      <c r="C267" s="25" t="s">
        <v>691</v>
      </c>
      <c r="D267" s="1" t="s">
        <v>569</v>
      </c>
      <c r="J267" s="97" t="s">
        <v>1393</v>
      </c>
      <c r="K267" s="3" t="s">
        <v>545</v>
      </c>
      <c r="L267" s="3"/>
      <c r="M267" s="3" t="s">
        <v>547</v>
      </c>
      <c r="N267" s="56"/>
      <c r="P267" s="106" t="s">
        <v>547</v>
      </c>
    </row>
    <row r="268" spans="1:16">
      <c r="A268" s="66"/>
      <c r="B268" s="66"/>
      <c r="C268" s="50" t="s">
        <v>1394</v>
      </c>
      <c r="D268" s="1" t="s">
        <v>569</v>
      </c>
      <c r="J268" s="97" t="s">
        <v>1393</v>
      </c>
      <c r="K268" s="3" t="s">
        <v>545</v>
      </c>
      <c r="L268" s="3"/>
      <c r="M268" s="3" t="s">
        <v>547</v>
      </c>
      <c r="N268" s="56"/>
      <c r="P268" s="106" t="s">
        <v>547</v>
      </c>
    </row>
    <row r="269" spans="1:16">
      <c r="A269" s="66"/>
      <c r="B269" s="66"/>
      <c r="C269" s="25" t="s">
        <v>693</v>
      </c>
      <c r="D269" s="1" t="s">
        <v>569</v>
      </c>
      <c r="J269" s="97" t="s">
        <v>1395</v>
      </c>
      <c r="K269" s="3" t="s">
        <v>545</v>
      </c>
      <c r="L269" s="3"/>
      <c r="M269" s="3" t="s">
        <v>547</v>
      </c>
      <c r="N269" s="56"/>
      <c r="P269" s="106" t="s">
        <v>547</v>
      </c>
    </row>
    <row r="270" spans="1:16">
      <c r="A270" s="66"/>
      <c r="B270" s="66"/>
      <c r="C270" s="50" t="s">
        <v>1396</v>
      </c>
      <c r="D270" s="1" t="s">
        <v>569</v>
      </c>
      <c r="J270" s="97" t="s">
        <v>1395</v>
      </c>
      <c r="K270" s="3" t="s">
        <v>545</v>
      </c>
      <c r="L270" s="3"/>
      <c r="M270" s="3" t="s">
        <v>547</v>
      </c>
      <c r="N270" s="56"/>
      <c r="P270" s="106" t="s">
        <v>547</v>
      </c>
    </row>
    <row r="271" spans="1:16">
      <c r="A271" s="66"/>
      <c r="B271" s="66"/>
      <c r="C271" s="25" t="s">
        <v>695</v>
      </c>
      <c r="D271" s="1" t="s">
        <v>569</v>
      </c>
      <c r="J271" s="97" t="s">
        <v>1397</v>
      </c>
      <c r="K271" s="3" t="s">
        <v>545</v>
      </c>
      <c r="L271" s="3"/>
      <c r="M271" s="3" t="s">
        <v>547</v>
      </c>
      <c r="N271" s="56"/>
      <c r="P271" s="106" t="s">
        <v>547</v>
      </c>
    </row>
    <row r="272" spans="1:16">
      <c r="A272" s="66"/>
      <c r="B272" s="66"/>
      <c r="C272" s="50" t="s">
        <v>1398</v>
      </c>
      <c r="D272" s="1" t="s">
        <v>569</v>
      </c>
      <c r="J272" s="97" t="s">
        <v>1397</v>
      </c>
      <c r="K272" s="3" t="s">
        <v>545</v>
      </c>
      <c r="L272" s="3"/>
      <c r="M272" s="3" t="s">
        <v>547</v>
      </c>
      <c r="N272" s="56"/>
      <c r="P272" s="106" t="s">
        <v>547</v>
      </c>
    </row>
    <row r="273" spans="1:16">
      <c r="A273" s="66"/>
      <c r="B273" s="66"/>
      <c r="C273" s="25" t="s">
        <v>697</v>
      </c>
      <c r="D273" s="1" t="s">
        <v>569</v>
      </c>
      <c r="J273" s="97" t="s">
        <v>1399</v>
      </c>
      <c r="K273" s="3" t="s">
        <v>545</v>
      </c>
      <c r="L273" s="3"/>
      <c r="M273" s="3" t="s">
        <v>547</v>
      </c>
      <c r="N273" s="56"/>
      <c r="P273" s="106" t="s">
        <v>547</v>
      </c>
    </row>
    <row r="274" spans="1:16">
      <c r="A274" s="66"/>
      <c r="B274" s="66"/>
      <c r="C274" s="50" t="s">
        <v>1400</v>
      </c>
      <c r="D274" s="1" t="s">
        <v>569</v>
      </c>
      <c r="J274" s="97" t="s">
        <v>1399</v>
      </c>
      <c r="K274" s="3" t="s">
        <v>545</v>
      </c>
      <c r="L274" s="3"/>
      <c r="M274" s="3" t="s">
        <v>547</v>
      </c>
      <c r="N274" s="56"/>
      <c r="P274" s="106" t="s">
        <v>547</v>
      </c>
    </row>
    <row r="275" spans="1:16">
      <c r="A275" s="66"/>
      <c r="B275" s="66"/>
      <c r="C275" s="25" t="s">
        <v>709</v>
      </c>
      <c r="D275" s="1" t="s">
        <v>543</v>
      </c>
      <c r="J275" s="97" t="s">
        <v>1401</v>
      </c>
      <c r="K275" s="3" t="s">
        <v>545</v>
      </c>
      <c r="L275" s="3" t="s">
        <v>546</v>
      </c>
      <c r="M275" s="3" t="s">
        <v>547</v>
      </c>
      <c r="N275" s="56" t="s">
        <v>546</v>
      </c>
      <c r="P275" s="106" t="s">
        <v>547</v>
      </c>
    </row>
    <row r="276" spans="1:16">
      <c r="A276" s="66"/>
      <c r="B276" s="66"/>
      <c r="C276" s="25" t="s">
        <v>711</v>
      </c>
      <c r="D276" s="1" t="s">
        <v>543</v>
      </c>
      <c r="J276" s="97" t="s">
        <v>1402</v>
      </c>
      <c r="K276" s="3" t="s">
        <v>545</v>
      </c>
      <c r="L276" s="3" t="s">
        <v>546</v>
      </c>
      <c r="M276" s="3" t="s">
        <v>547</v>
      </c>
      <c r="N276" s="56" t="s">
        <v>546</v>
      </c>
      <c r="P276" s="106" t="s">
        <v>547</v>
      </c>
    </row>
    <row r="277" spans="1:16">
      <c r="A277" s="66"/>
      <c r="B277" s="66"/>
      <c r="C277" s="25" t="s">
        <v>713</v>
      </c>
      <c r="D277" s="1" t="s">
        <v>569</v>
      </c>
      <c r="J277" s="97" t="s">
        <v>1403</v>
      </c>
      <c r="K277" s="3" t="s">
        <v>545</v>
      </c>
      <c r="L277" s="3"/>
      <c r="M277" s="3" t="s">
        <v>547</v>
      </c>
      <c r="N277" s="56"/>
      <c r="P277" s="106" t="s">
        <v>547</v>
      </c>
    </row>
    <row r="278" spans="1:16">
      <c r="A278" s="66"/>
      <c r="B278" s="66"/>
      <c r="C278" s="50" t="s">
        <v>1404</v>
      </c>
      <c r="D278" s="1" t="s">
        <v>569</v>
      </c>
      <c r="J278" s="97" t="s">
        <v>1403</v>
      </c>
      <c r="K278" s="3" t="s">
        <v>545</v>
      </c>
      <c r="L278" s="3"/>
      <c r="M278" s="3" t="s">
        <v>547</v>
      </c>
      <c r="N278" s="56"/>
      <c r="P278" s="106" t="s">
        <v>547</v>
      </c>
    </row>
    <row r="279" spans="1:16">
      <c r="A279" s="66"/>
      <c r="B279" s="66"/>
      <c r="C279" s="25" t="s">
        <v>715</v>
      </c>
      <c r="D279" s="1" t="s">
        <v>569</v>
      </c>
      <c r="J279" s="97" t="s">
        <v>1405</v>
      </c>
      <c r="K279" s="3" t="s">
        <v>545</v>
      </c>
      <c r="L279" s="3"/>
      <c r="M279" s="3" t="s">
        <v>547</v>
      </c>
      <c r="N279" s="56"/>
      <c r="P279" s="106" t="s">
        <v>547</v>
      </c>
    </row>
    <row r="280" spans="1:16">
      <c r="A280" s="66"/>
      <c r="B280" s="66"/>
      <c r="C280" s="50" t="s">
        <v>1406</v>
      </c>
      <c r="D280" s="1" t="s">
        <v>569</v>
      </c>
      <c r="J280" s="97" t="s">
        <v>1405</v>
      </c>
      <c r="K280" s="3" t="s">
        <v>545</v>
      </c>
      <c r="L280" s="3"/>
      <c r="M280" s="3" t="s">
        <v>547</v>
      </c>
      <c r="N280" s="56"/>
      <c r="P280" s="106" t="s">
        <v>547</v>
      </c>
    </row>
    <row r="281" spans="1:16">
      <c r="A281" s="66"/>
      <c r="B281" s="66"/>
      <c r="C281" s="25" t="s">
        <v>717</v>
      </c>
      <c r="D281" s="1" t="s">
        <v>569</v>
      </c>
      <c r="J281" s="97" t="s">
        <v>1407</v>
      </c>
      <c r="K281" s="3" t="s">
        <v>545</v>
      </c>
      <c r="L281" s="3"/>
      <c r="M281" s="3" t="s">
        <v>547</v>
      </c>
      <c r="N281" s="56"/>
      <c r="P281" s="106" t="s">
        <v>547</v>
      </c>
    </row>
    <row r="282" spans="1:16">
      <c r="A282" s="66"/>
      <c r="B282" s="66"/>
      <c r="C282" s="50" t="s">
        <v>1408</v>
      </c>
      <c r="D282" s="1" t="s">
        <v>569</v>
      </c>
      <c r="J282" s="97" t="s">
        <v>1407</v>
      </c>
      <c r="K282" s="3" t="s">
        <v>545</v>
      </c>
      <c r="L282" s="3"/>
      <c r="M282" s="3" t="s">
        <v>547</v>
      </c>
      <c r="N282" s="56"/>
      <c r="P282" s="106" t="s">
        <v>547</v>
      </c>
    </row>
    <row r="283" spans="1:16">
      <c r="A283" s="66"/>
      <c r="B283" s="66"/>
      <c r="C283" s="25" t="s">
        <v>719</v>
      </c>
      <c r="D283" s="1" t="s">
        <v>569</v>
      </c>
      <c r="J283" s="97" t="s">
        <v>1409</v>
      </c>
      <c r="K283" s="3" t="s">
        <v>545</v>
      </c>
      <c r="L283" s="3"/>
      <c r="M283" s="3" t="s">
        <v>547</v>
      </c>
      <c r="N283" s="56"/>
      <c r="P283" s="106" t="s">
        <v>547</v>
      </c>
    </row>
    <row r="284" spans="1:16">
      <c r="A284" s="66"/>
      <c r="B284" s="66"/>
      <c r="C284" s="50" t="s">
        <v>1410</v>
      </c>
      <c r="D284" s="1" t="s">
        <v>569</v>
      </c>
      <c r="J284" s="97" t="s">
        <v>1409</v>
      </c>
      <c r="K284" s="3" t="s">
        <v>545</v>
      </c>
      <c r="L284" s="3"/>
      <c r="M284" s="3" t="s">
        <v>547</v>
      </c>
      <c r="N284" s="56"/>
      <c r="P284" s="106" t="s">
        <v>547</v>
      </c>
    </row>
    <row r="285" spans="1:16">
      <c r="A285" s="66"/>
      <c r="B285" s="66"/>
      <c r="C285" s="25" t="s">
        <v>721</v>
      </c>
      <c r="D285" s="1" t="s">
        <v>543</v>
      </c>
      <c r="J285" s="97" t="s">
        <v>1401</v>
      </c>
      <c r="K285" s="3" t="s">
        <v>552</v>
      </c>
      <c r="L285" s="3" t="s">
        <v>546</v>
      </c>
      <c r="M285" s="3" t="s">
        <v>547</v>
      </c>
      <c r="N285" s="56" t="s">
        <v>546</v>
      </c>
      <c r="P285" s="106" t="s">
        <v>547</v>
      </c>
    </row>
    <row r="286" spans="1:16">
      <c r="A286" s="66"/>
      <c r="B286" s="66"/>
      <c r="C286" s="25" t="s">
        <v>723</v>
      </c>
      <c r="D286" s="1" t="s">
        <v>543</v>
      </c>
      <c r="J286" s="97" t="s">
        <v>1407</v>
      </c>
      <c r="K286" s="3" t="s">
        <v>552</v>
      </c>
      <c r="L286" s="3" t="s">
        <v>546</v>
      </c>
      <c r="M286" s="3" t="s">
        <v>547</v>
      </c>
      <c r="N286" s="56" t="s">
        <v>546</v>
      </c>
      <c r="P286" s="106" t="s">
        <v>547</v>
      </c>
    </row>
    <row r="287" spans="1:16">
      <c r="A287" s="66"/>
      <c r="B287" s="66"/>
      <c r="C287" s="25" t="s">
        <v>724</v>
      </c>
      <c r="D287" s="1" t="s">
        <v>569</v>
      </c>
      <c r="J287" s="97" t="s">
        <v>1403</v>
      </c>
      <c r="K287" s="3" t="s">
        <v>552</v>
      </c>
      <c r="L287" s="3"/>
      <c r="M287" s="3" t="s">
        <v>547</v>
      </c>
      <c r="N287" s="56"/>
      <c r="P287" s="106" t="s">
        <v>547</v>
      </c>
    </row>
    <row r="288" spans="1:16">
      <c r="A288" s="66"/>
      <c r="B288" s="66"/>
      <c r="C288" s="50" t="s">
        <v>1411</v>
      </c>
      <c r="D288" s="1" t="s">
        <v>569</v>
      </c>
      <c r="J288" s="97" t="s">
        <v>1403</v>
      </c>
      <c r="K288" s="3" t="s">
        <v>552</v>
      </c>
      <c r="L288" s="3"/>
      <c r="M288" s="3" t="s">
        <v>547</v>
      </c>
      <c r="N288" s="56"/>
      <c r="P288" s="106" t="s">
        <v>547</v>
      </c>
    </row>
    <row r="289" spans="1:16">
      <c r="A289" s="66"/>
      <c r="B289" s="66"/>
      <c r="C289" s="25" t="s">
        <v>726</v>
      </c>
      <c r="D289" s="1" t="s">
        <v>569</v>
      </c>
      <c r="J289" s="97" t="s">
        <v>1405</v>
      </c>
      <c r="K289" s="3" t="s">
        <v>552</v>
      </c>
      <c r="L289" s="3"/>
      <c r="M289" s="3" t="s">
        <v>547</v>
      </c>
      <c r="N289" s="56"/>
      <c r="P289" s="106" t="s">
        <v>547</v>
      </c>
    </row>
    <row r="290" spans="1:16">
      <c r="A290" s="66"/>
      <c r="B290" s="66"/>
      <c r="C290" s="50" t="s">
        <v>1412</v>
      </c>
      <c r="D290" s="1" t="s">
        <v>569</v>
      </c>
      <c r="J290" s="97" t="s">
        <v>1405</v>
      </c>
      <c r="K290" s="3" t="s">
        <v>552</v>
      </c>
      <c r="L290" s="3"/>
      <c r="M290" s="3" t="s">
        <v>547</v>
      </c>
      <c r="N290" s="56"/>
      <c r="P290" s="106" t="s">
        <v>547</v>
      </c>
    </row>
    <row r="291" spans="1:16">
      <c r="A291" s="66"/>
      <c r="B291" s="66"/>
      <c r="C291" s="25" t="s">
        <v>728</v>
      </c>
      <c r="D291" s="1" t="s">
        <v>569</v>
      </c>
      <c r="J291" s="97" t="s">
        <v>1407</v>
      </c>
      <c r="K291" s="3" t="s">
        <v>552</v>
      </c>
      <c r="L291" s="3"/>
      <c r="M291" s="3" t="s">
        <v>547</v>
      </c>
      <c r="N291" s="56"/>
      <c r="P291" s="106" t="s">
        <v>547</v>
      </c>
    </row>
    <row r="292" spans="1:16">
      <c r="A292" s="66"/>
      <c r="B292" s="66"/>
      <c r="C292" s="50" t="s">
        <v>1413</v>
      </c>
      <c r="D292" s="1" t="s">
        <v>569</v>
      </c>
      <c r="J292" s="97" t="s">
        <v>1407</v>
      </c>
      <c r="K292" s="3" t="s">
        <v>552</v>
      </c>
      <c r="L292" s="3"/>
      <c r="M292" s="3" t="s">
        <v>547</v>
      </c>
      <c r="N292" s="56"/>
      <c r="P292" s="106" t="s">
        <v>547</v>
      </c>
    </row>
    <row r="293" spans="1:16">
      <c r="A293" s="66"/>
      <c r="B293" s="66"/>
      <c r="C293" s="25" t="s">
        <v>1414</v>
      </c>
      <c r="D293" s="1" t="s">
        <v>543</v>
      </c>
      <c r="J293" s="97" t="s">
        <v>1401</v>
      </c>
      <c r="K293" s="3" t="s">
        <v>554</v>
      </c>
      <c r="L293" s="3" t="s">
        <v>546</v>
      </c>
      <c r="M293" s="3" t="s">
        <v>547</v>
      </c>
      <c r="N293" s="56" t="s">
        <v>546</v>
      </c>
      <c r="P293" s="106" t="s">
        <v>547</v>
      </c>
    </row>
    <row r="294" spans="1:16">
      <c r="A294" s="66"/>
      <c r="B294" s="66"/>
      <c r="C294" s="25" t="s">
        <v>1415</v>
      </c>
      <c r="D294" s="1" t="s">
        <v>543</v>
      </c>
      <c r="J294" s="97" t="s">
        <v>1407</v>
      </c>
      <c r="K294" s="3" t="s">
        <v>554</v>
      </c>
      <c r="L294" s="3" t="s">
        <v>546</v>
      </c>
      <c r="M294" s="3" t="s">
        <v>547</v>
      </c>
      <c r="N294" s="56" t="s">
        <v>546</v>
      </c>
      <c r="P294" s="106" t="s">
        <v>547</v>
      </c>
    </row>
    <row r="295" spans="1:16">
      <c r="A295" s="66"/>
      <c r="B295" s="66"/>
      <c r="C295" s="25" t="s">
        <v>731</v>
      </c>
      <c r="D295" s="1" t="s">
        <v>569</v>
      </c>
      <c r="J295" s="97" t="s">
        <v>1403</v>
      </c>
      <c r="K295" s="3" t="s">
        <v>554</v>
      </c>
      <c r="L295" s="3"/>
      <c r="M295" s="3" t="s">
        <v>547</v>
      </c>
      <c r="N295" s="56"/>
      <c r="P295" s="106" t="s">
        <v>547</v>
      </c>
    </row>
    <row r="296" spans="1:16">
      <c r="A296" s="66"/>
      <c r="B296" s="66"/>
      <c r="C296" s="50" t="s">
        <v>1416</v>
      </c>
      <c r="D296" s="1" t="s">
        <v>569</v>
      </c>
      <c r="J296" s="97" t="s">
        <v>1403</v>
      </c>
      <c r="K296" s="3" t="s">
        <v>554</v>
      </c>
      <c r="L296" s="3"/>
      <c r="M296" s="3" t="s">
        <v>547</v>
      </c>
      <c r="N296" s="56"/>
      <c r="P296" s="106" t="s">
        <v>547</v>
      </c>
    </row>
    <row r="297" spans="1:16">
      <c r="A297" s="66"/>
      <c r="B297" s="66"/>
      <c r="C297" s="25" t="s">
        <v>732</v>
      </c>
      <c r="D297" s="1" t="s">
        <v>569</v>
      </c>
      <c r="J297" s="97" t="s">
        <v>1405</v>
      </c>
      <c r="K297" s="3" t="s">
        <v>554</v>
      </c>
      <c r="L297" s="3"/>
      <c r="M297" s="3" t="s">
        <v>547</v>
      </c>
      <c r="N297" s="56"/>
      <c r="P297" s="106" t="s">
        <v>547</v>
      </c>
    </row>
    <row r="298" spans="1:16">
      <c r="A298" s="66"/>
      <c r="B298" s="66"/>
      <c r="C298" s="50" t="s">
        <v>1417</v>
      </c>
      <c r="D298" s="1" t="s">
        <v>569</v>
      </c>
      <c r="J298" s="97" t="s">
        <v>1405</v>
      </c>
      <c r="K298" s="3" t="s">
        <v>554</v>
      </c>
      <c r="L298" s="3"/>
      <c r="M298" s="3" t="s">
        <v>547</v>
      </c>
      <c r="N298" s="56"/>
      <c r="P298" s="106" t="s">
        <v>547</v>
      </c>
    </row>
    <row r="299" spans="1:16">
      <c r="A299" s="66"/>
      <c r="B299" s="66"/>
      <c r="C299" s="25" t="s">
        <v>733</v>
      </c>
      <c r="D299" s="1" t="s">
        <v>569</v>
      </c>
      <c r="J299" s="97" t="s">
        <v>1407</v>
      </c>
      <c r="K299" s="3" t="s">
        <v>554</v>
      </c>
      <c r="L299" s="3"/>
      <c r="M299" s="3" t="s">
        <v>547</v>
      </c>
      <c r="N299" s="56"/>
      <c r="P299" s="106" t="s">
        <v>547</v>
      </c>
    </row>
    <row r="300" spans="1:16">
      <c r="A300" s="66"/>
      <c r="B300" s="66"/>
      <c r="C300" s="50" t="s">
        <v>1418</v>
      </c>
      <c r="D300" s="1" t="s">
        <v>569</v>
      </c>
      <c r="J300" s="97" t="s">
        <v>1407</v>
      </c>
      <c r="K300" s="3" t="s">
        <v>554</v>
      </c>
      <c r="L300" s="3"/>
      <c r="M300" s="3" t="s">
        <v>547</v>
      </c>
      <c r="N300" s="56"/>
      <c r="P300" s="106" t="s">
        <v>547</v>
      </c>
    </row>
    <row r="301" spans="1:16">
      <c r="A301" s="66"/>
      <c r="B301" s="66"/>
      <c r="C301" s="17" t="s">
        <v>1419</v>
      </c>
    </row>
    <row r="302" spans="1:16">
      <c r="A302" s="66"/>
      <c r="B302" s="66"/>
      <c r="C302" s="17" t="s">
        <v>1420</v>
      </c>
    </row>
    <row r="303" spans="1:16">
      <c r="A303" s="66"/>
      <c r="B303" s="66"/>
      <c r="C303" s="17" t="s">
        <v>1421</v>
      </c>
    </row>
    <row r="304" spans="1:16">
      <c r="A304" s="66"/>
      <c r="B304" s="66"/>
      <c r="C304" s="17" t="s">
        <v>1422</v>
      </c>
    </row>
    <row r="305" spans="1:16">
      <c r="A305" s="66"/>
      <c r="B305" s="66"/>
      <c r="C305" s="17" t="s">
        <v>1423</v>
      </c>
    </row>
    <row r="306" spans="1:16">
      <c r="A306" s="66"/>
      <c r="B306" s="66"/>
      <c r="C306" s="17" t="s">
        <v>1424</v>
      </c>
    </row>
    <row r="307" spans="1:16">
      <c r="A307" s="66"/>
      <c r="B307" s="64"/>
      <c r="C307" s="17" t="s">
        <v>1425</v>
      </c>
    </row>
    <row r="308" spans="1:16">
      <c r="A308" s="66"/>
      <c r="B308" s="63" t="s">
        <v>380</v>
      </c>
      <c r="C308" s="17" t="s">
        <v>734</v>
      </c>
      <c r="D308" t="s">
        <v>543</v>
      </c>
      <c r="E308" s="97" t="s">
        <v>1426</v>
      </c>
      <c r="F308" s="3" t="s">
        <v>545</v>
      </c>
      <c r="G308" s="3" t="s">
        <v>546</v>
      </c>
      <c r="H308" s="3" t="s">
        <v>547</v>
      </c>
      <c r="I308" s="56" t="s">
        <v>546</v>
      </c>
      <c r="P308" s="106" t="s">
        <v>547</v>
      </c>
    </row>
    <row r="309" spans="1:16">
      <c r="A309" s="66"/>
      <c r="B309" s="66"/>
      <c r="C309" s="51" t="s">
        <v>736</v>
      </c>
      <c r="D309" t="s">
        <v>737</v>
      </c>
      <c r="E309" s="97" t="s">
        <v>1426</v>
      </c>
      <c r="F309" s="3" t="s">
        <v>545</v>
      </c>
      <c r="H309" s="3" t="s">
        <v>547</v>
      </c>
      <c r="P309" s="106" t="s">
        <v>547</v>
      </c>
    </row>
    <row r="310" spans="1:16">
      <c r="A310" s="66"/>
      <c r="B310" s="66"/>
      <c r="C310" s="17" t="s">
        <v>738</v>
      </c>
    </row>
    <row r="311" spans="1:16">
      <c r="A311" s="66"/>
      <c r="B311" s="66"/>
      <c r="C311" s="17" t="s">
        <v>739</v>
      </c>
    </row>
    <row r="312" spans="1:16">
      <c r="A312" s="66"/>
      <c r="B312" s="66"/>
      <c r="C312" s="17" t="s">
        <v>1307</v>
      </c>
      <c r="D312" t="s">
        <v>543</v>
      </c>
      <c r="E312" s="97" t="s">
        <v>1427</v>
      </c>
      <c r="F312" s="3" t="s">
        <v>545</v>
      </c>
      <c r="G312" s="3" t="s">
        <v>546</v>
      </c>
      <c r="H312" s="3" t="s">
        <v>547</v>
      </c>
      <c r="I312" s="56" t="s">
        <v>546</v>
      </c>
      <c r="P312" s="106" t="s">
        <v>547</v>
      </c>
    </row>
    <row r="313" spans="1:16">
      <c r="A313" s="66"/>
      <c r="B313" s="66"/>
      <c r="C313" s="17" t="s">
        <v>1428</v>
      </c>
      <c r="D313" t="s">
        <v>569</v>
      </c>
      <c r="E313" s="97" t="s">
        <v>739</v>
      </c>
      <c r="F313" s="3" t="s">
        <v>545</v>
      </c>
      <c r="H313" s="3" t="s">
        <v>547</v>
      </c>
      <c r="P313" s="106" t="s">
        <v>547</v>
      </c>
    </row>
    <row r="314" spans="1:16">
      <c r="A314" s="66"/>
      <c r="B314" s="66"/>
      <c r="C314" s="17" t="s">
        <v>1309</v>
      </c>
      <c r="D314" t="s">
        <v>569</v>
      </c>
      <c r="E314" s="97" t="s">
        <v>739</v>
      </c>
      <c r="F314" s="3" t="s">
        <v>545</v>
      </c>
      <c r="H314" s="3" t="s">
        <v>547</v>
      </c>
      <c r="P314" s="106" t="s">
        <v>547</v>
      </c>
    </row>
    <row r="315" spans="1:16">
      <c r="A315" s="66"/>
      <c r="B315" s="66"/>
      <c r="C315" s="17" t="s">
        <v>1429</v>
      </c>
      <c r="D315" t="s">
        <v>569</v>
      </c>
      <c r="E315" s="97" t="s">
        <v>1430</v>
      </c>
      <c r="F315" s="3" t="s">
        <v>545</v>
      </c>
      <c r="H315" s="3" t="s">
        <v>547</v>
      </c>
      <c r="P315" s="106" t="s">
        <v>547</v>
      </c>
    </row>
    <row r="316" spans="1:16">
      <c r="A316" s="66"/>
      <c r="B316" s="66"/>
      <c r="C316" s="17" t="s">
        <v>1311</v>
      </c>
      <c r="D316" t="s">
        <v>569</v>
      </c>
      <c r="E316" s="97" t="s">
        <v>1430</v>
      </c>
      <c r="F316" s="3" t="s">
        <v>545</v>
      </c>
      <c r="H316" s="3" t="s">
        <v>547</v>
      </c>
      <c r="P316" s="106" t="s">
        <v>547</v>
      </c>
    </row>
    <row r="317" spans="1:16">
      <c r="A317" s="66"/>
      <c r="B317" s="66"/>
      <c r="C317" s="17" t="s">
        <v>1431</v>
      </c>
      <c r="D317" t="s">
        <v>569</v>
      </c>
      <c r="E317" s="97" t="s">
        <v>1432</v>
      </c>
      <c r="F317" s="3" t="s">
        <v>545</v>
      </c>
      <c r="H317" s="3" t="s">
        <v>547</v>
      </c>
      <c r="P317" s="106" t="s">
        <v>547</v>
      </c>
    </row>
    <row r="318" spans="1:16">
      <c r="A318" s="66"/>
      <c r="B318" s="66"/>
      <c r="C318" s="17" t="s">
        <v>1313</v>
      </c>
      <c r="D318" t="s">
        <v>569</v>
      </c>
      <c r="E318" s="97" t="s">
        <v>1432</v>
      </c>
      <c r="F318" s="3" t="s">
        <v>545</v>
      </c>
      <c r="H318" s="3" t="s">
        <v>547</v>
      </c>
      <c r="P318" s="106" t="s">
        <v>547</v>
      </c>
    </row>
    <row r="319" spans="1:16">
      <c r="A319" s="66"/>
      <c r="B319" s="66"/>
      <c r="C319" s="17" t="s">
        <v>1433</v>
      </c>
      <c r="D319" t="s">
        <v>569</v>
      </c>
      <c r="E319" s="97" t="s">
        <v>1434</v>
      </c>
      <c r="F319" s="3" t="s">
        <v>545</v>
      </c>
      <c r="H319" s="3" t="s">
        <v>547</v>
      </c>
      <c r="P319" s="106" t="s">
        <v>547</v>
      </c>
    </row>
    <row r="320" spans="1:16">
      <c r="A320" s="66"/>
      <c r="B320" s="66"/>
      <c r="C320" s="17" t="s">
        <v>1315</v>
      </c>
      <c r="D320" t="s">
        <v>569</v>
      </c>
      <c r="E320" s="97" t="s">
        <v>1434</v>
      </c>
      <c r="F320" s="3" t="s">
        <v>545</v>
      </c>
      <c r="H320" s="3" t="s">
        <v>547</v>
      </c>
      <c r="P320" s="106" t="s">
        <v>547</v>
      </c>
    </row>
    <row r="321" spans="1:16">
      <c r="A321" s="66"/>
      <c r="B321" s="66"/>
      <c r="C321" s="17" t="s">
        <v>1435</v>
      </c>
      <c r="D321" t="s">
        <v>569</v>
      </c>
      <c r="E321" s="97" t="s">
        <v>1436</v>
      </c>
      <c r="F321" s="3" t="s">
        <v>545</v>
      </c>
      <c r="H321" s="3" t="s">
        <v>547</v>
      </c>
      <c r="P321" s="106" t="s">
        <v>547</v>
      </c>
    </row>
    <row r="322" spans="1:16">
      <c r="A322" s="66"/>
      <c r="B322" s="66"/>
      <c r="C322" s="17" t="s">
        <v>1317</v>
      </c>
      <c r="D322" t="s">
        <v>569</v>
      </c>
      <c r="E322" s="97" t="s">
        <v>1436</v>
      </c>
      <c r="F322" s="3" t="s">
        <v>545</v>
      </c>
      <c r="H322" s="3" t="s">
        <v>547</v>
      </c>
      <c r="P322" s="106" t="s">
        <v>547</v>
      </c>
    </row>
    <row r="323" spans="1:16">
      <c r="A323" s="66"/>
      <c r="B323" s="66"/>
      <c r="C323" s="17" t="s">
        <v>1437</v>
      </c>
      <c r="D323" t="s">
        <v>569</v>
      </c>
      <c r="E323" s="97" t="s">
        <v>1438</v>
      </c>
      <c r="F323" s="3" t="s">
        <v>545</v>
      </c>
      <c r="H323" s="3" t="s">
        <v>547</v>
      </c>
      <c r="P323" s="106" t="s">
        <v>547</v>
      </c>
    </row>
    <row r="324" spans="1:16">
      <c r="A324" s="66"/>
      <c r="B324" s="66"/>
      <c r="C324" s="17" t="s">
        <v>1319</v>
      </c>
      <c r="D324" t="s">
        <v>569</v>
      </c>
      <c r="E324" s="97" t="s">
        <v>1438</v>
      </c>
      <c r="F324" s="3" t="s">
        <v>545</v>
      </c>
      <c r="H324" s="3" t="s">
        <v>547</v>
      </c>
      <c r="P324" s="106" t="s">
        <v>547</v>
      </c>
    </row>
    <row r="325" spans="1:16">
      <c r="A325" s="66"/>
      <c r="B325" s="66"/>
      <c r="C325" s="17" t="s">
        <v>1439</v>
      </c>
      <c r="D325" t="s">
        <v>569</v>
      </c>
      <c r="E325" s="97" t="s">
        <v>1440</v>
      </c>
      <c r="F325" s="3" t="s">
        <v>545</v>
      </c>
      <c r="H325" s="3" t="s">
        <v>547</v>
      </c>
      <c r="P325" s="106" t="s">
        <v>547</v>
      </c>
    </row>
    <row r="326" spans="1:16">
      <c r="A326" s="66"/>
      <c r="B326" s="66"/>
      <c r="C326" s="17" t="s">
        <v>1321</v>
      </c>
      <c r="D326" t="s">
        <v>569</v>
      </c>
      <c r="E326" s="97" t="s">
        <v>1440</v>
      </c>
      <c r="F326" s="3" t="s">
        <v>545</v>
      </c>
      <c r="H326" s="3" t="s">
        <v>547</v>
      </c>
      <c r="P326" s="106" t="s">
        <v>547</v>
      </c>
    </row>
    <row r="327" spans="1:16">
      <c r="A327" s="66"/>
      <c r="B327" s="66"/>
      <c r="C327" s="17" t="s">
        <v>1441</v>
      </c>
      <c r="D327" t="s">
        <v>569</v>
      </c>
      <c r="E327" s="97" t="s">
        <v>1442</v>
      </c>
      <c r="F327" s="3" t="s">
        <v>545</v>
      </c>
      <c r="H327" s="3" t="s">
        <v>547</v>
      </c>
      <c r="P327" s="106" t="s">
        <v>547</v>
      </c>
    </row>
    <row r="328" spans="1:16">
      <c r="A328" s="66"/>
      <c r="B328" s="66"/>
      <c r="C328" s="17" t="s">
        <v>1323</v>
      </c>
      <c r="D328" t="s">
        <v>569</v>
      </c>
      <c r="E328" s="97" t="s">
        <v>1442</v>
      </c>
      <c r="F328" s="3" t="s">
        <v>545</v>
      </c>
      <c r="H328" s="3" t="s">
        <v>547</v>
      </c>
      <c r="P328" s="106" t="s">
        <v>547</v>
      </c>
    </row>
    <row r="329" spans="1:16">
      <c r="A329" s="66"/>
      <c r="B329" s="66"/>
      <c r="C329" s="17" t="s">
        <v>1443</v>
      </c>
      <c r="D329" t="s">
        <v>569</v>
      </c>
      <c r="E329" s="97" t="s">
        <v>1444</v>
      </c>
      <c r="F329" s="3" t="s">
        <v>545</v>
      </c>
      <c r="H329" s="3" t="s">
        <v>547</v>
      </c>
      <c r="P329" s="106" t="s">
        <v>547</v>
      </c>
    </row>
    <row r="330" spans="1:16">
      <c r="A330" s="66"/>
      <c r="B330" s="66"/>
      <c r="C330" s="17" t="s">
        <v>1325</v>
      </c>
      <c r="D330" t="s">
        <v>569</v>
      </c>
      <c r="E330" s="97" t="s">
        <v>1444</v>
      </c>
      <c r="F330" s="3" t="s">
        <v>545</v>
      </c>
      <c r="H330" s="3" t="s">
        <v>547</v>
      </c>
      <c r="P330" s="106" t="s">
        <v>547</v>
      </c>
    </row>
    <row r="331" spans="1:16">
      <c r="A331" s="66"/>
      <c r="B331" s="66"/>
      <c r="C331" s="17" t="s">
        <v>734</v>
      </c>
      <c r="D331" t="s">
        <v>543</v>
      </c>
      <c r="J331" s="97" t="s">
        <v>1426</v>
      </c>
      <c r="K331" s="3" t="s">
        <v>545</v>
      </c>
      <c r="L331" s="3" t="s">
        <v>546</v>
      </c>
      <c r="M331" s="3" t="s">
        <v>547</v>
      </c>
      <c r="N331" s="56" t="s">
        <v>546</v>
      </c>
      <c r="P331" s="106" t="s">
        <v>547</v>
      </c>
    </row>
    <row r="332" spans="1:16">
      <c r="A332" s="66"/>
      <c r="B332" s="66"/>
      <c r="C332" s="51" t="s">
        <v>736</v>
      </c>
      <c r="D332" t="s">
        <v>737</v>
      </c>
      <c r="J332" s="97" t="s">
        <v>1426</v>
      </c>
      <c r="K332" s="3" t="s">
        <v>545</v>
      </c>
      <c r="L332" s="3"/>
      <c r="M332" s="3" t="s">
        <v>547</v>
      </c>
      <c r="N332" s="56"/>
      <c r="P332" s="106" t="s">
        <v>547</v>
      </c>
    </row>
    <row r="333" spans="1:16">
      <c r="A333" s="66"/>
      <c r="B333" s="66"/>
      <c r="C333" s="17" t="s">
        <v>738</v>
      </c>
      <c r="J333" s="97"/>
      <c r="K333" s="3"/>
      <c r="L333" s="3"/>
      <c r="M333" s="3"/>
      <c r="N333" s="56"/>
    </row>
    <row r="334" spans="1:16">
      <c r="A334" s="66"/>
      <c r="B334" s="66"/>
      <c r="C334" s="17" t="s">
        <v>739</v>
      </c>
      <c r="J334" s="97"/>
      <c r="K334" s="3"/>
      <c r="L334" s="3"/>
      <c r="M334" s="3"/>
      <c r="N334" s="56"/>
    </row>
    <row r="335" spans="1:16">
      <c r="A335" s="66"/>
      <c r="B335" s="66"/>
      <c r="C335" s="17" t="s">
        <v>1307</v>
      </c>
      <c r="D335" t="s">
        <v>543</v>
      </c>
      <c r="J335" s="97" t="s">
        <v>1427</v>
      </c>
      <c r="K335" s="3" t="s">
        <v>545</v>
      </c>
      <c r="L335" s="3" t="s">
        <v>546</v>
      </c>
      <c r="M335" s="3" t="s">
        <v>547</v>
      </c>
      <c r="N335" s="56" t="s">
        <v>546</v>
      </c>
      <c r="P335" s="106" t="s">
        <v>547</v>
      </c>
    </row>
    <row r="336" spans="1:16">
      <c r="A336" s="66"/>
      <c r="B336" s="66"/>
      <c r="C336" s="17" t="s">
        <v>1428</v>
      </c>
      <c r="D336" t="s">
        <v>569</v>
      </c>
      <c r="J336" s="97" t="s">
        <v>739</v>
      </c>
      <c r="K336" s="3" t="s">
        <v>545</v>
      </c>
      <c r="L336" s="3"/>
      <c r="M336" s="3" t="s">
        <v>547</v>
      </c>
      <c r="N336" s="56"/>
      <c r="P336" s="106" t="s">
        <v>547</v>
      </c>
    </row>
    <row r="337" spans="1:16">
      <c r="A337" s="66"/>
      <c r="B337" s="66"/>
      <c r="C337" s="17" t="s">
        <v>1309</v>
      </c>
      <c r="D337" t="s">
        <v>569</v>
      </c>
      <c r="J337" s="97" t="s">
        <v>739</v>
      </c>
      <c r="K337" s="3" t="s">
        <v>545</v>
      </c>
      <c r="L337" s="3"/>
      <c r="M337" s="3" t="s">
        <v>547</v>
      </c>
      <c r="N337" s="56"/>
      <c r="P337" s="106" t="s">
        <v>547</v>
      </c>
    </row>
    <row r="338" spans="1:16">
      <c r="A338" s="66"/>
      <c r="B338" s="66"/>
      <c r="C338" s="17" t="s">
        <v>1429</v>
      </c>
      <c r="D338" t="s">
        <v>569</v>
      </c>
      <c r="J338" s="97" t="s">
        <v>1430</v>
      </c>
      <c r="K338" s="3" t="s">
        <v>545</v>
      </c>
      <c r="L338" s="3"/>
      <c r="M338" s="3" t="s">
        <v>547</v>
      </c>
      <c r="N338" s="56"/>
      <c r="P338" s="106" t="s">
        <v>547</v>
      </c>
    </row>
    <row r="339" spans="1:16">
      <c r="A339" s="66"/>
      <c r="B339" s="66"/>
      <c r="C339" s="17" t="s">
        <v>1311</v>
      </c>
      <c r="D339" t="s">
        <v>569</v>
      </c>
      <c r="J339" s="97" t="s">
        <v>1430</v>
      </c>
      <c r="K339" s="3" t="s">
        <v>545</v>
      </c>
      <c r="L339" s="3"/>
      <c r="M339" s="3" t="s">
        <v>547</v>
      </c>
      <c r="N339" s="56"/>
      <c r="P339" s="106" t="s">
        <v>547</v>
      </c>
    </row>
    <row r="340" spans="1:16">
      <c r="A340" s="66"/>
      <c r="B340" s="66"/>
      <c r="C340" s="17" t="s">
        <v>1431</v>
      </c>
      <c r="D340" t="s">
        <v>569</v>
      </c>
      <c r="J340" s="97" t="s">
        <v>1432</v>
      </c>
      <c r="K340" s="3" t="s">
        <v>545</v>
      </c>
      <c r="L340" s="3"/>
      <c r="M340" s="3" t="s">
        <v>547</v>
      </c>
      <c r="N340" s="56"/>
      <c r="P340" s="106" t="s">
        <v>547</v>
      </c>
    </row>
    <row r="341" spans="1:16">
      <c r="A341" s="66"/>
      <c r="B341" s="66"/>
      <c r="C341" s="17" t="s">
        <v>1313</v>
      </c>
      <c r="D341" t="s">
        <v>569</v>
      </c>
      <c r="J341" s="97" t="s">
        <v>1432</v>
      </c>
      <c r="K341" s="3" t="s">
        <v>545</v>
      </c>
      <c r="L341" s="3"/>
      <c r="M341" s="3" t="s">
        <v>547</v>
      </c>
      <c r="N341" s="56"/>
      <c r="P341" s="106" t="s">
        <v>547</v>
      </c>
    </row>
    <row r="342" spans="1:16">
      <c r="A342" s="66"/>
      <c r="B342" s="66"/>
      <c r="C342" s="17" t="s">
        <v>1433</v>
      </c>
      <c r="D342" t="s">
        <v>569</v>
      </c>
      <c r="J342" s="97" t="s">
        <v>1434</v>
      </c>
      <c r="K342" s="3" t="s">
        <v>545</v>
      </c>
      <c r="L342" s="3"/>
      <c r="M342" s="3" t="s">
        <v>547</v>
      </c>
      <c r="N342" s="56"/>
      <c r="P342" s="106" t="s">
        <v>547</v>
      </c>
    </row>
    <row r="343" spans="1:16">
      <c r="A343" s="66"/>
      <c r="B343" s="66"/>
      <c r="C343" s="17" t="s">
        <v>1315</v>
      </c>
      <c r="D343" t="s">
        <v>569</v>
      </c>
      <c r="J343" s="97" t="s">
        <v>1434</v>
      </c>
      <c r="K343" s="3" t="s">
        <v>545</v>
      </c>
      <c r="L343" s="3"/>
      <c r="M343" s="3" t="s">
        <v>547</v>
      </c>
      <c r="N343" s="56"/>
      <c r="P343" s="106" t="s">
        <v>547</v>
      </c>
    </row>
    <row r="344" spans="1:16">
      <c r="A344" s="66"/>
      <c r="B344" s="66"/>
      <c r="C344" s="17" t="s">
        <v>1435</v>
      </c>
      <c r="D344" t="s">
        <v>569</v>
      </c>
      <c r="J344" s="97" t="s">
        <v>1436</v>
      </c>
      <c r="K344" s="3" t="s">
        <v>545</v>
      </c>
      <c r="L344" s="3"/>
      <c r="M344" s="3" t="s">
        <v>547</v>
      </c>
      <c r="N344" s="56"/>
      <c r="P344" s="106" t="s">
        <v>547</v>
      </c>
    </row>
    <row r="345" spans="1:16">
      <c r="A345" s="66"/>
      <c r="B345" s="66"/>
      <c r="C345" s="17" t="s">
        <v>1317</v>
      </c>
      <c r="D345" t="s">
        <v>569</v>
      </c>
      <c r="J345" s="97" t="s">
        <v>1436</v>
      </c>
      <c r="K345" s="3" t="s">
        <v>545</v>
      </c>
      <c r="L345" s="3"/>
      <c r="M345" s="3" t="s">
        <v>547</v>
      </c>
      <c r="N345" s="56"/>
      <c r="P345" s="106" t="s">
        <v>547</v>
      </c>
    </row>
    <row r="346" spans="1:16">
      <c r="A346" s="66"/>
      <c r="B346" s="66"/>
      <c r="C346" s="17" t="s">
        <v>1437</v>
      </c>
      <c r="D346" t="s">
        <v>569</v>
      </c>
      <c r="J346" s="97" t="s">
        <v>1438</v>
      </c>
      <c r="K346" s="3" t="s">
        <v>545</v>
      </c>
      <c r="L346" s="3"/>
      <c r="M346" s="3" t="s">
        <v>547</v>
      </c>
      <c r="N346" s="56"/>
      <c r="P346" s="106" t="s">
        <v>547</v>
      </c>
    </row>
    <row r="347" spans="1:16">
      <c r="A347" s="66"/>
      <c r="B347" s="66"/>
      <c r="C347" s="17" t="s">
        <v>1319</v>
      </c>
      <c r="D347" t="s">
        <v>569</v>
      </c>
      <c r="J347" s="97" t="s">
        <v>1438</v>
      </c>
      <c r="K347" s="3" t="s">
        <v>545</v>
      </c>
      <c r="L347" s="3"/>
      <c r="M347" s="3" t="s">
        <v>547</v>
      </c>
      <c r="N347" s="56"/>
      <c r="P347" s="106" t="s">
        <v>547</v>
      </c>
    </row>
    <row r="348" spans="1:16">
      <c r="A348" s="66"/>
      <c r="B348" s="66"/>
      <c r="C348" s="17" t="s">
        <v>1439</v>
      </c>
      <c r="D348" t="s">
        <v>569</v>
      </c>
      <c r="J348" s="97" t="s">
        <v>1440</v>
      </c>
      <c r="K348" s="3" t="s">
        <v>545</v>
      </c>
      <c r="L348" s="3"/>
      <c r="M348" s="3" t="s">
        <v>547</v>
      </c>
      <c r="N348" s="56"/>
      <c r="P348" s="106" t="s">
        <v>547</v>
      </c>
    </row>
    <row r="349" spans="1:16">
      <c r="A349" s="66"/>
      <c r="B349" s="66"/>
      <c r="C349" s="17" t="s">
        <v>1321</v>
      </c>
      <c r="D349" t="s">
        <v>569</v>
      </c>
      <c r="J349" s="97" t="s">
        <v>1440</v>
      </c>
      <c r="K349" s="3" t="s">
        <v>545</v>
      </c>
      <c r="L349" s="3"/>
      <c r="M349" s="3" t="s">
        <v>547</v>
      </c>
      <c r="N349" s="56"/>
      <c r="P349" s="106" t="s">
        <v>547</v>
      </c>
    </row>
    <row r="350" spans="1:16">
      <c r="A350" s="66"/>
      <c r="B350" s="66"/>
      <c r="C350" s="17" t="s">
        <v>1441</v>
      </c>
      <c r="D350" t="s">
        <v>569</v>
      </c>
      <c r="J350" s="97" t="s">
        <v>1442</v>
      </c>
      <c r="K350" s="3" t="s">
        <v>545</v>
      </c>
      <c r="L350" s="3"/>
      <c r="M350" s="3" t="s">
        <v>547</v>
      </c>
      <c r="N350" s="56"/>
      <c r="P350" s="106" t="s">
        <v>547</v>
      </c>
    </row>
    <row r="351" spans="1:16">
      <c r="A351" s="66"/>
      <c r="B351" s="66"/>
      <c r="C351" s="17" t="s">
        <v>1323</v>
      </c>
      <c r="D351" t="s">
        <v>569</v>
      </c>
      <c r="J351" s="97" t="s">
        <v>1442</v>
      </c>
      <c r="K351" s="3" t="s">
        <v>545</v>
      </c>
      <c r="L351" s="3"/>
      <c r="M351" s="3" t="s">
        <v>547</v>
      </c>
      <c r="N351" s="56"/>
      <c r="P351" s="106" t="s">
        <v>547</v>
      </c>
    </row>
    <row r="352" spans="1:16">
      <c r="A352" s="66"/>
      <c r="B352" s="66"/>
      <c r="C352" s="17" t="s">
        <v>1443</v>
      </c>
      <c r="D352" t="s">
        <v>569</v>
      </c>
      <c r="J352" s="97" t="s">
        <v>1444</v>
      </c>
      <c r="K352" s="3" t="s">
        <v>545</v>
      </c>
      <c r="L352" s="3"/>
      <c r="M352" s="3" t="s">
        <v>547</v>
      </c>
      <c r="N352" s="56"/>
      <c r="P352" s="106" t="s">
        <v>547</v>
      </c>
    </row>
    <row r="353" spans="1:16">
      <c r="A353" s="66"/>
      <c r="B353" s="64"/>
      <c r="C353" s="17" t="s">
        <v>1325</v>
      </c>
      <c r="D353" t="s">
        <v>569</v>
      </c>
      <c r="J353" s="97" t="s">
        <v>1444</v>
      </c>
      <c r="K353" s="3" t="s">
        <v>545</v>
      </c>
      <c r="L353" s="3"/>
      <c r="M353" s="3" t="s">
        <v>547</v>
      </c>
      <c r="N353" s="56"/>
      <c r="P353" s="106" t="s">
        <v>547</v>
      </c>
    </row>
    <row r="354" spans="1:16">
      <c r="A354" s="66"/>
      <c r="B354" s="63" t="s">
        <v>381</v>
      </c>
      <c r="C354" s="17" t="s">
        <v>856</v>
      </c>
      <c r="D354" s="1" t="s">
        <v>561</v>
      </c>
      <c r="E354" s="97" t="s">
        <v>547</v>
      </c>
      <c r="F354" s="3" t="s">
        <v>554</v>
      </c>
      <c r="H354" s="3" t="s">
        <v>547</v>
      </c>
    </row>
    <row r="355" spans="1:16">
      <c r="A355" s="66"/>
      <c r="B355" s="66"/>
      <c r="C355" s="17" t="s">
        <v>857</v>
      </c>
    </row>
    <row r="356" spans="1:16">
      <c r="A356" s="66"/>
      <c r="B356" s="66"/>
      <c r="C356" s="17" t="s">
        <v>858</v>
      </c>
    </row>
    <row r="357" spans="1:16">
      <c r="A357" s="66"/>
      <c r="B357" s="66"/>
      <c r="C357" s="17" t="s">
        <v>1445</v>
      </c>
    </row>
    <row r="358" spans="1:16">
      <c r="A358" s="66"/>
      <c r="B358" s="66"/>
      <c r="C358" s="51" t="s">
        <v>1327</v>
      </c>
      <c r="D358" s="70" t="s">
        <v>561</v>
      </c>
      <c r="E358" s="99" t="s">
        <v>597</v>
      </c>
      <c r="F358" s="59" t="s">
        <v>554</v>
      </c>
      <c r="G358" s="59"/>
      <c r="H358" s="59" t="s">
        <v>547</v>
      </c>
    </row>
    <row r="359" spans="1:16">
      <c r="A359" s="66"/>
      <c r="B359" s="66"/>
      <c r="C359" s="51" t="s">
        <v>1446</v>
      </c>
      <c r="D359" s="20"/>
      <c r="E359" s="99"/>
      <c r="F359" s="59"/>
      <c r="G359" s="59"/>
      <c r="H359" s="59"/>
    </row>
    <row r="360" spans="1:16">
      <c r="A360" s="66"/>
      <c r="B360" s="66"/>
      <c r="C360" s="51" t="s">
        <v>1328</v>
      </c>
      <c r="D360" s="70" t="s">
        <v>561</v>
      </c>
      <c r="E360" s="99" t="s">
        <v>599</v>
      </c>
      <c r="F360" s="59" t="s">
        <v>554</v>
      </c>
      <c r="G360" s="59"/>
      <c r="H360" s="59" t="s">
        <v>547</v>
      </c>
    </row>
    <row r="361" spans="1:16">
      <c r="A361" s="66"/>
      <c r="B361" s="66"/>
      <c r="C361" s="51" t="s">
        <v>1447</v>
      </c>
      <c r="D361" s="20"/>
      <c r="E361" s="99"/>
      <c r="F361" s="59"/>
      <c r="G361" s="59"/>
      <c r="H361" s="59"/>
    </row>
    <row r="362" spans="1:16">
      <c r="A362" s="66"/>
      <c r="B362" s="66"/>
      <c r="C362" s="17" t="s">
        <v>859</v>
      </c>
      <c r="D362" s="1" t="s">
        <v>561</v>
      </c>
      <c r="E362" s="98" t="s">
        <v>1358</v>
      </c>
      <c r="F362" s="3" t="s">
        <v>554</v>
      </c>
      <c r="H362" s="3" t="s">
        <v>547</v>
      </c>
    </row>
    <row r="363" spans="1:16">
      <c r="A363" s="66"/>
      <c r="B363" s="66"/>
      <c r="C363" s="17" t="s">
        <v>1448</v>
      </c>
    </row>
    <row r="364" spans="1:16">
      <c r="A364" s="66"/>
      <c r="B364" s="66"/>
      <c r="C364" s="51" t="s">
        <v>861</v>
      </c>
      <c r="D364" s="20" t="s">
        <v>543</v>
      </c>
      <c r="E364" s="99" t="s">
        <v>1449</v>
      </c>
      <c r="F364" s="3" t="s">
        <v>545</v>
      </c>
      <c r="G364" s="3" t="s">
        <v>546</v>
      </c>
      <c r="H364" s="3" t="s">
        <v>547</v>
      </c>
      <c r="I364" s="56" t="s">
        <v>546</v>
      </c>
      <c r="P364" s="106" t="s">
        <v>547</v>
      </c>
    </row>
    <row r="365" spans="1:16">
      <c r="A365" s="66"/>
      <c r="B365" s="66"/>
      <c r="C365" s="17" t="s">
        <v>579</v>
      </c>
      <c r="D365" t="s">
        <v>569</v>
      </c>
      <c r="E365" s="97" t="s">
        <v>554</v>
      </c>
      <c r="F365" s="3" t="s">
        <v>545</v>
      </c>
      <c r="H365" s="3" t="s">
        <v>547</v>
      </c>
      <c r="P365" s="106" t="s">
        <v>547</v>
      </c>
    </row>
    <row r="366" spans="1:16">
      <c r="A366" s="66"/>
      <c r="B366" s="66"/>
      <c r="C366" s="17" t="s">
        <v>1349</v>
      </c>
      <c r="D366" t="s">
        <v>569</v>
      </c>
      <c r="E366" s="97" t="s">
        <v>554</v>
      </c>
      <c r="F366" s="3" t="s">
        <v>545</v>
      </c>
      <c r="H366" s="3" t="s">
        <v>547</v>
      </c>
      <c r="P366" s="106" t="s">
        <v>547</v>
      </c>
    </row>
    <row r="367" spans="1:16">
      <c r="A367" s="66"/>
      <c r="B367" s="66"/>
      <c r="C367" s="17" t="s">
        <v>1330</v>
      </c>
      <c r="D367" t="s">
        <v>569</v>
      </c>
      <c r="E367" s="97" t="s">
        <v>1331</v>
      </c>
      <c r="F367" s="3" t="s">
        <v>545</v>
      </c>
      <c r="H367" s="3" t="s">
        <v>547</v>
      </c>
      <c r="P367" s="106" t="s">
        <v>547</v>
      </c>
    </row>
    <row r="368" spans="1:16">
      <c r="A368" s="66"/>
      <c r="B368" s="66"/>
      <c r="C368" s="17" t="s">
        <v>1450</v>
      </c>
      <c r="D368" t="s">
        <v>569</v>
      </c>
      <c r="E368" s="97" t="s">
        <v>1331</v>
      </c>
      <c r="F368" s="3" t="s">
        <v>545</v>
      </c>
      <c r="H368" s="3" t="s">
        <v>547</v>
      </c>
      <c r="P368" s="106" t="s">
        <v>547</v>
      </c>
    </row>
    <row r="369" spans="1:16">
      <c r="A369" s="66"/>
      <c r="B369" s="66"/>
      <c r="C369" s="17" t="s">
        <v>1332</v>
      </c>
      <c r="D369" t="s">
        <v>569</v>
      </c>
      <c r="E369" s="97" t="s">
        <v>1333</v>
      </c>
      <c r="F369" s="3" t="s">
        <v>545</v>
      </c>
      <c r="H369" s="3" t="s">
        <v>547</v>
      </c>
      <c r="P369" s="106" t="s">
        <v>547</v>
      </c>
    </row>
    <row r="370" spans="1:16">
      <c r="A370" s="66"/>
      <c r="B370" s="66"/>
      <c r="C370" s="17" t="s">
        <v>1451</v>
      </c>
      <c r="D370" t="s">
        <v>569</v>
      </c>
      <c r="E370" s="97" t="s">
        <v>1333</v>
      </c>
      <c r="F370" s="3" t="s">
        <v>545</v>
      </c>
      <c r="H370" s="3" t="s">
        <v>547</v>
      </c>
      <c r="P370" s="106" t="s">
        <v>547</v>
      </c>
    </row>
    <row r="371" spans="1:16">
      <c r="A371" s="66"/>
      <c r="B371" s="66"/>
      <c r="C371" s="17" t="s">
        <v>863</v>
      </c>
      <c r="D371" t="s">
        <v>569</v>
      </c>
      <c r="E371" s="97" t="s">
        <v>1452</v>
      </c>
      <c r="F371" s="3" t="s">
        <v>545</v>
      </c>
      <c r="H371" s="3" t="s">
        <v>547</v>
      </c>
      <c r="P371" s="106" t="s">
        <v>547</v>
      </c>
    </row>
    <row r="372" spans="1:16">
      <c r="A372" s="66"/>
      <c r="B372" s="66"/>
      <c r="C372" s="17" t="s">
        <v>1453</v>
      </c>
      <c r="D372" t="s">
        <v>569</v>
      </c>
      <c r="E372" s="97" t="s">
        <v>1452</v>
      </c>
      <c r="F372" s="3" t="s">
        <v>545</v>
      </c>
      <c r="H372" s="3" t="s">
        <v>547</v>
      </c>
      <c r="P372" s="106" t="s">
        <v>547</v>
      </c>
    </row>
    <row r="373" spans="1:16">
      <c r="A373" s="66"/>
      <c r="B373" s="66"/>
      <c r="C373" s="51" t="s">
        <v>865</v>
      </c>
      <c r="D373" s="20" t="s">
        <v>543</v>
      </c>
      <c r="E373" s="99" t="s">
        <v>1449</v>
      </c>
      <c r="F373" s="3" t="s">
        <v>554</v>
      </c>
      <c r="G373" s="3" t="s">
        <v>546</v>
      </c>
      <c r="H373" s="3" t="s">
        <v>547</v>
      </c>
      <c r="I373" s="56" t="s">
        <v>546</v>
      </c>
      <c r="P373" s="106" t="s">
        <v>547</v>
      </c>
    </row>
    <row r="374" spans="1:16">
      <c r="A374" s="66"/>
      <c r="B374" s="66"/>
      <c r="C374" s="17" t="s">
        <v>867</v>
      </c>
      <c r="D374" t="s">
        <v>569</v>
      </c>
      <c r="E374" s="97" t="s">
        <v>554</v>
      </c>
      <c r="F374" s="3" t="s">
        <v>554</v>
      </c>
      <c r="H374" s="3" t="s">
        <v>547</v>
      </c>
      <c r="P374" s="106" t="s">
        <v>547</v>
      </c>
    </row>
    <row r="375" spans="1:16">
      <c r="A375" s="66"/>
      <c r="B375" s="66"/>
      <c r="C375" s="17" t="s">
        <v>1454</v>
      </c>
      <c r="D375" t="s">
        <v>569</v>
      </c>
      <c r="E375" s="97" t="s">
        <v>554</v>
      </c>
      <c r="F375" s="3" t="s">
        <v>554</v>
      </c>
      <c r="H375" s="3" t="s">
        <v>547</v>
      </c>
      <c r="P375" s="106" t="s">
        <v>547</v>
      </c>
    </row>
    <row r="376" spans="1:16">
      <c r="A376" s="66"/>
      <c r="B376" s="66"/>
      <c r="C376" s="17" t="s">
        <v>1335</v>
      </c>
      <c r="D376" t="s">
        <v>569</v>
      </c>
      <c r="E376" s="97" t="s">
        <v>1331</v>
      </c>
      <c r="F376" s="3" t="s">
        <v>554</v>
      </c>
      <c r="H376" s="3" t="s">
        <v>547</v>
      </c>
      <c r="P376" s="106" t="s">
        <v>547</v>
      </c>
    </row>
    <row r="377" spans="1:16">
      <c r="A377" s="66"/>
      <c r="B377" s="66"/>
      <c r="C377" s="17" t="s">
        <v>1455</v>
      </c>
      <c r="D377" t="s">
        <v>569</v>
      </c>
      <c r="E377" s="97" t="s">
        <v>1331</v>
      </c>
      <c r="F377" s="3" t="s">
        <v>554</v>
      </c>
      <c r="H377" s="3" t="s">
        <v>547</v>
      </c>
      <c r="P377" s="106" t="s">
        <v>547</v>
      </c>
    </row>
    <row r="378" spans="1:16">
      <c r="A378" s="66"/>
      <c r="B378" s="66"/>
      <c r="C378" s="17" t="s">
        <v>1336</v>
      </c>
      <c r="D378" t="s">
        <v>569</v>
      </c>
      <c r="E378" s="97" t="s">
        <v>1333</v>
      </c>
      <c r="F378" s="3" t="s">
        <v>554</v>
      </c>
      <c r="H378" s="3" t="s">
        <v>547</v>
      </c>
      <c r="P378" s="106" t="s">
        <v>547</v>
      </c>
    </row>
    <row r="379" spans="1:16">
      <c r="A379" s="66"/>
      <c r="B379" s="66"/>
      <c r="C379" s="17" t="s">
        <v>1456</v>
      </c>
      <c r="D379" t="s">
        <v>569</v>
      </c>
      <c r="E379" s="97" t="s">
        <v>1333</v>
      </c>
      <c r="F379" s="3" t="s">
        <v>554</v>
      </c>
      <c r="H379" s="3" t="s">
        <v>547</v>
      </c>
      <c r="P379" s="106" t="s">
        <v>547</v>
      </c>
    </row>
    <row r="380" spans="1:16">
      <c r="A380" s="66"/>
      <c r="B380" s="66"/>
      <c r="C380" s="17" t="s">
        <v>868</v>
      </c>
      <c r="D380" t="s">
        <v>569</v>
      </c>
      <c r="E380" s="97" t="s">
        <v>1452</v>
      </c>
      <c r="F380" s="3" t="s">
        <v>554</v>
      </c>
      <c r="H380" s="3" t="s">
        <v>547</v>
      </c>
      <c r="P380" s="106" t="s">
        <v>547</v>
      </c>
    </row>
    <row r="381" spans="1:16">
      <c r="A381" s="66"/>
      <c r="B381" s="66"/>
      <c r="C381" s="17" t="s">
        <v>1457</v>
      </c>
      <c r="D381" t="s">
        <v>569</v>
      </c>
      <c r="E381" s="97" t="s">
        <v>1452</v>
      </c>
      <c r="F381" s="3" t="s">
        <v>554</v>
      </c>
      <c r="H381" s="3" t="s">
        <v>547</v>
      </c>
      <c r="P381" s="106" t="s">
        <v>547</v>
      </c>
    </row>
    <row r="382" spans="1:16">
      <c r="A382" s="66"/>
      <c r="B382" s="66"/>
      <c r="C382" s="51" t="s">
        <v>869</v>
      </c>
      <c r="D382" s="20" t="s">
        <v>543</v>
      </c>
      <c r="E382" s="99" t="s">
        <v>604</v>
      </c>
      <c r="F382" s="3" t="s">
        <v>554</v>
      </c>
      <c r="G382" s="3" t="s">
        <v>546</v>
      </c>
      <c r="H382" s="3" t="s">
        <v>547</v>
      </c>
      <c r="I382" s="56" t="s">
        <v>546</v>
      </c>
      <c r="P382" s="106" t="s">
        <v>547</v>
      </c>
    </row>
    <row r="383" spans="1:16">
      <c r="A383" s="66"/>
      <c r="B383" s="66"/>
      <c r="C383" s="17" t="s">
        <v>871</v>
      </c>
      <c r="D383" t="s">
        <v>569</v>
      </c>
      <c r="E383" s="97" t="s">
        <v>552</v>
      </c>
      <c r="F383" s="3" t="s">
        <v>554</v>
      </c>
      <c r="H383" s="3" t="s">
        <v>547</v>
      </c>
      <c r="P383" s="106" t="s">
        <v>547</v>
      </c>
    </row>
    <row r="384" spans="1:16">
      <c r="A384" s="66"/>
      <c r="B384" s="66"/>
      <c r="C384" s="17" t="s">
        <v>1458</v>
      </c>
      <c r="D384" t="s">
        <v>569</v>
      </c>
      <c r="E384" s="97" t="s">
        <v>552</v>
      </c>
      <c r="F384" s="3" t="s">
        <v>554</v>
      </c>
      <c r="H384" s="3" t="s">
        <v>547</v>
      </c>
      <c r="P384" s="106" t="s">
        <v>547</v>
      </c>
    </row>
    <row r="385" spans="1:16">
      <c r="A385" s="66"/>
      <c r="B385" s="66"/>
      <c r="C385" s="17" t="s">
        <v>1338</v>
      </c>
      <c r="D385" t="s">
        <v>569</v>
      </c>
      <c r="E385" s="97" t="s">
        <v>607</v>
      </c>
      <c r="F385" s="3" t="s">
        <v>554</v>
      </c>
      <c r="H385" s="3" t="s">
        <v>547</v>
      </c>
      <c r="P385" s="106" t="s">
        <v>547</v>
      </c>
    </row>
    <row r="386" spans="1:16">
      <c r="A386" s="66"/>
      <c r="B386" s="66"/>
      <c r="C386" s="17" t="s">
        <v>1459</v>
      </c>
      <c r="D386" t="s">
        <v>569</v>
      </c>
      <c r="E386" s="97" t="s">
        <v>607</v>
      </c>
      <c r="F386" s="3" t="s">
        <v>554</v>
      </c>
      <c r="H386" s="3" t="s">
        <v>547</v>
      </c>
      <c r="P386" s="106" t="s">
        <v>547</v>
      </c>
    </row>
    <row r="387" spans="1:16">
      <c r="A387" s="66"/>
      <c r="B387" s="66"/>
      <c r="C387" s="17" t="s">
        <v>1339</v>
      </c>
      <c r="D387" t="s">
        <v>569</v>
      </c>
      <c r="E387" s="97" t="s">
        <v>609</v>
      </c>
      <c r="F387" s="3" t="s">
        <v>554</v>
      </c>
      <c r="H387" s="3" t="s">
        <v>547</v>
      </c>
      <c r="P387" s="106" t="s">
        <v>547</v>
      </c>
    </row>
    <row r="388" spans="1:16">
      <c r="A388" s="66"/>
      <c r="B388" s="66"/>
      <c r="C388" s="17" t="s">
        <v>1460</v>
      </c>
      <c r="D388" t="s">
        <v>569</v>
      </c>
      <c r="E388" s="97" t="s">
        <v>609</v>
      </c>
      <c r="F388" s="3" t="s">
        <v>554</v>
      </c>
      <c r="H388" s="3" t="s">
        <v>547</v>
      </c>
      <c r="P388" s="106" t="s">
        <v>547</v>
      </c>
    </row>
    <row r="389" spans="1:16">
      <c r="A389" s="66"/>
      <c r="B389" s="66"/>
      <c r="C389" s="17" t="s">
        <v>872</v>
      </c>
      <c r="D389" t="s">
        <v>569</v>
      </c>
      <c r="E389" s="97" t="s">
        <v>611</v>
      </c>
      <c r="F389" s="3" t="s">
        <v>554</v>
      </c>
      <c r="H389" s="3" t="s">
        <v>547</v>
      </c>
      <c r="P389" s="106" t="s">
        <v>547</v>
      </c>
    </row>
    <row r="390" spans="1:16">
      <c r="A390" s="66"/>
      <c r="B390" s="66"/>
      <c r="C390" s="17" t="s">
        <v>1461</v>
      </c>
      <c r="D390" t="s">
        <v>569</v>
      </c>
      <c r="E390" s="97" t="s">
        <v>611</v>
      </c>
      <c r="F390" s="3" t="s">
        <v>554</v>
      </c>
      <c r="H390" s="3" t="s">
        <v>547</v>
      </c>
      <c r="P390" s="106" t="s">
        <v>547</v>
      </c>
    </row>
    <row r="391" spans="1:16">
      <c r="A391" s="66"/>
      <c r="B391" s="66"/>
      <c r="C391" s="51" t="s">
        <v>873</v>
      </c>
      <c r="D391" s="20" t="s">
        <v>543</v>
      </c>
      <c r="E391" s="99" t="s">
        <v>1449</v>
      </c>
      <c r="F391" s="3" t="s">
        <v>552</v>
      </c>
      <c r="G391" s="3" t="s">
        <v>546</v>
      </c>
      <c r="H391" s="3" t="s">
        <v>547</v>
      </c>
      <c r="I391" s="56" t="s">
        <v>546</v>
      </c>
      <c r="P391" s="106" t="s">
        <v>547</v>
      </c>
    </row>
    <row r="392" spans="1:16">
      <c r="A392" s="66"/>
      <c r="B392" s="66"/>
      <c r="C392" s="17" t="s">
        <v>874</v>
      </c>
      <c r="D392" t="s">
        <v>569</v>
      </c>
      <c r="E392" s="97" t="s">
        <v>554</v>
      </c>
      <c r="F392" s="3" t="s">
        <v>552</v>
      </c>
      <c r="H392" s="3" t="s">
        <v>547</v>
      </c>
      <c r="P392" s="106" t="s">
        <v>547</v>
      </c>
    </row>
    <row r="393" spans="1:16">
      <c r="A393" s="66"/>
      <c r="B393" s="66"/>
      <c r="C393" s="17" t="s">
        <v>1462</v>
      </c>
      <c r="D393" t="s">
        <v>569</v>
      </c>
      <c r="E393" s="97" t="s">
        <v>554</v>
      </c>
      <c r="F393" s="3" t="s">
        <v>552</v>
      </c>
      <c r="H393" s="3" t="s">
        <v>547</v>
      </c>
      <c r="P393" s="106" t="s">
        <v>547</v>
      </c>
    </row>
    <row r="394" spans="1:16">
      <c r="A394" s="66"/>
      <c r="B394" s="66"/>
      <c r="C394" s="17" t="s">
        <v>1340</v>
      </c>
      <c r="D394" t="s">
        <v>569</v>
      </c>
      <c r="E394" s="97" t="s">
        <v>1331</v>
      </c>
      <c r="F394" s="3" t="s">
        <v>552</v>
      </c>
      <c r="H394" s="3" t="s">
        <v>547</v>
      </c>
      <c r="P394" s="106" t="s">
        <v>547</v>
      </c>
    </row>
    <row r="395" spans="1:16">
      <c r="A395" s="66"/>
      <c r="B395" s="66"/>
      <c r="C395" s="17" t="s">
        <v>1463</v>
      </c>
      <c r="D395" t="s">
        <v>569</v>
      </c>
      <c r="E395" s="97" t="s">
        <v>1331</v>
      </c>
      <c r="F395" s="3" t="s">
        <v>552</v>
      </c>
      <c r="H395" s="3" t="s">
        <v>547</v>
      </c>
      <c r="P395" s="106" t="s">
        <v>547</v>
      </c>
    </row>
    <row r="396" spans="1:16">
      <c r="A396" s="66"/>
      <c r="B396" s="66"/>
      <c r="C396" s="17" t="s">
        <v>1341</v>
      </c>
      <c r="D396" t="s">
        <v>569</v>
      </c>
      <c r="E396" s="97" t="s">
        <v>1333</v>
      </c>
      <c r="F396" s="3" t="s">
        <v>552</v>
      </c>
      <c r="H396" s="3" t="s">
        <v>547</v>
      </c>
      <c r="P396" s="106" t="s">
        <v>547</v>
      </c>
    </row>
    <row r="397" spans="1:16">
      <c r="A397" s="66"/>
      <c r="B397" s="66"/>
      <c r="C397" s="17" t="s">
        <v>1464</v>
      </c>
      <c r="D397" t="s">
        <v>569</v>
      </c>
      <c r="E397" s="97" t="s">
        <v>1333</v>
      </c>
      <c r="F397" s="3" t="s">
        <v>552</v>
      </c>
      <c r="H397" s="3" t="s">
        <v>547</v>
      </c>
      <c r="P397" s="106" t="s">
        <v>547</v>
      </c>
    </row>
    <row r="398" spans="1:16">
      <c r="A398" s="66"/>
      <c r="B398" s="66"/>
      <c r="C398" s="17" t="s">
        <v>875</v>
      </c>
      <c r="D398" t="s">
        <v>569</v>
      </c>
      <c r="E398" s="97" t="s">
        <v>1452</v>
      </c>
      <c r="F398" s="3" t="s">
        <v>552</v>
      </c>
      <c r="H398" s="3" t="s">
        <v>547</v>
      </c>
      <c r="P398" s="106" t="s">
        <v>547</v>
      </c>
    </row>
    <row r="399" spans="1:16">
      <c r="A399" s="66"/>
      <c r="B399" s="66"/>
      <c r="C399" s="17" t="s">
        <v>1465</v>
      </c>
      <c r="D399" t="s">
        <v>569</v>
      </c>
      <c r="E399" s="97" t="s">
        <v>1452</v>
      </c>
      <c r="F399" s="3" t="s">
        <v>552</v>
      </c>
      <c r="H399" s="3" t="s">
        <v>547</v>
      </c>
      <c r="P399" s="106" t="s">
        <v>547</v>
      </c>
    </row>
    <row r="400" spans="1:16">
      <c r="A400" s="66"/>
      <c r="B400" s="66"/>
      <c r="C400" s="17" t="s">
        <v>876</v>
      </c>
    </row>
    <row r="401" spans="1:16">
      <c r="A401" s="66"/>
      <c r="B401" s="66"/>
      <c r="C401" s="17" t="s">
        <v>1466</v>
      </c>
    </row>
    <row r="402" spans="1:16">
      <c r="A402" s="66"/>
      <c r="B402" s="66"/>
      <c r="C402" s="17" t="s">
        <v>1342</v>
      </c>
    </row>
    <row r="403" spans="1:16">
      <c r="A403" s="66"/>
      <c r="B403" s="66"/>
      <c r="C403" s="17" t="s">
        <v>1467</v>
      </c>
    </row>
    <row r="404" spans="1:16">
      <c r="A404" s="66"/>
      <c r="B404" s="66"/>
      <c r="C404" s="17" t="s">
        <v>1343</v>
      </c>
    </row>
    <row r="405" spans="1:16">
      <c r="A405" s="66"/>
      <c r="B405" s="66"/>
      <c r="C405" s="17" t="s">
        <v>1468</v>
      </c>
    </row>
    <row r="406" spans="1:16">
      <c r="A406" s="66"/>
      <c r="B406" s="66"/>
      <c r="C406" s="17" t="s">
        <v>877</v>
      </c>
    </row>
    <row r="407" spans="1:16">
      <c r="A407" s="66"/>
      <c r="B407" s="66"/>
      <c r="C407" s="17" t="s">
        <v>1469</v>
      </c>
    </row>
    <row r="408" spans="1:16">
      <c r="A408" s="66"/>
      <c r="B408" s="66"/>
      <c r="C408" s="17" t="s">
        <v>912</v>
      </c>
      <c r="D408" t="s">
        <v>543</v>
      </c>
      <c r="E408" s="97" t="s">
        <v>1470</v>
      </c>
      <c r="F408" s="3" t="s">
        <v>554</v>
      </c>
      <c r="G408" s="3" t="s">
        <v>546</v>
      </c>
      <c r="H408" s="3" t="s">
        <v>547</v>
      </c>
      <c r="I408" s="56" t="s">
        <v>546</v>
      </c>
      <c r="P408" s="106" t="s">
        <v>547</v>
      </c>
    </row>
    <row r="409" spans="1:16">
      <c r="A409" s="66"/>
      <c r="B409" s="66"/>
      <c r="C409" s="17" t="s">
        <v>879</v>
      </c>
      <c r="D409" t="s">
        <v>639</v>
      </c>
      <c r="E409" s="97" t="s">
        <v>1470</v>
      </c>
      <c r="F409" s="3" t="s">
        <v>554</v>
      </c>
      <c r="H409" s="3" t="s">
        <v>547</v>
      </c>
      <c r="P409" s="106" t="s">
        <v>547</v>
      </c>
    </row>
    <row r="410" spans="1:16">
      <c r="A410" s="66"/>
      <c r="B410" s="66"/>
      <c r="C410" s="51" t="s">
        <v>878</v>
      </c>
      <c r="D410" s="20" t="s">
        <v>543</v>
      </c>
      <c r="E410" s="99" t="s">
        <v>583</v>
      </c>
      <c r="F410" s="3" t="s">
        <v>554</v>
      </c>
      <c r="G410" s="3" t="s">
        <v>546</v>
      </c>
      <c r="H410" s="3" t="s">
        <v>547</v>
      </c>
      <c r="I410" s="56" t="s">
        <v>546</v>
      </c>
      <c r="P410" s="106" t="s">
        <v>547</v>
      </c>
    </row>
    <row r="411" spans="1:16">
      <c r="A411" s="66"/>
      <c r="B411" s="66"/>
      <c r="C411" s="51" t="s">
        <v>880</v>
      </c>
      <c r="D411" s="20" t="s">
        <v>639</v>
      </c>
      <c r="E411" s="99" t="s">
        <v>583</v>
      </c>
      <c r="F411" s="3" t="s">
        <v>554</v>
      </c>
      <c r="H411" s="3" t="s">
        <v>547</v>
      </c>
      <c r="P411" s="106" t="s">
        <v>547</v>
      </c>
    </row>
    <row r="412" spans="1:16">
      <c r="A412" s="66"/>
      <c r="B412" s="66"/>
      <c r="C412" s="51" t="s">
        <v>1471</v>
      </c>
      <c r="D412" s="20" t="s">
        <v>639</v>
      </c>
      <c r="E412" s="99" t="s">
        <v>583</v>
      </c>
      <c r="F412" s="3" t="s">
        <v>554</v>
      </c>
      <c r="H412" s="3" t="s">
        <v>547</v>
      </c>
      <c r="P412" s="106" t="s">
        <v>547</v>
      </c>
    </row>
    <row r="413" spans="1:16">
      <c r="A413" s="66"/>
      <c r="B413" s="66"/>
      <c r="C413" s="51" t="s">
        <v>881</v>
      </c>
      <c r="D413" s="20" t="s">
        <v>639</v>
      </c>
      <c r="E413" s="99" t="s">
        <v>583</v>
      </c>
      <c r="F413" s="3" t="s">
        <v>554</v>
      </c>
      <c r="H413" s="3" t="s">
        <v>547</v>
      </c>
      <c r="P413" s="106" t="s">
        <v>547</v>
      </c>
    </row>
    <row r="414" spans="1:16">
      <c r="A414" s="66"/>
      <c r="B414" s="66"/>
      <c r="C414" s="51" t="s">
        <v>1472</v>
      </c>
      <c r="D414" s="20" t="s">
        <v>639</v>
      </c>
      <c r="E414" s="99" t="s">
        <v>583</v>
      </c>
      <c r="F414" s="3" t="s">
        <v>554</v>
      </c>
      <c r="H414" s="3" t="s">
        <v>547</v>
      </c>
      <c r="P414" s="106" t="s">
        <v>547</v>
      </c>
    </row>
    <row r="415" spans="1:16">
      <c r="A415" s="66"/>
      <c r="B415" s="66"/>
      <c r="C415" s="17" t="s">
        <v>882</v>
      </c>
    </row>
    <row r="416" spans="1:16">
      <c r="A416" s="66"/>
      <c r="B416" s="66"/>
      <c r="C416" s="51" t="s">
        <v>883</v>
      </c>
      <c r="D416" s="20"/>
      <c r="E416" s="99"/>
    </row>
    <row r="417" spans="1:16">
      <c r="A417" s="66"/>
      <c r="B417" s="66"/>
      <c r="C417" s="51" t="s">
        <v>884</v>
      </c>
      <c r="D417" s="20"/>
      <c r="E417" s="99"/>
    </row>
    <row r="418" spans="1:16">
      <c r="A418" s="66"/>
      <c r="B418" s="66"/>
      <c r="C418" s="51" t="s">
        <v>885</v>
      </c>
      <c r="D418" s="20" t="s">
        <v>543</v>
      </c>
      <c r="E418" s="99" t="s">
        <v>1473</v>
      </c>
      <c r="F418" s="3" t="s">
        <v>554</v>
      </c>
      <c r="G418" s="3" t="s">
        <v>546</v>
      </c>
      <c r="H418" s="3" t="s">
        <v>547</v>
      </c>
      <c r="I418" s="56" t="s">
        <v>546</v>
      </c>
      <c r="P418" s="106" t="s">
        <v>547</v>
      </c>
    </row>
    <row r="419" spans="1:16">
      <c r="A419" s="66"/>
      <c r="B419" s="66"/>
      <c r="C419" s="51" t="s">
        <v>887</v>
      </c>
      <c r="D419" s="20" t="s">
        <v>543</v>
      </c>
      <c r="E419" s="99" t="s">
        <v>1474</v>
      </c>
      <c r="F419" s="3" t="s">
        <v>554</v>
      </c>
      <c r="G419" s="3" t="s">
        <v>546</v>
      </c>
      <c r="H419" s="3" t="s">
        <v>547</v>
      </c>
      <c r="I419" s="56" t="s">
        <v>546</v>
      </c>
      <c r="P419" s="106" t="s">
        <v>547</v>
      </c>
    </row>
    <row r="420" spans="1:16">
      <c r="A420" s="66"/>
      <c r="B420" s="66"/>
      <c r="C420" s="51" t="s">
        <v>889</v>
      </c>
      <c r="D420" s="20" t="s">
        <v>569</v>
      </c>
      <c r="E420" s="99" t="s">
        <v>1475</v>
      </c>
      <c r="F420" s="3" t="s">
        <v>554</v>
      </c>
      <c r="H420" s="3" t="s">
        <v>547</v>
      </c>
      <c r="P420" s="106" t="s">
        <v>547</v>
      </c>
    </row>
    <row r="421" spans="1:16">
      <c r="A421" s="66"/>
      <c r="B421" s="66"/>
      <c r="C421" s="51" t="s">
        <v>1476</v>
      </c>
      <c r="D421" s="20" t="s">
        <v>569</v>
      </c>
      <c r="E421" s="99" t="s">
        <v>1475</v>
      </c>
      <c r="F421" s="3" t="s">
        <v>554</v>
      </c>
      <c r="H421" s="3" t="s">
        <v>547</v>
      </c>
      <c r="P421" s="106" t="s">
        <v>547</v>
      </c>
    </row>
    <row r="422" spans="1:16">
      <c r="A422" s="66"/>
      <c r="B422" s="66"/>
      <c r="C422" s="51" t="s">
        <v>891</v>
      </c>
      <c r="D422" s="20" t="s">
        <v>569</v>
      </c>
      <c r="E422" s="99" t="s">
        <v>1477</v>
      </c>
      <c r="F422" s="3" t="s">
        <v>554</v>
      </c>
      <c r="H422" s="3" t="s">
        <v>547</v>
      </c>
      <c r="P422" s="106" t="s">
        <v>547</v>
      </c>
    </row>
    <row r="423" spans="1:16">
      <c r="A423" s="66"/>
      <c r="B423" s="66"/>
      <c r="C423" s="51" t="s">
        <v>1478</v>
      </c>
      <c r="D423" s="20" t="s">
        <v>569</v>
      </c>
      <c r="E423" s="99" t="s">
        <v>1477</v>
      </c>
      <c r="F423" s="3" t="s">
        <v>554</v>
      </c>
      <c r="H423" s="3" t="s">
        <v>547</v>
      </c>
      <c r="P423" s="106" t="s">
        <v>547</v>
      </c>
    </row>
    <row r="424" spans="1:16">
      <c r="A424" s="66"/>
      <c r="B424" s="66"/>
      <c r="C424" s="51" t="s">
        <v>893</v>
      </c>
      <c r="D424" s="20" t="s">
        <v>569</v>
      </c>
      <c r="E424" s="99" t="s">
        <v>1479</v>
      </c>
      <c r="F424" s="3" t="s">
        <v>554</v>
      </c>
      <c r="H424" s="3" t="s">
        <v>547</v>
      </c>
      <c r="P424" s="106" t="s">
        <v>547</v>
      </c>
    </row>
    <row r="425" spans="1:16">
      <c r="A425" s="66"/>
      <c r="B425" s="66"/>
      <c r="C425" s="51" t="s">
        <v>1480</v>
      </c>
      <c r="D425" s="20" t="s">
        <v>569</v>
      </c>
      <c r="E425" s="99" t="s">
        <v>1479</v>
      </c>
      <c r="F425" s="3" t="s">
        <v>554</v>
      </c>
      <c r="H425" s="3" t="s">
        <v>547</v>
      </c>
      <c r="P425" s="106" t="s">
        <v>547</v>
      </c>
    </row>
    <row r="426" spans="1:16">
      <c r="A426" s="66"/>
      <c r="B426" s="66"/>
      <c r="C426" s="51" t="s">
        <v>895</v>
      </c>
      <c r="D426" s="20" t="s">
        <v>569</v>
      </c>
      <c r="E426" s="99" t="s">
        <v>1481</v>
      </c>
      <c r="F426" s="3" t="s">
        <v>554</v>
      </c>
      <c r="H426" s="3" t="s">
        <v>547</v>
      </c>
      <c r="P426" s="106" t="s">
        <v>547</v>
      </c>
    </row>
    <row r="427" spans="1:16">
      <c r="A427" s="66"/>
      <c r="B427" s="66"/>
      <c r="C427" s="51" t="s">
        <v>1482</v>
      </c>
      <c r="D427" s="20" t="s">
        <v>569</v>
      </c>
      <c r="E427" s="99" t="s">
        <v>1481</v>
      </c>
      <c r="F427" s="3" t="s">
        <v>554</v>
      </c>
      <c r="H427" s="3" t="s">
        <v>547</v>
      </c>
      <c r="P427" s="106" t="s">
        <v>547</v>
      </c>
    </row>
    <row r="428" spans="1:16">
      <c r="A428" s="66"/>
      <c r="B428" s="66"/>
      <c r="C428" s="51" t="s">
        <v>897</v>
      </c>
      <c r="D428" s="20" t="s">
        <v>585</v>
      </c>
      <c r="E428" s="99" t="s">
        <v>583</v>
      </c>
      <c r="F428" s="3" t="s">
        <v>554</v>
      </c>
      <c r="H428" s="3" t="s">
        <v>547</v>
      </c>
      <c r="P428" s="106" t="s">
        <v>547</v>
      </c>
    </row>
    <row r="429" spans="1:16">
      <c r="A429" s="66"/>
      <c r="B429" s="66"/>
      <c r="C429" s="51" t="s">
        <v>898</v>
      </c>
      <c r="D429" s="20"/>
      <c r="E429" s="99"/>
    </row>
    <row r="430" spans="1:16">
      <c r="A430" s="66"/>
      <c r="B430" s="66"/>
      <c r="C430" s="51" t="s">
        <v>899</v>
      </c>
      <c r="D430" s="20" t="s">
        <v>569</v>
      </c>
      <c r="E430" s="100" t="s">
        <v>898</v>
      </c>
      <c r="F430" s="3" t="s">
        <v>554</v>
      </c>
      <c r="H430" s="3" t="s">
        <v>547</v>
      </c>
      <c r="P430" s="106" t="s">
        <v>547</v>
      </c>
    </row>
    <row r="431" spans="1:16">
      <c r="A431" s="66"/>
      <c r="B431" s="66"/>
      <c r="C431" s="51" t="s">
        <v>1483</v>
      </c>
      <c r="D431" s="20" t="s">
        <v>569</v>
      </c>
      <c r="E431" s="100" t="s">
        <v>898</v>
      </c>
      <c r="F431" s="3" t="s">
        <v>554</v>
      </c>
      <c r="H431" s="3" t="s">
        <v>547</v>
      </c>
      <c r="P431" s="106" t="s">
        <v>547</v>
      </c>
    </row>
    <row r="432" spans="1:16">
      <c r="A432" s="66"/>
      <c r="B432" s="66"/>
      <c r="C432" s="17" t="s">
        <v>856</v>
      </c>
      <c r="D432" s="1" t="s">
        <v>561</v>
      </c>
      <c r="J432" s="97" t="s">
        <v>547</v>
      </c>
      <c r="K432" s="3" t="s">
        <v>554</v>
      </c>
      <c r="L432" s="3"/>
      <c r="M432" s="3" t="s">
        <v>547</v>
      </c>
      <c r="N432" s="56"/>
    </row>
    <row r="433" spans="1:16">
      <c r="A433" s="66"/>
      <c r="B433" s="66"/>
      <c r="C433" s="17" t="s">
        <v>857</v>
      </c>
      <c r="J433" s="97"/>
      <c r="K433" s="3"/>
      <c r="L433" s="3"/>
      <c r="M433" s="3"/>
      <c r="N433" s="56"/>
    </row>
    <row r="434" spans="1:16">
      <c r="A434" s="66"/>
      <c r="B434" s="66"/>
      <c r="C434" s="17" t="s">
        <v>858</v>
      </c>
      <c r="J434" s="97"/>
      <c r="K434" s="3"/>
      <c r="L434" s="3"/>
      <c r="M434" s="3"/>
      <c r="N434" s="56"/>
    </row>
    <row r="435" spans="1:16">
      <c r="A435" s="66"/>
      <c r="B435" s="66"/>
      <c r="C435" s="17" t="s">
        <v>1445</v>
      </c>
      <c r="J435" s="97"/>
      <c r="K435" s="3"/>
      <c r="L435" s="3"/>
      <c r="M435" s="3"/>
      <c r="N435" s="56"/>
    </row>
    <row r="436" spans="1:16">
      <c r="A436" s="66"/>
      <c r="B436" s="66"/>
      <c r="C436" s="51" t="s">
        <v>1327</v>
      </c>
      <c r="D436" s="70" t="s">
        <v>561</v>
      </c>
      <c r="E436" s="99"/>
      <c r="J436" s="97" t="s">
        <v>597</v>
      </c>
      <c r="K436" s="3" t="s">
        <v>554</v>
      </c>
      <c r="L436" s="3"/>
      <c r="M436" s="3" t="s">
        <v>547</v>
      </c>
      <c r="N436" s="56"/>
    </row>
    <row r="437" spans="1:16">
      <c r="A437" s="66"/>
      <c r="B437" s="66"/>
      <c r="C437" s="51" t="s">
        <v>1446</v>
      </c>
      <c r="D437" s="20"/>
      <c r="E437" s="99"/>
      <c r="J437" s="97"/>
      <c r="K437" s="3"/>
      <c r="L437" s="3"/>
      <c r="M437" s="3"/>
      <c r="N437" s="56"/>
    </row>
    <row r="438" spans="1:16">
      <c r="A438" s="66"/>
      <c r="B438" s="66"/>
      <c r="C438" s="51" t="s">
        <v>1328</v>
      </c>
      <c r="D438" s="70" t="s">
        <v>561</v>
      </c>
      <c r="E438" s="99"/>
      <c r="J438" s="97" t="s">
        <v>599</v>
      </c>
      <c r="K438" s="3" t="s">
        <v>554</v>
      </c>
      <c r="L438" s="3"/>
      <c r="M438" s="3" t="s">
        <v>547</v>
      </c>
      <c r="N438" s="56"/>
    </row>
    <row r="439" spans="1:16">
      <c r="A439" s="66"/>
      <c r="B439" s="66"/>
      <c r="C439" s="51" t="s">
        <v>1447</v>
      </c>
      <c r="D439" s="20"/>
      <c r="E439" s="99"/>
      <c r="J439" s="97"/>
      <c r="K439" s="3"/>
      <c r="L439" s="3"/>
      <c r="M439" s="3"/>
      <c r="N439" s="56"/>
    </row>
    <row r="440" spans="1:16">
      <c r="A440" s="66"/>
      <c r="B440" s="66"/>
      <c r="C440" s="17" t="s">
        <v>859</v>
      </c>
      <c r="D440" s="1" t="s">
        <v>561</v>
      </c>
      <c r="J440" s="98" t="s">
        <v>1358</v>
      </c>
      <c r="K440" s="3" t="s">
        <v>554</v>
      </c>
      <c r="L440" s="3"/>
      <c r="M440" s="3" t="s">
        <v>547</v>
      </c>
      <c r="N440" s="56"/>
    </row>
    <row r="441" spans="1:16">
      <c r="A441" s="66"/>
      <c r="B441" s="66"/>
      <c r="C441" s="17" t="s">
        <v>1448</v>
      </c>
      <c r="J441" s="97"/>
      <c r="K441" s="3"/>
      <c r="L441" s="3"/>
      <c r="M441" s="3"/>
      <c r="N441" s="56"/>
    </row>
    <row r="442" spans="1:16">
      <c r="A442" s="66"/>
      <c r="B442" s="66"/>
      <c r="C442" s="51" t="s">
        <v>861</v>
      </c>
      <c r="D442" s="20" t="s">
        <v>543</v>
      </c>
      <c r="E442" s="99"/>
      <c r="F442" s="59"/>
      <c r="G442" s="59"/>
      <c r="H442" s="59"/>
      <c r="I442" s="101"/>
      <c r="J442" s="99" t="s">
        <v>1449</v>
      </c>
      <c r="K442" s="59" t="s">
        <v>545</v>
      </c>
      <c r="L442" s="59" t="s">
        <v>546</v>
      </c>
      <c r="M442" s="59" t="s">
        <v>547</v>
      </c>
      <c r="N442" s="101" t="s">
        <v>546</v>
      </c>
      <c r="P442" s="106" t="s">
        <v>547</v>
      </c>
    </row>
    <row r="443" spans="1:16">
      <c r="A443" s="66"/>
      <c r="B443" s="66"/>
      <c r="C443" s="17" t="s">
        <v>579</v>
      </c>
      <c r="D443" t="s">
        <v>569</v>
      </c>
      <c r="J443" s="97" t="s">
        <v>554</v>
      </c>
      <c r="K443" s="3" t="s">
        <v>545</v>
      </c>
      <c r="L443" s="3"/>
      <c r="M443" s="3" t="s">
        <v>547</v>
      </c>
      <c r="N443" s="56"/>
      <c r="P443" s="106" t="s">
        <v>547</v>
      </c>
    </row>
    <row r="444" spans="1:16">
      <c r="A444" s="66"/>
      <c r="B444" s="66"/>
      <c r="C444" s="17" t="s">
        <v>1349</v>
      </c>
      <c r="D444" t="s">
        <v>569</v>
      </c>
      <c r="J444" s="97" t="s">
        <v>554</v>
      </c>
      <c r="K444" s="3" t="s">
        <v>545</v>
      </c>
      <c r="L444" s="3"/>
      <c r="M444" s="3" t="s">
        <v>547</v>
      </c>
      <c r="N444" s="56"/>
      <c r="P444" s="106" t="s">
        <v>547</v>
      </c>
    </row>
    <row r="445" spans="1:16">
      <c r="A445" s="66"/>
      <c r="B445" s="66"/>
      <c r="C445" s="17" t="s">
        <v>1330</v>
      </c>
      <c r="D445" t="s">
        <v>569</v>
      </c>
      <c r="J445" s="97" t="s">
        <v>1331</v>
      </c>
      <c r="K445" s="3" t="s">
        <v>545</v>
      </c>
      <c r="L445" s="3"/>
      <c r="M445" s="3" t="s">
        <v>547</v>
      </c>
      <c r="N445" s="56"/>
      <c r="P445" s="106" t="s">
        <v>547</v>
      </c>
    </row>
    <row r="446" spans="1:16">
      <c r="A446" s="66"/>
      <c r="B446" s="66"/>
      <c r="C446" s="17" t="s">
        <v>1450</v>
      </c>
      <c r="D446" t="s">
        <v>569</v>
      </c>
      <c r="J446" s="97" t="s">
        <v>1331</v>
      </c>
      <c r="K446" s="3" t="s">
        <v>545</v>
      </c>
      <c r="L446" s="3"/>
      <c r="M446" s="3" t="s">
        <v>547</v>
      </c>
      <c r="N446" s="56"/>
      <c r="P446" s="106" t="s">
        <v>547</v>
      </c>
    </row>
    <row r="447" spans="1:16">
      <c r="A447" s="66"/>
      <c r="B447" s="66"/>
      <c r="C447" s="17" t="s">
        <v>1332</v>
      </c>
      <c r="D447" t="s">
        <v>569</v>
      </c>
      <c r="J447" s="97" t="s">
        <v>1333</v>
      </c>
      <c r="K447" s="3" t="s">
        <v>545</v>
      </c>
      <c r="L447" s="3"/>
      <c r="M447" s="3" t="s">
        <v>547</v>
      </c>
      <c r="N447" s="56"/>
      <c r="P447" s="106" t="s">
        <v>547</v>
      </c>
    </row>
    <row r="448" spans="1:16">
      <c r="A448" s="66"/>
      <c r="B448" s="66"/>
      <c r="C448" s="17" t="s">
        <v>1451</v>
      </c>
      <c r="D448" t="s">
        <v>569</v>
      </c>
      <c r="J448" s="97" t="s">
        <v>1333</v>
      </c>
      <c r="K448" s="3" t="s">
        <v>545</v>
      </c>
      <c r="L448" s="3"/>
      <c r="M448" s="3" t="s">
        <v>547</v>
      </c>
      <c r="N448" s="56"/>
      <c r="P448" s="106" t="s">
        <v>547</v>
      </c>
    </row>
    <row r="449" spans="1:16">
      <c r="A449" s="66"/>
      <c r="B449" s="66"/>
      <c r="C449" s="17" t="s">
        <v>863</v>
      </c>
      <c r="D449" t="s">
        <v>569</v>
      </c>
      <c r="J449" s="97" t="s">
        <v>1452</v>
      </c>
      <c r="K449" s="3" t="s">
        <v>545</v>
      </c>
      <c r="L449" s="3"/>
      <c r="M449" s="3" t="s">
        <v>547</v>
      </c>
      <c r="N449" s="56"/>
      <c r="P449" s="106" t="s">
        <v>547</v>
      </c>
    </row>
    <row r="450" spans="1:16">
      <c r="A450" s="66"/>
      <c r="B450" s="66"/>
      <c r="C450" s="17" t="s">
        <v>1453</v>
      </c>
      <c r="D450" t="s">
        <v>569</v>
      </c>
      <c r="J450" s="97" t="s">
        <v>1452</v>
      </c>
      <c r="K450" s="3" t="s">
        <v>545</v>
      </c>
      <c r="L450" s="3"/>
      <c r="M450" s="3" t="s">
        <v>547</v>
      </c>
      <c r="N450" s="56"/>
      <c r="P450" s="106" t="s">
        <v>547</v>
      </c>
    </row>
    <row r="451" spans="1:16">
      <c r="A451" s="66"/>
      <c r="B451" s="66"/>
      <c r="C451" s="51" t="s">
        <v>865</v>
      </c>
      <c r="D451" s="20" t="s">
        <v>543</v>
      </c>
      <c r="E451" s="99"/>
      <c r="F451" s="59"/>
      <c r="G451" s="59"/>
      <c r="H451" s="59"/>
      <c r="I451" s="101"/>
      <c r="J451" s="99" t="s">
        <v>1449</v>
      </c>
      <c r="K451" s="59" t="s">
        <v>554</v>
      </c>
      <c r="L451" s="59" t="s">
        <v>546</v>
      </c>
      <c r="M451" s="59" t="s">
        <v>547</v>
      </c>
      <c r="N451" s="101" t="s">
        <v>546</v>
      </c>
      <c r="P451" s="106" t="s">
        <v>547</v>
      </c>
    </row>
    <row r="452" spans="1:16">
      <c r="A452" s="66"/>
      <c r="B452" s="66"/>
      <c r="C452" s="17" t="s">
        <v>867</v>
      </c>
      <c r="D452" t="s">
        <v>569</v>
      </c>
      <c r="J452" s="97" t="s">
        <v>554</v>
      </c>
      <c r="K452" s="3" t="s">
        <v>554</v>
      </c>
      <c r="L452" s="3"/>
      <c r="M452" s="3" t="s">
        <v>547</v>
      </c>
      <c r="N452" s="56"/>
      <c r="P452" s="106" t="s">
        <v>547</v>
      </c>
    </row>
    <row r="453" spans="1:16">
      <c r="A453" s="66"/>
      <c r="B453" s="66"/>
      <c r="C453" s="17" t="s">
        <v>1454</v>
      </c>
      <c r="D453" t="s">
        <v>569</v>
      </c>
      <c r="J453" s="97" t="s">
        <v>554</v>
      </c>
      <c r="K453" s="3" t="s">
        <v>554</v>
      </c>
      <c r="L453" s="3"/>
      <c r="M453" s="3" t="s">
        <v>547</v>
      </c>
      <c r="N453" s="56"/>
      <c r="P453" s="106" t="s">
        <v>547</v>
      </c>
    </row>
    <row r="454" spans="1:16">
      <c r="A454" s="66"/>
      <c r="B454" s="66"/>
      <c r="C454" s="17" t="s">
        <v>1335</v>
      </c>
      <c r="D454" t="s">
        <v>569</v>
      </c>
      <c r="J454" s="97" t="s">
        <v>1331</v>
      </c>
      <c r="K454" s="3" t="s">
        <v>554</v>
      </c>
      <c r="L454" s="3"/>
      <c r="M454" s="3" t="s">
        <v>547</v>
      </c>
      <c r="N454" s="56"/>
      <c r="P454" s="106" t="s">
        <v>547</v>
      </c>
    </row>
    <row r="455" spans="1:16">
      <c r="A455" s="66"/>
      <c r="B455" s="66"/>
      <c r="C455" s="17" t="s">
        <v>1455</v>
      </c>
      <c r="D455" t="s">
        <v>569</v>
      </c>
      <c r="J455" s="97" t="s">
        <v>1331</v>
      </c>
      <c r="K455" s="3" t="s">
        <v>554</v>
      </c>
      <c r="L455" s="3"/>
      <c r="M455" s="3" t="s">
        <v>547</v>
      </c>
      <c r="N455" s="56"/>
      <c r="P455" s="106" t="s">
        <v>547</v>
      </c>
    </row>
    <row r="456" spans="1:16">
      <c r="A456" s="66"/>
      <c r="B456" s="66"/>
      <c r="C456" s="17" t="s">
        <v>1336</v>
      </c>
      <c r="D456" t="s">
        <v>569</v>
      </c>
      <c r="J456" s="97" t="s">
        <v>1333</v>
      </c>
      <c r="K456" s="3" t="s">
        <v>554</v>
      </c>
      <c r="L456" s="3"/>
      <c r="M456" s="3" t="s">
        <v>547</v>
      </c>
      <c r="N456" s="56"/>
      <c r="P456" s="106" t="s">
        <v>547</v>
      </c>
    </row>
    <row r="457" spans="1:16">
      <c r="A457" s="66"/>
      <c r="B457" s="66"/>
      <c r="C457" s="17" t="s">
        <v>1456</v>
      </c>
      <c r="D457" t="s">
        <v>569</v>
      </c>
      <c r="J457" s="97" t="s">
        <v>1333</v>
      </c>
      <c r="K457" s="3" t="s">
        <v>554</v>
      </c>
      <c r="L457" s="3"/>
      <c r="M457" s="3" t="s">
        <v>547</v>
      </c>
      <c r="N457" s="56"/>
      <c r="P457" s="106" t="s">
        <v>547</v>
      </c>
    </row>
    <row r="458" spans="1:16">
      <c r="A458" s="66"/>
      <c r="B458" s="66"/>
      <c r="C458" s="17" t="s">
        <v>868</v>
      </c>
      <c r="D458" t="s">
        <v>569</v>
      </c>
      <c r="J458" s="97" t="s">
        <v>1452</v>
      </c>
      <c r="K458" s="3" t="s">
        <v>554</v>
      </c>
      <c r="L458" s="3"/>
      <c r="M458" s="3" t="s">
        <v>547</v>
      </c>
      <c r="N458" s="56"/>
      <c r="P458" s="106" t="s">
        <v>547</v>
      </c>
    </row>
    <row r="459" spans="1:16">
      <c r="A459" s="66"/>
      <c r="B459" s="66"/>
      <c r="C459" s="17" t="s">
        <v>1457</v>
      </c>
      <c r="D459" t="s">
        <v>569</v>
      </c>
      <c r="J459" s="97" t="s">
        <v>1452</v>
      </c>
      <c r="K459" s="3" t="s">
        <v>554</v>
      </c>
      <c r="L459" s="3"/>
      <c r="M459" s="3" t="s">
        <v>547</v>
      </c>
      <c r="N459" s="56"/>
      <c r="P459" s="106" t="s">
        <v>547</v>
      </c>
    </row>
    <row r="460" spans="1:16">
      <c r="A460" s="66"/>
      <c r="B460" s="66"/>
      <c r="C460" s="51" t="s">
        <v>869</v>
      </c>
      <c r="D460" s="20" t="s">
        <v>543</v>
      </c>
      <c r="E460" s="99"/>
      <c r="F460" s="59"/>
      <c r="G460" s="59"/>
      <c r="H460" s="59"/>
      <c r="I460" s="101"/>
      <c r="J460" s="99" t="s">
        <v>604</v>
      </c>
      <c r="K460" s="59" t="s">
        <v>554</v>
      </c>
      <c r="L460" s="59" t="s">
        <v>546</v>
      </c>
      <c r="M460" s="59" t="s">
        <v>547</v>
      </c>
      <c r="N460" s="101" t="s">
        <v>546</v>
      </c>
      <c r="P460" s="106" t="s">
        <v>547</v>
      </c>
    </row>
    <row r="461" spans="1:16">
      <c r="A461" s="66"/>
      <c r="B461" s="66"/>
      <c r="C461" s="17" t="s">
        <v>871</v>
      </c>
      <c r="D461" t="s">
        <v>569</v>
      </c>
      <c r="J461" s="97" t="s">
        <v>552</v>
      </c>
      <c r="K461" s="3" t="s">
        <v>554</v>
      </c>
      <c r="L461" s="3"/>
      <c r="M461" s="3" t="s">
        <v>547</v>
      </c>
      <c r="N461" s="56"/>
      <c r="P461" s="106" t="s">
        <v>547</v>
      </c>
    </row>
    <row r="462" spans="1:16">
      <c r="A462" s="66"/>
      <c r="B462" s="66"/>
      <c r="C462" s="17" t="s">
        <v>1458</v>
      </c>
      <c r="D462" t="s">
        <v>569</v>
      </c>
      <c r="J462" s="97" t="s">
        <v>552</v>
      </c>
      <c r="K462" s="3" t="s">
        <v>554</v>
      </c>
      <c r="L462" s="3"/>
      <c r="M462" s="3" t="s">
        <v>547</v>
      </c>
      <c r="N462" s="56"/>
      <c r="P462" s="106" t="s">
        <v>547</v>
      </c>
    </row>
    <row r="463" spans="1:16">
      <c r="A463" s="66"/>
      <c r="B463" s="66"/>
      <c r="C463" s="17" t="s">
        <v>1338</v>
      </c>
      <c r="D463" t="s">
        <v>569</v>
      </c>
      <c r="J463" s="97" t="s">
        <v>607</v>
      </c>
      <c r="K463" s="3" t="s">
        <v>554</v>
      </c>
      <c r="L463" s="3"/>
      <c r="M463" s="3" t="s">
        <v>547</v>
      </c>
      <c r="N463" s="56"/>
      <c r="P463" s="106" t="s">
        <v>547</v>
      </c>
    </row>
    <row r="464" spans="1:16">
      <c r="A464" s="66"/>
      <c r="B464" s="66"/>
      <c r="C464" s="17" t="s">
        <v>1459</v>
      </c>
      <c r="D464" t="s">
        <v>569</v>
      </c>
      <c r="J464" s="97" t="s">
        <v>607</v>
      </c>
      <c r="K464" s="3" t="s">
        <v>554</v>
      </c>
      <c r="L464" s="3"/>
      <c r="M464" s="3" t="s">
        <v>547</v>
      </c>
      <c r="N464" s="56"/>
      <c r="P464" s="106" t="s">
        <v>547</v>
      </c>
    </row>
    <row r="465" spans="1:16">
      <c r="A465" s="66"/>
      <c r="B465" s="66"/>
      <c r="C465" s="17" t="s">
        <v>1339</v>
      </c>
      <c r="D465" t="s">
        <v>569</v>
      </c>
      <c r="J465" s="97" t="s">
        <v>609</v>
      </c>
      <c r="K465" s="3" t="s">
        <v>554</v>
      </c>
      <c r="L465" s="3"/>
      <c r="M465" s="3" t="s">
        <v>547</v>
      </c>
      <c r="N465" s="56"/>
      <c r="P465" s="106" t="s">
        <v>547</v>
      </c>
    </row>
    <row r="466" spans="1:16">
      <c r="A466" s="66"/>
      <c r="B466" s="66"/>
      <c r="C466" s="17" t="s">
        <v>1460</v>
      </c>
      <c r="D466" t="s">
        <v>569</v>
      </c>
      <c r="J466" s="97" t="s">
        <v>609</v>
      </c>
      <c r="K466" s="3" t="s">
        <v>554</v>
      </c>
      <c r="L466" s="3"/>
      <c r="M466" s="3" t="s">
        <v>547</v>
      </c>
      <c r="N466" s="56"/>
      <c r="P466" s="106" t="s">
        <v>547</v>
      </c>
    </row>
    <row r="467" spans="1:16">
      <c r="A467" s="66"/>
      <c r="B467" s="66"/>
      <c r="C467" s="17" t="s">
        <v>872</v>
      </c>
      <c r="D467" t="s">
        <v>569</v>
      </c>
      <c r="J467" s="97" t="s">
        <v>611</v>
      </c>
      <c r="K467" s="3" t="s">
        <v>554</v>
      </c>
      <c r="L467" s="3"/>
      <c r="M467" s="3" t="s">
        <v>547</v>
      </c>
      <c r="N467" s="56"/>
      <c r="P467" s="106" t="s">
        <v>547</v>
      </c>
    </row>
    <row r="468" spans="1:16">
      <c r="A468" s="66"/>
      <c r="B468" s="66"/>
      <c r="C468" s="17" t="s">
        <v>1461</v>
      </c>
      <c r="D468" t="s">
        <v>569</v>
      </c>
      <c r="J468" s="97" t="s">
        <v>611</v>
      </c>
      <c r="K468" s="3" t="s">
        <v>554</v>
      </c>
      <c r="L468" s="3"/>
      <c r="M468" s="3" t="s">
        <v>547</v>
      </c>
      <c r="N468" s="56"/>
      <c r="P468" s="106" t="s">
        <v>547</v>
      </c>
    </row>
    <row r="469" spans="1:16">
      <c r="A469" s="66"/>
      <c r="B469" s="66"/>
      <c r="C469" s="51" t="s">
        <v>873</v>
      </c>
      <c r="D469" s="20" t="s">
        <v>543</v>
      </c>
      <c r="E469" s="99"/>
      <c r="F469" s="59"/>
      <c r="G469" s="59"/>
      <c r="H469" s="59"/>
      <c r="I469" s="101"/>
      <c r="J469" s="99" t="s">
        <v>1449</v>
      </c>
      <c r="K469" s="59" t="s">
        <v>552</v>
      </c>
      <c r="L469" s="59" t="s">
        <v>546</v>
      </c>
      <c r="M469" s="59" t="s">
        <v>547</v>
      </c>
      <c r="N469" s="101" t="s">
        <v>546</v>
      </c>
      <c r="P469" s="106" t="s">
        <v>547</v>
      </c>
    </row>
    <row r="470" spans="1:16">
      <c r="A470" s="66"/>
      <c r="B470" s="66"/>
      <c r="C470" s="17" t="s">
        <v>874</v>
      </c>
      <c r="D470" t="s">
        <v>569</v>
      </c>
      <c r="J470" s="97" t="s">
        <v>554</v>
      </c>
      <c r="K470" s="3" t="s">
        <v>552</v>
      </c>
      <c r="L470" s="3"/>
      <c r="M470" s="3" t="s">
        <v>547</v>
      </c>
      <c r="N470" s="56"/>
      <c r="P470" s="106" t="s">
        <v>547</v>
      </c>
    </row>
    <row r="471" spans="1:16">
      <c r="A471" s="66"/>
      <c r="B471" s="66"/>
      <c r="C471" s="17" t="s">
        <v>1462</v>
      </c>
      <c r="D471" t="s">
        <v>569</v>
      </c>
      <c r="J471" s="97" t="s">
        <v>554</v>
      </c>
      <c r="K471" s="3" t="s">
        <v>552</v>
      </c>
      <c r="L471" s="3"/>
      <c r="M471" s="3" t="s">
        <v>547</v>
      </c>
      <c r="N471" s="56"/>
      <c r="P471" s="106" t="s">
        <v>547</v>
      </c>
    </row>
    <row r="472" spans="1:16">
      <c r="A472" s="66"/>
      <c r="B472" s="66"/>
      <c r="C472" s="17" t="s">
        <v>1340</v>
      </c>
      <c r="D472" t="s">
        <v>569</v>
      </c>
      <c r="J472" s="97" t="s">
        <v>1331</v>
      </c>
      <c r="K472" s="3" t="s">
        <v>552</v>
      </c>
      <c r="L472" s="3"/>
      <c r="M472" s="3" t="s">
        <v>547</v>
      </c>
      <c r="N472" s="56"/>
      <c r="P472" s="106" t="s">
        <v>547</v>
      </c>
    </row>
    <row r="473" spans="1:16">
      <c r="A473" s="66"/>
      <c r="B473" s="66"/>
      <c r="C473" s="17" t="s">
        <v>1463</v>
      </c>
      <c r="D473" t="s">
        <v>569</v>
      </c>
      <c r="J473" s="97" t="s">
        <v>1331</v>
      </c>
      <c r="K473" s="3" t="s">
        <v>552</v>
      </c>
      <c r="L473" s="3"/>
      <c r="M473" s="3" t="s">
        <v>547</v>
      </c>
      <c r="N473" s="56"/>
      <c r="P473" s="106" t="s">
        <v>547</v>
      </c>
    </row>
    <row r="474" spans="1:16">
      <c r="A474" s="66"/>
      <c r="B474" s="66"/>
      <c r="C474" s="17" t="s">
        <v>1341</v>
      </c>
      <c r="D474" t="s">
        <v>569</v>
      </c>
      <c r="J474" s="97" t="s">
        <v>1333</v>
      </c>
      <c r="K474" s="3" t="s">
        <v>552</v>
      </c>
      <c r="L474" s="3"/>
      <c r="M474" s="3" t="s">
        <v>547</v>
      </c>
      <c r="N474" s="56"/>
      <c r="P474" s="106" t="s">
        <v>547</v>
      </c>
    </row>
    <row r="475" spans="1:16">
      <c r="A475" s="66"/>
      <c r="B475" s="66"/>
      <c r="C475" s="17" t="s">
        <v>1464</v>
      </c>
      <c r="D475" t="s">
        <v>569</v>
      </c>
      <c r="J475" s="97" t="s">
        <v>1333</v>
      </c>
      <c r="K475" s="3" t="s">
        <v>552</v>
      </c>
      <c r="L475" s="3"/>
      <c r="M475" s="3" t="s">
        <v>547</v>
      </c>
      <c r="N475" s="56"/>
      <c r="P475" s="106" t="s">
        <v>547</v>
      </c>
    </row>
    <row r="476" spans="1:16">
      <c r="A476" s="66"/>
      <c r="B476" s="66"/>
      <c r="C476" s="17" t="s">
        <v>875</v>
      </c>
      <c r="D476" t="s">
        <v>569</v>
      </c>
      <c r="J476" s="97" t="s">
        <v>1452</v>
      </c>
      <c r="K476" s="3" t="s">
        <v>552</v>
      </c>
      <c r="L476" s="3"/>
      <c r="M476" s="3" t="s">
        <v>547</v>
      </c>
      <c r="N476" s="56"/>
      <c r="P476" s="106" t="s">
        <v>547</v>
      </c>
    </row>
    <row r="477" spans="1:16">
      <c r="A477" s="66"/>
      <c r="B477" s="66"/>
      <c r="C477" s="17" t="s">
        <v>1465</v>
      </c>
      <c r="D477" t="s">
        <v>569</v>
      </c>
      <c r="J477" s="97" t="s">
        <v>1452</v>
      </c>
      <c r="K477" s="3" t="s">
        <v>552</v>
      </c>
      <c r="L477" s="3"/>
      <c r="M477" s="3" t="s">
        <v>547</v>
      </c>
      <c r="N477" s="56"/>
      <c r="P477" s="106" t="s">
        <v>547</v>
      </c>
    </row>
    <row r="478" spans="1:16">
      <c r="A478" s="66"/>
      <c r="B478" s="66"/>
      <c r="C478" s="17" t="s">
        <v>876</v>
      </c>
      <c r="J478" s="97"/>
      <c r="K478" s="3"/>
      <c r="L478" s="3"/>
      <c r="M478" s="3"/>
      <c r="N478" s="56"/>
    </row>
    <row r="479" spans="1:16">
      <c r="A479" s="66"/>
      <c r="B479" s="66"/>
      <c r="C479" s="17" t="s">
        <v>1466</v>
      </c>
      <c r="J479" s="97"/>
      <c r="K479" s="3"/>
      <c r="L479" s="3"/>
      <c r="M479" s="3"/>
      <c r="N479" s="56"/>
    </row>
    <row r="480" spans="1:16">
      <c r="A480" s="66"/>
      <c r="B480" s="66"/>
      <c r="C480" s="51" t="s">
        <v>1342</v>
      </c>
      <c r="J480" s="97"/>
      <c r="K480" s="3"/>
      <c r="L480" s="3"/>
      <c r="M480" s="3"/>
      <c r="N480" s="56"/>
    </row>
    <row r="481" spans="1:16">
      <c r="A481" s="66"/>
      <c r="B481" s="66"/>
      <c r="C481" s="51" t="s">
        <v>1467</v>
      </c>
      <c r="J481" s="97"/>
      <c r="K481" s="3"/>
      <c r="L481" s="3"/>
      <c r="M481" s="3"/>
      <c r="N481" s="56"/>
    </row>
    <row r="482" spans="1:16">
      <c r="A482" s="66"/>
      <c r="B482" s="66"/>
      <c r="C482" s="51" t="s">
        <v>1343</v>
      </c>
      <c r="J482" s="97"/>
      <c r="K482" s="3"/>
      <c r="L482" s="3"/>
      <c r="M482" s="3"/>
      <c r="N482" s="56"/>
    </row>
    <row r="483" spans="1:16">
      <c r="A483" s="66"/>
      <c r="B483" s="66"/>
      <c r="C483" s="51" t="s">
        <v>1468</v>
      </c>
      <c r="J483" s="97"/>
      <c r="K483" s="3"/>
      <c r="L483" s="3"/>
      <c r="M483" s="3"/>
      <c r="N483" s="56"/>
    </row>
    <row r="484" spans="1:16">
      <c r="A484" s="66"/>
      <c r="B484" s="66"/>
      <c r="C484" s="17" t="s">
        <v>877</v>
      </c>
      <c r="J484" s="97"/>
      <c r="K484" s="3"/>
      <c r="L484" s="3"/>
      <c r="M484" s="3"/>
      <c r="N484" s="56"/>
    </row>
    <row r="485" spans="1:16">
      <c r="A485" s="66"/>
      <c r="B485" s="66"/>
      <c r="C485" s="17" t="s">
        <v>1469</v>
      </c>
      <c r="J485" s="97"/>
      <c r="K485" s="3"/>
      <c r="L485" s="3"/>
      <c r="M485" s="3"/>
      <c r="N485" s="56"/>
    </row>
    <row r="486" spans="1:16">
      <c r="A486" s="66"/>
      <c r="B486" s="66"/>
      <c r="C486" s="17" t="s">
        <v>912</v>
      </c>
      <c r="D486" t="s">
        <v>543</v>
      </c>
      <c r="J486" s="97" t="s">
        <v>1470</v>
      </c>
      <c r="K486" s="3" t="s">
        <v>554</v>
      </c>
      <c r="L486" s="3" t="s">
        <v>546</v>
      </c>
      <c r="M486" s="3" t="s">
        <v>547</v>
      </c>
      <c r="N486" s="56" t="s">
        <v>546</v>
      </c>
      <c r="P486" s="106" t="s">
        <v>547</v>
      </c>
    </row>
    <row r="487" spans="1:16">
      <c r="A487" s="66"/>
      <c r="B487" s="66"/>
      <c r="C487" s="17" t="s">
        <v>879</v>
      </c>
      <c r="D487" t="s">
        <v>639</v>
      </c>
      <c r="J487" s="97" t="s">
        <v>1470</v>
      </c>
      <c r="K487" s="3" t="s">
        <v>554</v>
      </c>
      <c r="L487" s="3"/>
      <c r="M487" s="3" t="s">
        <v>547</v>
      </c>
      <c r="N487" s="56"/>
      <c r="P487" s="106" t="s">
        <v>547</v>
      </c>
    </row>
    <row r="488" spans="1:16">
      <c r="A488" s="66"/>
      <c r="B488" s="66"/>
      <c r="C488" s="51" t="s">
        <v>878</v>
      </c>
      <c r="D488" s="20" t="s">
        <v>543</v>
      </c>
      <c r="E488" s="99"/>
      <c r="F488" s="59"/>
      <c r="G488" s="59"/>
      <c r="H488" s="59"/>
      <c r="I488" s="101"/>
      <c r="J488" s="99" t="s">
        <v>583</v>
      </c>
      <c r="K488" s="59" t="s">
        <v>554</v>
      </c>
      <c r="L488" s="59" t="s">
        <v>546</v>
      </c>
      <c r="M488" s="59" t="s">
        <v>547</v>
      </c>
      <c r="N488" s="101" t="s">
        <v>546</v>
      </c>
      <c r="P488" s="106" t="s">
        <v>547</v>
      </c>
    </row>
    <row r="489" spans="1:16">
      <c r="A489" s="66"/>
      <c r="B489" s="66"/>
      <c r="C489" s="51" t="s">
        <v>880</v>
      </c>
      <c r="D489" s="20" t="s">
        <v>639</v>
      </c>
      <c r="E489" s="99"/>
      <c r="F489" s="59"/>
      <c r="G489" s="59"/>
      <c r="H489" s="59"/>
      <c r="I489" s="101"/>
      <c r="J489" s="99" t="s">
        <v>583</v>
      </c>
      <c r="K489" s="59" t="s">
        <v>554</v>
      </c>
      <c r="L489" s="59"/>
      <c r="M489" s="59" t="s">
        <v>547</v>
      </c>
      <c r="N489" s="101"/>
      <c r="P489" s="106" t="s">
        <v>547</v>
      </c>
    </row>
    <row r="490" spans="1:16">
      <c r="A490" s="66"/>
      <c r="B490" s="66"/>
      <c r="C490" s="51" t="s">
        <v>1471</v>
      </c>
      <c r="D490" s="20" t="s">
        <v>639</v>
      </c>
      <c r="E490" s="99"/>
      <c r="F490" s="59"/>
      <c r="G490" s="59"/>
      <c r="H490" s="59"/>
      <c r="I490" s="101"/>
      <c r="J490" s="99" t="s">
        <v>583</v>
      </c>
      <c r="K490" s="59" t="s">
        <v>554</v>
      </c>
      <c r="L490" s="59"/>
      <c r="M490" s="59" t="s">
        <v>547</v>
      </c>
      <c r="N490" s="101"/>
      <c r="P490" s="106" t="s">
        <v>547</v>
      </c>
    </row>
    <row r="491" spans="1:16">
      <c r="A491" s="66"/>
      <c r="B491" s="66"/>
      <c r="C491" s="51" t="s">
        <v>881</v>
      </c>
      <c r="D491" s="20" t="s">
        <v>639</v>
      </c>
      <c r="E491" s="99"/>
      <c r="F491" s="59"/>
      <c r="G491" s="59"/>
      <c r="H491" s="59"/>
      <c r="I491" s="101"/>
      <c r="J491" s="99" t="s">
        <v>583</v>
      </c>
      <c r="K491" s="59" t="s">
        <v>554</v>
      </c>
      <c r="L491" s="59"/>
      <c r="M491" s="59" t="s">
        <v>547</v>
      </c>
      <c r="N491" s="101"/>
      <c r="P491" s="106" t="s">
        <v>547</v>
      </c>
    </row>
    <row r="492" spans="1:16">
      <c r="A492" s="66"/>
      <c r="B492" s="66"/>
      <c r="C492" s="51" t="s">
        <v>1472</v>
      </c>
      <c r="D492" s="20" t="s">
        <v>639</v>
      </c>
      <c r="E492" s="99"/>
      <c r="F492" s="59"/>
      <c r="G492" s="59"/>
      <c r="H492" s="59"/>
      <c r="I492" s="101"/>
      <c r="J492" s="99" t="s">
        <v>583</v>
      </c>
      <c r="K492" s="59" t="s">
        <v>554</v>
      </c>
      <c r="L492" s="59"/>
      <c r="M492" s="59" t="s">
        <v>547</v>
      </c>
      <c r="N492" s="101"/>
      <c r="P492" s="106" t="s">
        <v>547</v>
      </c>
    </row>
    <row r="493" spans="1:16">
      <c r="A493" s="66"/>
      <c r="B493" s="66"/>
      <c r="C493" s="51" t="s">
        <v>882</v>
      </c>
      <c r="D493" s="20"/>
      <c r="E493" s="99"/>
      <c r="F493" s="59"/>
      <c r="G493" s="59"/>
      <c r="H493" s="59"/>
      <c r="I493" s="101"/>
      <c r="J493" s="99"/>
      <c r="K493" s="59"/>
      <c r="L493" s="59"/>
      <c r="M493" s="59"/>
      <c r="N493" s="101"/>
    </row>
    <row r="494" spans="1:16">
      <c r="A494" s="66"/>
      <c r="B494" s="66"/>
      <c r="C494" s="51" t="s">
        <v>883</v>
      </c>
      <c r="D494" s="20"/>
      <c r="E494" s="99"/>
      <c r="F494" s="59"/>
      <c r="G494" s="59"/>
      <c r="H494" s="59"/>
      <c r="I494" s="101"/>
      <c r="J494" s="99"/>
      <c r="K494" s="59"/>
      <c r="L494" s="59"/>
      <c r="M494" s="59"/>
      <c r="N494" s="101"/>
    </row>
    <row r="495" spans="1:16">
      <c r="A495" s="66"/>
      <c r="B495" s="66"/>
      <c r="C495" s="51" t="s">
        <v>884</v>
      </c>
      <c r="D495" s="20"/>
      <c r="E495" s="99"/>
      <c r="F495" s="59"/>
      <c r="G495" s="59"/>
      <c r="H495" s="59"/>
      <c r="I495" s="101"/>
      <c r="J495" s="99"/>
      <c r="K495" s="59"/>
      <c r="L495" s="59"/>
      <c r="M495" s="59"/>
      <c r="N495" s="101"/>
    </row>
    <row r="496" spans="1:16">
      <c r="A496" s="66"/>
      <c r="B496" s="66"/>
      <c r="C496" s="51" t="s">
        <v>885</v>
      </c>
      <c r="D496" s="20" t="s">
        <v>543</v>
      </c>
      <c r="E496" s="99"/>
      <c r="F496" s="59"/>
      <c r="G496" s="59"/>
      <c r="H496" s="59"/>
      <c r="I496" s="101"/>
      <c r="J496" s="99" t="s">
        <v>1473</v>
      </c>
      <c r="K496" s="59" t="s">
        <v>554</v>
      </c>
      <c r="L496" s="59" t="s">
        <v>546</v>
      </c>
      <c r="M496" s="59" t="s">
        <v>547</v>
      </c>
      <c r="N496" s="101" t="s">
        <v>546</v>
      </c>
      <c r="P496" s="106" t="s">
        <v>547</v>
      </c>
    </row>
    <row r="497" spans="1:16">
      <c r="A497" s="66"/>
      <c r="B497" s="66"/>
      <c r="C497" s="51" t="s">
        <v>887</v>
      </c>
      <c r="D497" s="20" t="s">
        <v>543</v>
      </c>
      <c r="E497" s="99"/>
      <c r="F497" s="59"/>
      <c r="G497" s="59"/>
      <c r="H497" s="59"/>
      <c r="I497" s="101"/>
      <c r="J497" s="99" t="s">
        <v>1474</v>
      </c>
      <c r="K497" s="59" t="s">
        <v>554</v>
      </c>
      <c r="L497" s="59" t="s">
        <v>546</v>
      </c>
      <c r="M497" s="59" t="s">
        <v>547</v>
      </c>
      <c r="N497" s="101" t="s">
        <v>546</v>
      </c>
      <c r="P497" s="106" t="s">
        <v>547</v>
      </c>
    </row>
    <row r="498" spans="1:16">
      <c r="A498" s="66"/>
      <c r="B498" s="66"/>
      <c r="C498" s="51" t="s">
        <v>889</v>
      </c>
      <c r="D498" s="20" t="s">
        <v>569</v>
      </c>
      <c r="E498" s="99"/>
      <c r="F498" s="59"/>
      <c r="G498" s="59"/>
      <c r="H498" s="59"/>
      <c r="I498" s="101"/>
      <c r="J498" s="99" t="s">
        <v>1475</v>
      </c>
      <c r="K498" s="59" t="s">
        <v>554</v>
      </c>
      <c r="L498" s="59"/>
      <c r="M498" s="59" t="s">
        <v>547</v>
      </c>
      <c r="N498" s="101"/>
      <c r="P498" s="106" t="s">
        <v>547</v>
      </c>
    </row>
    <row r="499" spans="1:16">
      <c r="A499" s="66"/>
      <c r="B499" s="66"/>
      <c r="C499" s="51" t="s">
        <v>1476</v>
      </c>
      <c r="D499" s="20" t="s">
        <v>569</v>
      </c>
      <c r="E499" s="99"/>
      <c r="F499" s="59"/>
      <c r="G499" s="59"/>
      <c r="H499" s="59"/>
      <c r="I499" s="101"/>
      <c r="J499" s="99" t="s">
        <v>1475</v>
      </c>
      <c r="K499" s="59" t="s">
        <v>554</v>
      </c>
      <c r="L499" s="59"/>
      <c r="M499" s="59" t="s">
        <v>547</v>
      </c>
      <c r="N499" s="101"/>
      <c r="P499" s="106" t="s">
        <v>547</v>
      </c>
    </row>
    <row r="500" spans="1:16">
      <c r="A500" s="66"/>
      <c r="B500" s="66"/>
      <c r="C500" s="51" t="s">
        <v>891</v>
      </c>
      <c r="D500" s="20" t="s">
        <v>569</v>
      </c>
      <c r="E500" s="99"/>
      <c r="F500" s="59"/>
      <c r="G500" s="59"/>
      <c r="H500" s="59"/>
      <c r="I500" s="101"/>
      <c r="J500" s="99" t="s">
        <v>1477</v>
      </c>
      <c r="K500" s="59" t="s">
        <v>554</v>
      </c>
      <c r="L500" s="59"/>
      <c r="M500" s="59" t="s">
        <v>547</v>
      </c>
      <c r="N500" s="101"/>
      <c r="P500" s="106" t="s">
        <v>547</v>
      </c>
    </row>
    <row r="501" spans="1:16">
      <c r="A501" s="66"/>
      <c r="B501" s="66"/>
      <c r="C501" s="51" t="s">
        <v>1478</v>
      </c>
      <c r="D501" s="20" t="s">
        <v>569</v>
      </c>
      <c r="E501" s="99"/>
      <c r="F501" s="59"/>
      <c r="G501" s="59"/>
      <c r="H501" s="59"/>
      <c r="I501" s="101"/>
      <c r="J501" s="99" t="s">
        <v>1477</v>
      </c>
      <c r="K501" s="59" t="s">
        <v>554</v>
      </c>
      <c r="L501" s="59"/>
      <c r="M501" s="59" t="s">
        <v>547</v>
      </c>
      <c r="N501" s="101"/>
      <c r="P501" s="106" t="s">
        <v>547</v>
      </c>
    </row>
    <row r="502" spans="1:16">
      <c r="A502" s="66"/>
      <c r="B502" s="66"/>
      <c r="C502" s="51" t="s">
        <v>893</v>
      </c>
      <c r="D502" s="20" t="s">
        <v>569</v>
      </c>
      <c r="E502" s="99"/>
      <c r="F502" s="59"/>
      <c r="G502" s="59"/>
      <c r="H502" s="59"/>
      <c r="I502" s="101"/>
      <c r="J502" s="99" t="s">
        <v>1479</v>
      </c>
      <c r="K502" s="59" t="s">
        <v>554</v>
      </c>
      <c r="L502" s="59"/>
      <c r="M502" s="59" t="s">
        <v>547</v>
      </c>
      <c r="N502" s="101"/>
      <c r="P502" s="106" t="s">
        <v>547</v>
      </c>
    </row>
    <row r="503" spans="1:16">
      <c r="A503" s="66"/>
      <c r="B503" s="66"/>
      <c r="C503" s="51" t="s">
        <v>1480</v>
      </c>
      <c r="D503" s="20" t="s">
        <v>569</v>
      </c>
      <c r="E503" s="99"/>
      <c r="F503" s="59"/>
      <c r="G503" s="59"/>
      <c r="H503" s="59"/>
      <c r="I503" s="101"/>
      <c r="J503" s="99" t="s">
        <v>1479</v>
      </c>
      <c r="K503" s="59" t="s">
        <v>554</v>
      </c>
      <c r="L503" s="59"/>
      <c r="M503" s="59" t="s">
        <v>547</v>
      </c>
      <c r="N503" s="101"/>
      <c r="P503" s="106" t="s">
        <v>547</v>
      </c>
    </row>
    <row r="504" spans="1:16">
      <c r="A504" s="66"/>
      <c r="B504" s="66"/>
      <c r="C504" s="51" t="s">
        <v>895</v>
      </c>
      <c r="D504" s="20" t="s">
        <v>569</v>
      </c>
      <c r="E504" s="99"/>
      <c r="F504" s="59"/>
      <c r="G504" s="59"/>
      <c r="H504" s="59"/>
      <c r="I504" s="101"/>
      <c r="J504" s="99" t="s">
        <v>1481</v>
      </c>
      <c r="K504" s="59" t="s">
        <v>554</v>
      </c>
      <c r="L504" s="59"/>
      <c r="M504" s="59" t="s">
        <v>547</v>
      </c>
      <c r="N504" s="101"/>
      <c r="P504" s="106" t="s">
        <v>547</v>
      </c>
    </row>
    <row r="505" spans="1:16">
      <c r="A505" s="66"/>
      <c r="B505" s="66"/>
      <c r="C505" s="51" t="s">
        <v>1482</v>
      </c>
      <c r="D505" s="20" t="s">
        <v>569</v>
      </c>
      <c r="E505" s="99"/>
      <c r="F505" s="59"/>
      <c r="G505" s="59"/>
      <c r="H505" s="59"/>
      <c r="I505" s="101"/>
      <c r="J505" s="99" t="s">
        <v>1481</v>
      </c>
      <c r="K505" s="59" t="s">
        <v>554</v>
      </c>
      <c r="L505" s="59"/>
      <c r="M505" s="59" t="s">
        <v>547</v>
      </c>
      <c r="N505" s="101"/>
      <c r="P505" s="106" t="s">
        <v>547</v>
      </c>
    </row>
    <row r="506" spans="1:16">
      <c r="A506" s="66"/>
      <c r="B506" s="66"/>
      <c r="C506" s="51" t="s">
        <v>897</v>
      </c>
      <c r="D506" s="20" t="s">
        <v>585</v>
      </c>
      <c r="E506" s="99"/>
      <c r="F506" s="59"/>
      <c r="G506" s="59"/>
      <c r="H506" s="59"/>
      <c r="I506" s="101"/>
      <c r="J506" s="99" t="s">
        <v>583</v>
      </c>
      <c r="K506" s="59" t="s">
        <v>554</v>
      </c>
      <c r="L506" s="59"/>
      <c r="M506" s="59" t="s">
        <v>547</v>
      </c>
      <c r="N506" s="101"/>
      <c r="P506" s="106" t="s">
        <v>547</v>
      </c>
    </row>
    <row r="507" spans="1:16">
      <c r="A507" s="66"/>
      <c r="B507" s="66"/>
      <c r="C507" s="51" t="s">
        <v>898</v>
      </c>
      <c r="D507" s="20"/>
      <c r="E507" s="99"/>
      <c r="F507" s="59"/>
      <c r="G507" s="59"/>
      <c r="H507" s="59"/>
      <c r="I507" s="101"/>
      <c r="J507" s="99"/>
      <c r="K507" s="59"/>
      <c r="L507" s="59"/>
      <c r="M507" s="59"/>
      <c r="N507" s="101"/>
    </row>
    <row r="508" spans="1:16">
      <c r="A508" s="66"/>
      <c r="B508" s="66"/>
      <c r="C508" s="51" t="s">
        <v>899</v>
      </c>
      <c r="D508" s="20" t="s">
        <v>569</v>
      </c>
      <c r="E508" s="99"/>
      <c r="F508" s="59"/>
      <c r="G508" s="59"/>
      <c r="H508" s="59"/>
      <c r="I508" s="101"/>
      <c r="J508" s="100" t="s">
        <v>898</v>
      </c>
      <c r="K508" s="59" t="s">
        <v>554</v>
      </c>
      <c r="L508" s="59"/>
      <c r="M508" s="59" t="s">
        <v>547</v>
      </c>
      <c r="N508" s="101"/>
      <c r="P508" s="106" t="s">
        <v>547</v>
      </c>
    </row>
    <row r="509" spans="1:16">
      <c r="A509" s="66"/>
      <c r="B509" s="64"/>
      <c r="C509" s="51" t="s">
        <v>1483</v>
      </c>
      <c r="D509" s="20" t="s">
        <v>569</v>
      </c>
      <c r="E509" s="99"/>
      <c r="F509" s="59"/>
      <c r="G509" s="59"/>
      <c r="H509" s="59"/>
      <c r="I509" s="101"/>
      <c r="J509" s="100" t="s">
        <v>898</v>
      </c>
      <c r="K509" s="59" t="s">
        <v>554</v>
      </c>
      <c r="L509" s="59"/>
      <c r="M509" s="59" t="s">
        <v>547</v>
      </c>
      <c r="N509" s="101"/>
      <c r="P509" s="106" t="s">
        <v>547</v>
      </c>
    </row>
    <row r="510" spans="1:16">
      <c r="A510" s="52"/>
      <c r="B510" s="63" t="s">
        <v>382</v>
      </c>
      <c r="C510" s="18" t="s">
        <v>741</v>
      </c>
      <c r="D510" t="s">
        <v>543</v>
      </c>
      <c r="E510" s="97" t="s">
        <v>1484</v>
      </c>
      <c r="F510" s="3" t="s">
        <v>571</v>
      </c>
      <c r="G510" s="3" t="s">
        <v>546</v>
      </c>
      <c r="H510" s="3" t="s">
        <v>547</v>
      </c>
      <c r="I510" s="56" t="s">
        <v>546</v>
      </c>
      <c r="P510" s="106" t="s">
        <v>547</v>
      </c>
    </row>
    <row r="511" spans="1:16">
      <c r="A511" s="52"/>
      <c r="B511" s="66"/>
      <c r="C511" s="18" t="s">
        <v>743</v>
      </c>
      <c r="D511" t="s">
        <v>543</v>
      </c>
      <c r="E511" s="97" t="s">
        <v>1484</v>
      </c>
      <c r="F511" s="3" t="s">
        <v>599</v>
      </c>
      <c r="G511" s="3" t="s">
        <v>546</v>
      </c>
      <c r="H511" s="3" t="s">
        <v>547</v>
      </c>
      <c r="I511" s="56" t="s">
        <v>546</v>
      </c>
      <c r="P511" s="106" t="s">
        <v>547</v>
      </c>
    </row>
    <row r="512" spans="1:16">
      <c r="A512" s="52"/>
      <c r="B512" s="66"/>
      <c r="C512" s="18" t="s">
        <v>744</v>
      </c>
      <c r="D512" t="s">
        <v>543</v>
      </c>
      <c r="E512" s="97" t="s">
        <v>1484</v>
      </c>
      <c r="F512" s="3" t="s">
        <v>745</v>
      </c>
      <c r="G512" s="3" t="s">
        <v>546</v>
      </c>
      <c r="H512" s="3" t="s">
        <v>547</v>
      </c>
      <c r="I512" s="56" t="s">
        <v>546</v>
      </c>
      <c r="P512" s="106" t="s">
        <v>547</v>
      </c>
    </row>
    <row r="513" spans="1:16">
      <c r="A513" s="52"/>
      <c r="B513" s="66"/>
      <c r="C513" s="18" t="s">
        <v>746</v>
      </c>
      <c r="D513" t="s">
        <v>543</v>
      </c>
      <c r="E513" s="97" t="s">
        <v>1484</v>
      </c>
      <c r="F513" s="3" t="s">
        <v>550</v>
      </c>
      <c r="G513" s="3" t="s">
        <v>546</v>
      </c>
      <c r="H513" s="3" t="s">
        <v>547</v>
      </c>
      <c r="I513" s="56" t="s">
        <v>546</v>
      </c>
      <c r="P513" s="106" t="s">
        <v>547</v>
      </c>
    </row>
    <row r="514" spans="1:16">
      <c r="A514" s="52"/>
      <c r="B514" s="66"/>
      <c r="C514" s="18" t="s">
        <v>747</v>
      </c>
      <c r="D514" t="s">
        <v>543</v>
      </c>
      <c r="E514" s="97" t="s">
        <v>1484</v>
      </c>
      <c r="F514" s="3" t="s">
        <v>748</v>
      </c>
      <c r="G514" s="3" t="s">
        <v>546</v>
      </c>
      <c r="H514" s="3" t="s">
        <v>547</v>
      </c>
      <c r="I514" s="56" t="s">
        <v>546</v>
      </c>
      <c r="P514" s="106" t="s">
        <v>547</v>
      </c>
    </row>
    <row r="515" spans="1:16">
      <c r="A515" s="52"/>
      <c r="B515" s="66"/>
      <c r="C515" s="18" t="s">
        <v>749</v>
      </c>
      <c r="D515" t="s">
        <v>543</v>
      </c>
      <c r="E515" s="97" t="s">
        <v>1484</v>
      </c>
      <c r="F515" s="3" t="s">
        <v>620</v>
      </c>
      <c r="G515" s="3" t="s">
        <v>546</v>
      </c>
      <c r="H515" s="3" t="s">
        <v>547</v>
      </c>
      <c r="I515" s="56" t="s">
        <v>546</v>
      </c>
      <c r="P515" s="106" t="s">
        <v>547</v>
      </c>
    </row>
    <row r="516" spans="1:16">
      <c r="A516" s="52"/>
      <c r="B516" s="66"/>
      <c r="C516" s="18" t="s">
        <v>750</v>
      </c>
      <c r="D516" t="s">
        <v>543</v>
      </c>
      <c r="E516" s="97" t="s">
        <v>1484</v>
      </c>
      <c r="F516" s="3" t="s">
        <v>576</v>
      </c>
      <c r="G516" s="3" t="s">
        <v>546</v>
      </c>
      <c r="H516" s="3" t="s">
        <v>547</v>
      </c>
      <c r="I516" s="56" t="s">
        <v>546</v>
      </c>
      <c r="P516" s="106" t="s">
        <v>547</v>
      </c>
    </row>
    <row r="517" spans="1:16">
      <c r="A517" s="52"/>
      <c r="B517" s="66"/>
      <c r="C517" s="18" t="s">
        <v>751</v>
      </c>
      <c r="D517" t="s">
        <v>569</v>
      </c>
      <c r="E517" s="97" t="s">
        <v>1485</v>
      </c>
      <c r="F517" s="3" t="s">
        <v>571</v>
      </c>
      <c r="H517" s="3" t="s">
        <v>547</v>
      </c>
      <c r="P517" s="106" t="s">
        <v>547</v>
      </c>
    </row>
    <row r="518" spans="1:16">
      <c r="A518" s="52"/>
      <c r="B518" s="66"/>
      <c r="C518" s="18" t="s">
        <v>753</v>
      </c>
      <c r="D518" t="s">
        <v>569</v>
      </c>
      <c r="E518" s="97" t="s">
        <v>1486</v>
      </c>
      <c r="F518" s="3" t="s">
        <v>571</v>
      </c>
      <c r="H518" s="3" t="s">
        <v>547</v>
      </c>
      <c r="P518" s="106" t="s">
        <v>547</v>
      </c>
    </row>
    <row r="519" spans="1:16">
      <c r="A519" s="52"/>
      <c r="B519" s="66"/>
      <c r="C519" s="18" t="s">
        <v>755</v>
      </c>
      <c r="D519" t="s">
        <v>569</v>
      </c>
      <c r="E519" s="97" t="s">
        <v>674</v>
      </c>
      <c r="F519" s="3" t="s">
        <v>571</v>
      </c>
      <c r="H519" s="3" t="s">
        <v>547</v>
      </c>
      <c r="P519" s="106" t="s">
        <v>547</v>
      </c>
    </row>
    <row r="520" spans="1:16">
      <c r="A520" s="52"/>
      <c r="B520" s="66"/>
      <c r="C520" s="18" t="s">
        <v>756</v>
      </c>
      <c r="D520" t="s">
        <v>569</v>
      </c>
      <c r="E520" s="97" t="s">
        <v>1487</v>
      </c>
      <c r="F520" s="3" t="s">
        <v>571</v>
      </c>
      <c r="H520" s="3" t="s">
        <v>547</v>
      </c>
      <c r="P520" s="106" t="s">
        <v>547</v>
      </c>
    </row>
    <row r="521" spans="1:16">
      <c r="A521" s="52"/>
      <c r="B521" s="66"/>
      <c r="C521" s="18" t="s">
        <v>758</v>
      </c>
      <c r="D521" t="s">
        <v>569</v>
      </c>
      <c r="E521" s="97" t="s">
        <v>1488</v>
      </c>
      <c r="F521" s="3" t="s">
        <v>571</v>
      </c>
      <c r="H521" s="3" t="s">
        <v>547</v>
      </c>
      <c r="P521" s="106" t="s">
        <v>547</v>
      </c>
    </row>
    <row r="522" spans="1:16">
      <c r="A522" s="52"/>
      <c r="B522" s="66"/>
      <c r="C522" s="18" t="s">
        <v>760</v>
      </c>
      <c r="D522" t="s">
        <v>569</v>
      </c>
      <c r="E522" s="97" t="s">
        <v>1485</v>
      </c>
      <c r="F522" s="3" t="s">
        <v>599</v>
      </c>
      <c r="H522" s="3" t="s">
        <v>547</v>
      </c>
      <c r="P522" s="106" t="s">
        <v>547</v>
      </c>
    </row>
    <row r="523" spans="1:16">
      <c r="A523" s="52"/>
      <c r="B523" s="66"/>
      <c r="C523" s="18" t="s">
        <v>761</v>
      </c>
      <c r="D523" t="s">
        <v>569</v>
      </c>
      <c r="E523" s="97" t="s">
        <v>1486</v>
      </c>
      <c r="F523" s="3" t="s">
        <v>599</v>
      </c>
      <c r="H523" s="3" t="s">
        <v>547</v>
      </c>
      <c r="P523" s="106" t="s">
        <v>547</v>
      </c>
    </row>
    <row r="524" spans="1:16">
      <c r="A524" s="52"/>
      <c r="B524" s="66"/>
      <c r="C524" s="18" t="s">
        <v>762</v>
      </c>
      <c r="D524" t="s">
        <v>569</v>
      </c>
      <c r="E524" s="97" t="s">
        <v>674</v>
      </c>
      <c r="F524" s="3" t="s">
        <v>599</v>
      </c>
      <c r="H524" s="3" t="s">
        <v>547</v>
      </c>
      <c r="P524" s="106" t="s">
        <v>547</v>
      </c>
    </row>
    <row r="525" spans="1:16">
      <c r="A525" s="52"/>
      <c r="B525" s="66"/>
      <c r="C525" s="18" t="s">
        <v>763</v>
      </c>
      <c r="D525" t="s">
        <v>569</v>
      </c>
      <c r="E525" s="97" t="s">
        <v>1487</v>
      </c>
      <c r="F525" s="3" t="s">
        <v>599</v>
      </c>
      <c r="H525" s="3" t="s">
        <v>547</v>
      </c>
      <c r="P525" s="106" t="s">
        <v>547</v>
      </c>
    </row>
    <row r="526" spans="1:16">
      <c r="A526" s="52"/>
      <c r="B526" s="66"/>
      <c r="C526" s="18" t="s">
        <v>764</v>
      </c>
      <c r="D526" t="s">
        <v>569</v>
      </c>
      <c r="E526" s="97" t="s">
        <v>1488</v>
      </c>
      <c r="F526" s="3" t="s">
        <v>599</v>
      </c>
      <c r="H526" s="3" t="s">
        <v>547</v>
      </c>
      <c r="P526" s="106" t="s">
        <v>547</v>
      </c>
    </row>
    <row r="527" spans="1:16">
      <c r="A527" s="52"/>
      <c r="B527" s="66"/>
      <c r="C527" s="18" t="s">
        <v>765</v>
      </c>
      <c r="D527" t="s">
        <v>569</v>
      </c>
      <c r="E527" s="97" t="s">
        <v>1485</v>
      </c>
      <c r="F527" s="3" t="s">
        <v>745</v>
      </c>
      <c r="H527" s="3" t="s">
        <v>547</v>
      </c>
      <c r="P527" s="106" t="s">
        <v>547</v>
      </c>
    </row>
    <row r="528" spans="1:16">
      <c r="A528" s="52"/>
      <c r="B528" s="66"/>
      <c r="C528" s="18" t="s">
        <v>766</v>
      </c>
      <c r="D528" t="s">
        <v>569</v>
      </c>
      <c r="E528" s="97" t="s">
        <v>1486</v>
      </c>
      <c r="F528" s="3" t="s">
        <v>745</v>
      </c>
      <c r="H528" s="3" t="s">
        <v>547</v>
      </c>
      <c r="P528" s="106" t="s">
        <v>547</v>
      </c>
    </row>
    <row r="529" spans="1:16">
      <c r="A529" s="52"/>
      <c r="B529" s="66"/>
      <c r="C529" s="18" t="s">
        <v>767</v>
      </c>
      <c r="D529" t="s">
        <v>569</v>
      </c>
      <c r="E529" s="97" t="s">
        <v>674</v>
      </c>
      <c r="F529" s="3" t="s">
        <v>745</v>
      </c>
      <c r="H529" s="3" t="s">
        <v>547</v>
      </c>
      <c r="P529" s="106" t="s">
        <v>547</v>
      </c>
    </row>
    <row r="530" spans="1:16">
      <c r="A530" s="52"/>
      <c r="B530" s="66"/>
      <c r="C530" s="18" t="s">
        <v>768</v>
      </c>
      <c r="D530" t="s">
        <v>569</v>
      </c>
      <c r="E530" s="97" t="s">
        <v>1487</v>
      </c>
      <c r="F530" s="3" t="s">
        <v>745</v>
      </c>
      <c r="H530" s="3" t="s">
        <v>547</v>
      </c>
      <c r="P530" s="106" t="s">
        <v>547</v>
      </c>
    </row>
    <row r="531" spans="1:16">
      <c r="A531" s="52"/>
      <c r="B531" s="66"/>
      <c r="C531" s="18" t="s">
        <v>769</v>
      </c>
      <c r="D531" t="s">
        <v>569</v>
      </c>
      <c r="E531" s="97" t="s">
        <v>1488</v>
      </c>
      <c r="F531" s="3" t="s">
        <v>745</v>
      </c>
      <c r="H531" s="3" t="s">
        <v>547</v>
      </c>
      <c r="P531" s="106" t="s">
        <v>547</v>
      </c>
    </row>
    <row r="532" spans="1:16">
      <c r="A532" s="52"/>
      <c r="B532" s="66"/>
      <c r="C532" s="18" t="s">
        <v>770</v>
      </c>
      <c r="D532" t="s">
        <v>569</v>
      </c>
      <c r="E532" s="97" t="s">
        <v>1485</v>
      </c>
      <c r="F532" s="3" t="s">
        <v>550</v>
      </c>
      <c r="H532" s="3" t="s">
        <v>547</v>
      </c>
      <c r="P532" s="106" t="s">
        <v>547</v>
      </c>
    </row>
    <row r="533" spans="1:16">
      <c r="A533" s="52"/>
      <c r="B533" s="66"/>
      <c r="C533" s="18" t="s">
        <v>771</v>
      </c>
      <c r="D533" t="s">
        <v>569</v>
      </c>
      <c r="E533" s="97" t="s">
        <v>1486</v>
      </c>
      <c r="F533" s="3" t="s">
        <v>550</v>
      </c>
      <c r="H533" s="3" t="s">
        <v>547</v>
      </c>
      <c r="P533" s="106" t="s">
        <v>547</v>
      </c>
    </row>
    <row r="534" spans="1:16">
      <c r="A534" s="52"/>
      <c r="B534" s="66"/>
      <c r="C534" s="18" t="s">
        <v>772</v>
      </c>
      <c r="D534" t="s">
        <v>569</v>
      </c>
      <c r="E534" s="97" t="s">
        <v>674</v>
      </c>
      <c r="F534" s="3" t="s">
        <v>550</v>
      </c>
      <c r="H534" s="3" t="s">
        <v>547</v>
      </c>
      <c r="P534" s="106" t="s">
        <v>547</v>
      </c>
    </row>
    <row r="535" spans="1:16">
      <c r="A535" s="52"/>
      <c r="B535" s="66"/>
      <c r="C535" s="18" t="s">
        <v>773</v>
      </c>
      <c r="D535" t="s">
        <v>569</v>
      </c>
      <c r="E535" s="97" t="s">
        <v>1487</v>
      </c>
      <c r="F535" s="3" t="s">
        <v>550</v>
      </c>
      <c r="H535" s="3" t="s">
        <v>547</v>
      </c>
      <c r="P535" s="106" t="s">
        <v>547</v>
      </c>
    </row>
    <row r="536" spans="1:16">
      <c r="A536" s="52"/>
      <c r="B536" s="66"/>
      <c r="C536" s="18" t="s">
        <v>774</v>
      </c>
      <c r="D536" t="s">
        <v>569</v>
      </c>
      <c r="E536" s="97" t="s">
        <v>1488</v>
      </c>
      <c r="F536" s="3" t="s">
        <v>550</v>
      </c>
      <c r="H536" s="3" t="s">
        <v>547</v>
      </c>
      <c r="P536" s="106" t="s">
        <v>547</v>
      </c>
    </row>
    <row r="537" spans="1:16">
      <c r="A537" s="52"/>
      <c r="B537" s="66"/>
      <c r="C537" s="18" t="s">
        <v>775</v>
      </c>
      <c r="D537" t="s">
        <v>569</v>
      </c>
      <c r="E537" s="97" t="s">
        <v>1485</v>
      </c>
      <c r="F537" s="3" t="s">
        <v>748</v>
      </c>
      <c r="H537" s="3" t="s">
        <v>547</v>
      </c>
      <c r="P537" s="106" t="s">
        <v>547</v>
      </c>
    </row>
    <row r="538" spans="1:16">
      <c r="A538" s="52"/>
      <c r="B538" s="66"/>
      <c r="C538" s="18" t="s">
        <v>776</v>
      </c>
      <c r="D538" t="s">
        <v>569</v>
      </c>
      <c r="E538" s="97" t="s">
        <v>1486</v>
      </c>
      <c r="F538" s="3" t="s">
        <v>748</v>
      </c>
      <c r="H538" s="3" t="s">
        <v>547</v>
      </c>
      <c r="P538" s="106" t="s">
        <v>547</v>
      </c>
    </row>
    <row r="539" spans="1:16">
      <c r="A539" s="52"/>
      <c r="B539" s="66"/>
      <c r="C539" s="18" t="s">
        <v>777</v>
      </c>
      <c r="D539" t="s">
        <v>569</v>
      </c>
      <c r="E539" s="97" t="s">
        <v>674</v>
      </c>
      <c r="F539" s="3" t="s">
        <v>748</v>
      </c>
      <c r="H539" s="3" t="s">
        <v>547</v>
      </c>
      <c r="P539" s="106" t="s">
        <v>547</v>
      </c>
    </row>
    <row r="540" spans="1:16">
      <c r="A540" s="52"/>
      <c r="B540" s="66"/>
      <c r="C540" s="18" t="s">
        <v>778</v>
      </c>
      <c r="D540" t="s">
        <v>569</v>
      </c>
      <c r="E540" s="97" t="s">
        <v>1487</v>
      </c>
      <c r="F540" s="3" t="s">
        <v>748</v>
      </c>
      <c r="H540" s="3" t="s">
        <v>547</v>
      </c>
      <c r="P540" s="106" t="s">
        <v>547</v>
      </c>
    </row>
    <row r="541" spans="1:16">
      <c r="A541" s="52"/>
      <c r="B541" s="66"/>
      <c r="C541" s="18" t="s">
        <v>779</v>
      </c>
      <c r="D541" t="s">
        <v>569</v>
      </c>
      <c r="E541" s="97" t="s">
        <v>1488</v>
      </c>
      <c r="F541" s="3" t="s">
        <v>748</v>
      </c>
      <c r="H541" s="3" t="s">
        <v>547</v>
      </c>
      <c r="P541" s="106" t="s">
        <v>547</v>
      </c>
    </row>
    <row r="542" spans="1:16">
      <c r="A542" s="52"/>
      <c r="B542" s="66"/>
      <c r="C542" s="18" t="s">
        <v>780</v>
      </c>
      <c r="D542" t="s">
        <v>569</v>
      </c>
      <c r="E542" s="97" t="s">
        <v>1485</v>
      </c>
      <c r="F542" s="3" t="s">
        <v>620</v>
      </c>
      <c r="H542" s="3" t="s">
        <v>547</v>
      </c>
      <c r="P542" s="106" t="s">
        <v>547</v>
      </c>
    </row>
    <row r="543" spans="1:16">
      <c r="A543" s="52"/>
      <c r="B543" s="66"/>
      <c r="C543" s="18" t="s">
        <v>781</v>
      </c>
      <c r="D543" t="s">
        <v>569</v>
      </c>
      <c r="E543" s="97" t="s">
        <v>1486</v>
      </c>
      <c r="F543" s="3" t="s">
        <v>620</v>
      </c>
      <c r="H543" s="3" t="s">
        <v>547</v>
      </c>
      <c r="P543" s="106" t="s">
        <v>547</v>
      </c>
    </row>
    <row r="544" spans="1:16">
      <c r="A544" s="52"/>
      <c r="B544" s="66"/>
      <c r="C544" s="18" t="s">
        <v>782</v>
      </c>
      <c r="D544" t="s">
        <v>569</v>
      </c>
      <c r="E544" s="97" t="s">
        <v>674</v>
      </c>
      <c r="F544" s="3" t="s">
        <v>620</v>
      </c>
      <c r="H544" s="3" t="s">
        <v>547</v>
      </c>
      <c r="P544" s="106" t="s">
        <v>547</v>
      </c>
    </row>
    <row r="545" spans="1:16">
      <c r="A545" s="52"/>
      <c r="B545" s="66"/>
      <c r="C545" s="18" t="s">
        <v>783</v>
      </c>
      <c r="D545" t="s">
        <v>569</v>
      </c>
      <c r="E545" s="97" t="s">
        <v>1487</v>
      </c>
      <c r="F545" s="3" t="s">
        <v>620</v>
      </c>
      <c r="H545" s="3" t="s">
        <v>547</v>
      </c>
      <c r="P545" s="106" t="s">
        <v>547</v>
      </c>
    </row>
    <row r="546" spans="1:16">
      <c r="A546" s="52"/>
      <c r="B546" s="66"/>
      <c r="C546" s="18" t="s">
        <v>784</v>
      </c>
      <c r="D546" t="s">
        <v>569</v>
      </c>
      <c r="E546" s="97" t="s">
        <v>1488</v>
      </c>
      <c r="F546" s="3" t="s">
        <v>620</v>
      </c>
      <c r="H546" s="3" t="s">
        <v>547</v>
      </c>
      <c r="P546" s="106" t="s">
        <v>547</v>
      </c>
    </row>
    <row r="547" spans="1:16">
      <c r="A547" s="52"/>
      <c r="B547" s="66"/>
      <c r="C547" s="18" t="s">
        <v>785</v>
      </c>
      <c r="D547" t="s">
        <v>569</v>
      </c>
      <c r="E547" s="97" t="s">
        <v>1485</v>
      </c>
      <c r="F547" s="3" t="s">
        <v>576</v>
      </c>
      <c r="H547" s="3" t="s">
        <v>547</v>
      </c>
      <c r="P547" s="106" t="s">
        <v>547</v>
      </c>
    </row>
    <row r="548" spans="1:16">
      <c r="A548" s="52"/>
      <c r="B548" s="66"/>
      <c r="C548" s="18" t="s">
        <v>786</v>
      </c>
      <c r="D548" t="s">
        <v>569</v>
      </c>
      <c r="E548" s="97" t="s">
        <v>1486</v>
      </c>
      <c r="F548" s="3" t="s">
        <v>576</v>
      </c>
      <c r="H548" s="3" t="s">
        <v>547</v>
      </c>
      <c r="P548" s="106" t="s">
        <v>547</v>
      </c>
    </row>
    <row r="549" spans="1:16">
      <c r="A549" s="52"/>
      <c r="B549" s="66"/>
      <c r="C549" s="18" t="s">
        <v>787</v>
      </c>
      <c r="D549" t="s">
        <v>569</v>
      </c>
      <c r="E549" s="97" t="s">
        <v>674</v>
      </c>
      <c r="F549" s="3" t="s">
        <v>576</v>
      </c>
      <c r="H549" s="3" t="s">
        <v>547</v>
      </c>
      <c r="P549" s="106" t="s">
        <v>547</v>
      </c>
    </row>
    <row r="550" spans="1:16">
      <c r="A550" s="52"/>
      <c r="B550" s="66"/>
      <c r="C550" s="18" t="s">
        <v>788</v>
      </c>
      <c r="D550" t="s">
        <v>569</v>
      </c>
      <c r="E550" s="97" t="s">
        <v>1487</v>
      </c>
      <c r="F550" s="3" t="s">
        <v>576</v>
      </c>
      <c r="H550" s="3" t="s">
        <v>547</v>
      </c>
      <c r="P550" s="106" t="s">
        <v>547</v>
      </c>
    </row>
    <row r="551" spans="1:16">
      <c r="A551" s="52"/>
      <c r="B551" s="66"/>
      <c r="C551" s="18" t="s">
        <v>789</v>
      </c>
      <c r="D551" t="s">
        <v>569</v>
      </c>
      <c r="E551" s="97" t="s">
        <v>1488</v>
      </c>
      <c r="F551" s="3" t="s">
        <v>576</v>
      </c>
      <c r="H551" s="3" t="s">
        <v>547</v>
      </c>
      <c r="P551" s="106" t="s">
        <v>547</v>
      </c>
    </row>
    <row r="552" spans="1:16">
      <c r="A552" s="52"/>
      <c r="B552" s="66"/>
      <c r="C552" s="18" t="s">
        <v>790</v>
      </c>
    </row>
    <row r="553" spans="1:16">
      <c r="A553" s="52"/>
      <c r="B553" s="66"/>
      <c r="C553" s="18" t="s">
        <v>791</v>
      </c>
    </row>
    <row r="554" spans="1:16">
      <c r="A554" s="52"/>
      <c r="B554" s="66"/>
      <c r="C554" s="18" t="s">
        <v>792</v>
      </c>
    </row>
    <row r="555" spans="1:16">
      <c r="A555" s="52"/>
      <c r="B555" s="66"/>
      <c r="C555" s="18" t="s">
        <v>793</v>
      </c>
    </row>
    <row r="556" spans="1:16">
      <c r="A556" s="52"/>
      <c r="B556" s="66"/>
      <c r="C556" s="18" t="s">
        <v>794</v>
      </c>
    </row>
    <row r="557" spans="1:16">
      <c r="A557" s="52"/>
      <c r="B557" s="66"/>
      <c r="C557" s="18" t="s">
        <v>795</v>
      </c>
    </row>
    <row r="558" spans="1:16">
      <c r="A558" s="52"/>
      <c r="B558" s="66"/>
      <c r="C558" s="18" t="s">
        <v>796</v>
      </c>
    </row>
    <row r="559" spans="1:16">
      <c r="A559" s="52"/>
      <c r="B559" s="66"/>
      <c r="C559" s="18" t="s">
        <v>797</v>
      </c>
    </row>
    <row r="560" spans="1:16">
      <c r="A560" s="52"/>
      <c r="B560" s="66"/>
      <c r="C560" s="18" t="s">
        <v>798</v>
      </c>
    </row>
    <row r="561" spans="1:3">
      <c r="A561" s="52"/>
      <c r="B561" s="66"/>
      <c r="C561" s="18" t="s">
        <v>799</v>
      </c>
    </row>
    <row r="562" spans="1:3">
      <c r="A562" s="52"/>
      <c r="B562" s="66"/>
      <c r="C562" s="18" t="s">
        <v>800</v>
      </c>
    </row>
    <row r="563" spans="1:3">
      <c r="A563" s="52"/>
      <c r="B563" s="66"/>
      <c r="C563" s="18" t="s">
        <v>801</v>
      </c>
    </row>
    <row r="564" spans="1:3">
      <c r="A564" s="52"/>
      <c r="B564" s="66"/>
      <c r="C564" s="18" t="s">
        <v>802</v>
      </c>
    </row>
    <row r="565" spans="1:3">
      <c r="A565" s="52"/>
      <c r="B565" s="66"/>
      <c r="C565" s="18" t="s">
        <v>803</v>
      </c>
    </row>
    <row r="566" spans="1:3">
      <c r="A566" s="52"/>
      <c r="B566" s="66"/>
      <c r="C566" s="18" t="s">
        <v>804</v>
      </c>
    </row>
    <row r="567" spans="1:3">
      <c r="A567" s="52"/>
      <c r="B567" s="66"/>
      <c r="C567" s="18" t="s">
        <v>805</v>
      </c>
    </row>
    <row r="568" spans="1:3">
      <c r="A568" s="52"/>
      <c r="B568" s="66"/>
      <c r="C568" s="18" t="s">
        <v>806</v>
      </c>
    </row>
    <row r="569" spans="1:3">
      <c r="A569" s="52"/>
      <c r="B569" s="66"/>
      <c r="C569" s="18" t="s">
        <v>807</v>
      </c>
    </row>
    <row r="570" spans="1:3">
      <c r="A570" s="52"/>
      <c r="B570" s="66"/>
      <c r="C570" s="18" t="s">
        <v>808</v>
      </c>
    </row>
    <row r="571" spans="1:3">
      <c r="A571" s="52"/>
      <c r="B571" s="66"/>
      <c r="C571" s="18" t="s">
        <v>809</v>
      </c>
    </row>
    <row r="572" spans="1:3">
      <c r="A572" s="52"/>
      <c r="B572" s="66"/>
      <c r="C572" s="18" t="s">
        <v>810</v>
      </c>
    </row>
    <row r="573" spans="1:3">
      <c r="A573" s="52"/>
      <c r="B573" s="66"/>
      <c r="C573" s="18" t="s">
        <v>811</v>
      </c>
    </row>
    <row r="574" spans="1:3">
      <c r="A574" s="52"/>
      <c r="B574" s="66"/>
      <c r="C574" s="18" t="s">
        <v>812</v>
      </c>
    </row>
    <row r="575" spans="1:3">
      <c r="A575" s="52"/>
      <c r="B575" s="66"/>
      <c r="C575" s="18" t="s">
        <v>813</v>
      </c>
    </row>
    <row r="576" spans="1:3">
      <c r="A576" s="52"/>
      <c r="B576" s="66"/>
      <c r="C576" s="18" t="s">
        <v>814</v>
      </c>
    </row>
    <row r="577" spans="1:3">
      <c r="A577" s="52"/>
      <c r="B577" s="66"/>
      <c r="C577" s="18" t="s">
        <v>815</v>
      </c>
    </row>
    <row r="578" spans="1:3">
      <c r="A578" s="52"/>
      <c r="B578" s="66"/>
      <c r="C578" s="18" t="s">
        <v>816</v>
      </c>
    </row>
    <row r="579" spans="1:3">
      <c r="A579" s="52"/>
      <c r="B579" s="66"/>
      <c r="C579" s="18" t="s">
        <v>817</v>
      </c>
    </row>
    <row r="580" spans="1:3">
      <c r="A580" s="52"/>
      <c r="B580" s="66"/>
      <c r="C580" s="18" t="s">
        <v>818</v>
      </c>
    </row>
    <row r="581" spans="1:3">
      <c r="A581" s="52"/>
      <c r="B581" s="66"/>
      <c r="C581" s="18" t="s">
        <v>819</v>
      </c>
    </row>
    <row r="582" spans="1:3">
      <c r="A582" s="52"/>
      <c r="B582" s="66"/>
      <c r="C582" s="18" t="s">
        <v>820</v>
      </c>
    </row>
    <row r="583" spans="1:3">
      <c r="A583" s="52"/>
      <c r="B583" s="66"/>
      <c r="C583" s="18" t="s">
        <v>821</v>
      </c>
    </row>
    <row r="584" spans="1:3">
      <c r="A584" s="52"/>
      <c r="B584" s="66"/>
      <c r="C584" s="18" t="s">
        <v>822</v>
      </c>
    </row>
    <row r="585" spans="1:3">
      <c r="A585" s="52"/>
      <c r="B585" s="66"/>
      <c r="C585" s="18" t="s">
        <v>823</v>
      </c>
    </row>
    <row r="586" spans="1:3">
      <c r="A586" s="52"/>
      <c r="B586" s="66"/>
      <c r="C586" s="18" t="s">
        <v>824</v>
      </c>
    </row>
    <row r="587" spans="1:3">
      <c r="A587" s="52"/>
      <c r="B587" s="66"/>
      <c r="C587" s="18" t="s">
        <v>825</v>
      </c>
    </row>
    <row r="588" spans="1:3">
      <c r="A588" s="52"/>
      <c r="B588" s="66"/>
      <c r="C588" s="18" t="s">
        <v>826</v>
      </c>
    </row>
    <row r="589" spans="1:3">
      <c r="A589" s="52"/>
      <c r="B589" s="66"/>
      <c r="C589" s="18" t="s">
        <v>827</v>
      </c>
    </row>
    <row r="590" spans="1:3">
      <c r="A590" s="52"/>
      <c r="B590" s="66"/>
      <c r="C590" s="18" t="s">
        <v>828</v>
      </c>
    </row>
    <row r="591" spans="1:3">
      <c r="A591" s="52"/>
      <c r="B591" s="66"/>
      <c r="C591" s="18" t="s">
        <v>829</v>
      </c>
    </row>
    <row r="592" spans="1:3">
      <c r="A592" s="52"/>
      <c r="B592" s="66"/>
      <c r="C592" s="18" t="s">
        <v>830</v>
      </c>
    </row>
    <row r="593" spans="1:16">
      <c r="A593" s="52"/>
      <c r="B593" s="66"/>
      <c r="C593" s="18" t="s">
        <v>831</v>
      </c>
    </row>
    <row r="594" spans="1:16">
      <c r="A594" s="52"/>
      <c r="B594" s="66"/>
      <c r="C594" s="18" t="s">
        <v>832</v>
      </c>
    </row>
    <row r="595" spans="1:16">
      <c r="A595" s="52"/>
      <c r="B595" s="66"/>
      <c r="C595" s="18" t="s">
        <v>833</v>
      </c>
    </row>
    <row r="596" spans="1:16">
      <c r="A596" s="52"/>
      <c r="B596" s="66"/>
      <c r="C596" s="18" t="s">
        <v>834</v>
      </c>
    </row>
    <row r="597" spans="1:16">
      <c r="A597" s="52"/>
      <c r="B597" s="66"/>
      <c r="C597" s="18" t="s">
        <v>741</v>
      </c>
      <c r="D597" t="s">
        <v>543</v>
      </c>
      <c r="J597" s="97" t="s">
        <v>1484</v>
      </c>
      <c r="K597" s="3" t="s">
        <v>571</v>
      </c>
      <c r="L597" s="3" t="s">
        <v>546</v>
      </c>
      <c r="M597" s="3" t="s">
        <v>547</v>
      </c>
      <c r="N597" s="56" t="s">
        <v>546</v>
      </c>
      <c r="P597" s="106" t="s">
        <v>547</v>
      </c>
    </row>
    <row r="598" spans="1:16">
      <c r="A598" s="52"/>
      <c r="B598" s="66"/>
      <c r="C598" s="18" t="s">
        <v>743</v>
      </c>
      <c r="D598" t="s">
        <v>543</v>
      </c>
      <c r="J598" s="97" t="s">
        <v>1484</v>
      </c>
      <c r="K598" s="3" t="s">
        <v>599</v>
      </c>
      <c r="L598" s="3" t="s">
        <v>546</v>
      </c>
      <c r="M598" s="3" t="s">
        <v>547</v>
      </c>
      <c r="N598" s="56" t="s">
        <v>546</v>
      </c>
      <c r="P598" s="106" t="s">
        <v>547</v>
      </c>
    </row>
    <row r="599" spans="1:16">
      <c r="A599" s="52"/>
      <c r="B599" s="66"/>
      <c r="C599" s="18" t="s">
        <v>744</v>
      </c>
      <c r="D599" t="s">
        <v>543</v>
      </c>
      <c r="J599" s="97" t="s">
        <v>1484</v>
      </c>
      <c r="K599" s="3" t="s">
        <v>745</v>
      </c>
      <c r="L599" s="3" t="s">
        <v>546</v>
      </c>
      <c r="M599" s="3" t="s">
        <v>547</v>
      </c>
      <c r="N599" s="56" t="s">
        <v>546</v>
      </c>
      <c r="P599" s="106" t="s">
        <v>547</v>
      </c>
    </row>
    <row r="600" spans="1:16">
      <c r="A600" s="52"/>
      <c r="B600" s="66"/>
      <c r="C600" s="18" t="s">
        <v>746</v>
      </c>
      <c r="D600" t="s">
        <v>543</v>
      </c>
      <c r="J600" s="97" t="s">
        <v>1484</v>
      </c>
      <c r="K600" s="3" t="s">
        <v>550</v>
      </c>
      <c r="L600" s="3" t="s">
        <v>546</v>
      </c>
      <c r="M600" s="3" t="s">
        <v>547</v>
      </c>
      <c r="N600" s="56" t="s">
        <v>546</v>
      </c>
      <c r="P600" s="106" t="s">
        <v>547</v>
      </c>
    </row>
    <row r="601" spans="1:16">
      <c r="A601" s="52"/>
      <c r="B601" s="66"/>
      <c r="C601" s="18" t="s">
        <v>747</v>
      </c>
      <c r="D601" t="s">
        <v>543</v>
      </c>
      <c r="J601" s="97" t="s">
        <v>1484</v>
      </c>
      <c r="K601" s="3" t="s">
        <v>748</v>
      </c>
      <c r="L601" s="3" t="s">
        <v>546</v>
      </c>
      <c r="M601" s="3" t="s">
        <v>547</v>
      </c>
      <c r="N601" s="56" t="s">
        <v>546</v>
      </c>
      <c r="P601" s="106" t="s">
        <v>547</v>
      </c>
    </row>
    <row r="602" spans="1:16">
      <c r="A602" s="52"/>
      <c r="B602" s="66"/>
      <c r="C602" s="18" t="s">
        <v>749</v>
      </c>
      <c r="D602" t="s">
        <v>543</v>
      </c>
      <c r="J602" s="97" t="s">
        <v>1484</v>
      </c>
      <c r="K602" s="3" t="s">
        <v>620</v>
      </c>
      <c r="L602" s="3" t="s">
        <v>546</v>
      </c>
      <c r="M602" s="3" t="s">
        <v>547</v>
      </c>
      <c r="N602" s="56" t="s">
        <v>546</v>
      </c>
      <c r="P602" s="106" t="s">
        <v>547</v>
      </c>
    </row>
    <row r="603" spans="1:16">
      <c r="A603" s="52"/>
      <c r="B603" s="66"/>
      <c r="C603" s="18" t="s">
        <v>750</v>
      </c>
      <c r="D603" t="s">
        <v>543</v>
      </c>
      <c r="J603" s="97" t="s">
        <v>1484</v>
      </c>
      <c r="K603" s="3" t="s">
        <v>576</v>
      </c>
      <c r="L603" s="3" t="s">
        <v>546</v>
      </c>
      <c r="M603" s="3" t="s">
        <v>547</v>
      </c>
      <c r="N603" s="56" t="s">
        <v>546</v>
      </c>
      <c r="P603" s="106" t="s">
        <v>547</v>
      </c>
    </row>
    <row r="604" spans="1:16">
      <c r="A604" s="52"/>
      <c r="B604" s="66"/>
      <c r="C604" s="18" t="s">
        <v>751</v>
      </c>
      <c r="D604" t="s">
        <v>569</v>
      </c>
      <c r="J604" s="97" t="s">
        <v>1485</v>
      </c>
      <c r="K604" s="3" t="s">
        <v>571</v>
      </c>
      <c r="L604" s="3"/>
      <c r="M604" s="3" t="s">
        <v>547</v>
      </c>
      <c r="N604" s="56"/>
      <c r="P604" s="106" t="s">
        <v>547</v>
      </c>
    </row>
    <row r="605" spans="1:16">
      <c r="A605" s="52"/>
      <c r="B605" s="66"/>
      <c r="C605" s="18" t="s">
        <v>753</v>
      </c>
      <c r="D605" t="s">
        <v>569</v>
      </c>
      <c r="J605" s="97" t="s">
        <v>1486</v>
      </c>
      <c r="K605" s="3" t="s">
        <v>571</v>
      </c>
      <c r="L605" s="3"/>
      <c r="M605" s="3" t="s">
        <v>547</v>
      </c>
      <c r="N605" s="56"/>
      <c r="P605" s="106" t="s">
        <v>547</v>
      </c>
    </row>
    <row r="606" spans="1:16">
      <c r="A606" s="52"/>
      <c r="B606" s="66"/>
      <c r="C606" s="18" t="s">
        <v>755</v>
      </c>
      <c r="D606" t="s">
        <v>569</v>
      </c>
      <c r="J606" s="97" t="s">
        <v>674</v>
      </c>
      <c r="K606" s="3" t="s">
        <v>571</v>
      </c>
      <c r="L606" s="3"/>
      <c r="M606" s="3" t="s">
        <v>547</v>
      </c>
      <c r="N606" s="56"/>
      <c r="P606" s="106" t="s">
        <v>547</v>
      </c>
    </row>
    <row r="607" spans="1:16">
      <c r="A607" s="52"/>
      <c r="B607" s="66"/>
      <c r="C607" s="18" t="s">
        <v>756</v>
      </c>
      <c r="D607" t="s">
        <v>569</v>
      </c>
      <c r="J607" s="97" t="s">
        <v>1487</v>
      </c>
      <c r="K607" s="3" t="s">
        <v>571</v>
      </c>
      <c r="L607" s="3"/>
      <c r="M607" s="3" t="s">
        <v>547</v>
      </c>
      <c r="N607" s="56"/>
      <c r="P607" s="106" t="s">
        <v>547</v>
      </c>
    </row>
    <row r="608" spans="1:16">
      <c r="A608" s="52"/>
      <c r="B608" s="66"/>
      <c r="C608" s="18" t="s">
        <v>758</v>
      </c>
      <c r="D608" t="s">
        <v>569</v>
      </c>
      <c r="J608" s="97" t="s">
        <v>1488</v>
      </c>
      <c r="K608" s="3" t="s">
        <v>571</v>
      </c>
      <c r="L608" s="3"/>
      <c r="M608" s="3" t="s">
        <v>547</v>
      </c>
      <c r="N608" s="56"/>
      <c r="P608" s="106" t="s">
        <v>547</v>
      </c>
    </row>
    <row r="609" spans="1:16">
      <c r="A609" s="52"/>
      <c r="B609" s="66"/>
      <c r="C609" s="18" t="s">
        <v>760</v>
      </c>
      <c r="D609" t="s">
        <v>569</v>
      </c>
      <c r="J609" s="97" t="s">
        <v>1485</v>
      </c>
      <c r="K609" s="3" t="s">
        <v>599</v>
      </c>
      <c r="L609" s="3"/>
      <c r="M609" s="3" t="s">
        <v>547</v>
      </c>
      <c r="N609" s="56"/>
      <c r="P609" s="106" t="s">
        <v>547</v>
      </c>
    </row>
    <row r="610" spans="1:16">
      <c r="A610" s="52"/>
      <c r="B610" s="66"/>
      <c r="C610" s="18" t="s">
        <v>761</v>
      </c>
      <c r="D610" t="s">
        <v>569</v>
      </c>
      <c r="J610" s="97" t="s">
        <v>1486</v>
      </c>
      <c r="K610" s="3" t="s">
        <v>599</v>
      </c>
      <c r="L610" s="3"/>
      <c r="M610" s="3" t="s">
        <v>547</v>
      </c>
      <c r="N610" s="56"/>
      <c r="P610" s="106" t="s">
        <v>547</v>
      </c>
    </row>
    <row r="611" spans="1:16">
      <c r="A611" s="52"/>
      <c r="B611" s="66"/>
      <c r="C611" s="18" t="s">
        <v>762</v>
      </c>
      <c r="D611" t="s">
        <v>569</v>
      </c>
      <c r="J611" s="97" t="s">
        <v>674</v>
      </c>
      <c r="K611" s="3" t="s">
        <v>599</v>
      </c>
      <c r="L611" s="3"/>
      <c r="M611" s="3" t="s">
        <v>547</v>
      </c>
      <c r="N611" s="56"/>
      <c r="P611" s="106" t="s">
        <v>547</v>
      </c>
    </row>
    <row r="612" spans="1:16">
      <c r="A612" s="52"/>
      <c r="B612" s="66"/>
      <c r="C612" s="18" t="s">
        <v>763</v>
      </c>
      <c r="D612" t="s">
        <v>569</v>
      </c>
      <c r="J612" s="97" t="s">
        <v>1487</v>
      </c>
      <c r="K612" s="3" t="s">
        <v>599</v>
      </c>
      <c r="L612" s="3"/>
      <c r="M612" s="3" t="s">
        <v>547</v>
      </c>
      <c r="N612" s="56"/>
      <c r="P612" s="106" t="s">
        <v>547</v>
      </c>
    </row>
    <row r="613" spans="1:16">
      <c r="A613" s="52"/>
      <c r="B613" s="66"/>
      <c r="C613" s="18" t="s">
        <v>764</v>
      </c>
      <c r="D613" t="s">
        <v>569</v>
      </c>
      <c r="J613" s="97" t="s">
        <v>1488</v>
      </c>
      <c r="K613" s="3" t="s">
        <v>599</v>
      </c>
      <c r="L613" s="3"/>
      <c r="M613" s="3" t="s">
        <v>547</v>
      </c>
      <c r="N613" s="56"/>
      <c r="P613" s="106" t="s">
        <v>547</v>
      </c>
    </row>
    <row r="614" spans="1:16">
      <c r="A614" s="52"/>
      <c r="B614" s="66"/>
      <c r="C614" s="18" t="s">
        <v>765</v>
      </c>
      <c r="D614" t="s">
        <v>569</v>
      </c>
      <c r="J614" s="97" t="s">
        <v>1485</v>
      </c>
      <c r="K614" s="3" t="s">
        <v>745</v>
      </c>
      <c r="L614" s="3"/>
      <c r="M614" s="3" t="s">
        <v>547</v>
      </c>
      <c r="N614" s="56"/>
      <c r="P614" s="106" t="s">
        <v>547</v>
      </c>
    </row>
    <row r="615" spans="1:16">
      <c r="A615" s="52"/>
      <c r="B615" s="66"/>
      <c r="C615" s="18" t="s">
        <v>766</v>
      </c>
      <c r="D615" t="s">
        <v>569</v>
      </c>
      <c r="J615" s="97" t="s">
        <v>1486</v>
      </c>
      <c r="K615" s="3" t="s">
        <v>745</v>
      </c>
      <c r="L615" s="3"/>
      <c r="M615" s="3" t="s">
        <v>547</v>
      </c>
      <c r="N615" s="56"/>
      <c r="P615" s="106" t="s">
        <v>547</v>
      </c>
    </row>
    <row r="616" spans="1:16">
      <c r="A616" s="52"/>
      <c r="B616" s="66"/>
      <c r="C616" s="18" t="s">
        <v>767</v>
      </c>
      <c r="D616" t="s">
        <v>569</v>
      </c>
      <c r="J616" s="97" t="s">
        <v>674</v>
      </c>
      <c r="K616" s="3" t="s">
        <v>745</v>
      </c>
      <c r="L616" s="3"/>
      <c r="M616" s="3" t="s">
        <v>547</v>
      </c>
      <c r="N616" s="56"/>
      <c r="P616" s="106" t="s">
        <v>547</v>
      </c>
    </row>
    <row r="617" spans="1:16">
      <c r="A617" s="52"/>
      <c r="B617" s="66"/>
      <c r="C617" s="18" t="s">
        <v>768</v>
      </c>
      <c r="D617" t="s">
        <v>569</v>
      </c>
      <c r="J617" s="97" t="s">
        <v>1487</v>
      </c>
      <c r="K617" s="3" t="s">
        <v>745</v>
      </c>
      <c r="L617" s="3"/>
      <c r="M617" s="3" t="s">
        <v>547</v>
      </c>
      <c r="N617" s="56"/>
      <c r="P617" s="106" t="s">
        <v>547</v>
      </c>
    </row>
    <row r="618" spans="1:16">
      <c r="A618" s="52"/>
      <c r="B618" s="66"/>
      <c r="C618" s="18" t="s">
        <v>769</v>
      </c>
      <c r="D618" t="s">
        <v>569</v>
      </c>
      <c r="J618" s="97" t="s">
        <v>1488</v>
      </c>
      <c r="K618" s="3" t="s">
        <v>745</v>
      </c>
      <c r="L618" s="3"/>
      <c r="M618" s="3" t="s">
        <v>547</v>
      </c>
      <c r="N618" s="56"/>
      <c r="P618" s="106" t="s">
        <v>547</v>
      </c>
    </row>
    <row r="619" spans="1:16">
      <c r="A619" s="52"/>
      <c r="B619" s="66"/>
      <c r="C619" s="18" t="s">
        <v>770</v>
      </c>
      <c r="D619" t="s">
        <v>569</v>
      </c>
      <c r="J619" s="97" t="s">
        <v>1485</v>
      </c>
      <c r="K619" s="3" t="s">
        <v>550</v>
      </c>
      <c r="L619" s="3"/>
      <c r="M619" s="3" t="s">
        <v>547</v>
      </c>
      <c r="N619" s="56"/>
      <c r="P619" s="106" t="s">
        <v>547</v>
      </c>
    </row>
    <row r="620" spans="1:16">
      <c r="A620" s="52"/>
      <c r="B620" s="66"/>
      <c r="C620" s="18" t="s">
        <v>771</v>
      </c>
      <c r="D620" t="s">
        <v>569</v>
      </c>
      <c r="J620" s="97" t="s">
        <v>1486</v>
      </c>
      <c r="K620" s="3" t="s">
        <v>550</v>
      </c>
      <c r="L620" s="3"/>
      <c r="M620" s="3" t="s">
        <v>547</v>
      </c>
      <c r="N620" s="56"/>
      <c r="P620" s="106" t="s">
        <v>547</v>
      </c>
    </row>
    <row r="621" spans="1:16">
      <c r="A621" s="52"/>
      <c r="B621" s="66"/>
      <c r="C621" s="18" t="s">
        <v>772</v>
      </c>
      <c r="D621" t="s">
        <v>569</v>
      </c>
      <c r="J621" s="97" t="s">
        <v>674</v>
      </c>
      <c r="K621" s="3" t="s">
        <v>550</v>
      </c>
      <c r="L621" s="3"/>
      <c r="M621" s="3" t="s">
        <v>547</v>
      </c>
      <c r="N621" s="56"/>
      <c r="P621" s="106" t="s">
        <v>547</v>
      </c>
    </row>
    <row r="622" spans="1:16">
      <c r="A622" s="52"/>
      <c r="B622" s="66"/>
      <c r="C622" s="18" t="s">
        <v>773</v>
      </c>
      <c r="D622" t="s">
        <v>569</v>
      </c>
      <c r="J622" s="97" t="s">
        <v>1487</v>
      </c>
      <c r="K622" s="3" t="s">
        <v>550</v>
      </c>
      <c r="L622" s="3"/>
      <c r="M622" s="3" t="s">
        <v>547</v>
      </c>
      <c r="N622" s="56"/>
      <c r="P622" s="106" t="s">
        <v>547</v>
      </c>
    </row>
    <row r="623" spans="1:16">
      <c r="A623" s="52"/>
      <c r="B623" s="66"/>
      <c r="C623" s="18" t="s">
        <v>774</v>
      </c>
      <c r="D623" t="s">
        <v>569</v>
      </c>
      <c r="J623" s="97" t="s">
        <v>1488</v>
      </c>
      <c r="K623" s="3" t="s">
        <v>550</v>
      </c>
      <c r="L623" s="3"/>
      <c r="M623" s="3" t="s">
        <v>547</v>
      </c>
      <c r="N623" s="56"/>
      <c r="P623" s="106" t="s">
        <v>547</v>
      </c>
    </row>
    <row r="624" spans="1:16">
      <c r="A624" s="52"/>
      <c r="B624" s="66"/>
      <c r="C624" s="18" t="s">
        <v>775</v>
      </c>
      <c r="D624" t="s">
        <v>569</v>
      </c>
      <c r="J624" s="97" t="s">
        <v>1485</v>
      </c>
      <c r="K624" s="3" t="s">
        <v>748</v>
      </c>
      <c r="L624" s="3"/>
      <c r="M624" s="3" t="s">
        <v>547</v>
      </c>
      <c r="N624" s="56"/>
      <c r="P624" s="106" t="s">
        <v>547</v>
      </c>
    </row>
    <row r="625" spans="1:16">
      <c r="A625" s="52"/>
      <c r="B625" s="66"/>
      <c r="C625" s="18" t="s">
        <v>776</v>
      </c>
      <c r="D625" t="s">
        <v>569</v>
      </c>
      <c r="J625" s="97" t="s">
        <v>1486</v>
      </c>
      <c r="K625" s="3" t="s">
        <v>748</v>
      </c>
      <c r="L625" s="3"/>
      <c r="M625" s="3" t="s">
        <v>547</v>
      </c>
      <c r="N625" s="56"/>
      <c r="P625" s="106" t="s">
        <v>547</v>
      </c>
    </row>
    <row r="626" spans="1:16">
      <c r="A626" s="52"/>
      <c r="B626" s="66"/>
      <c r="C626" s="18" t="s">
        <v>777</v>
      </c>
      <c r="D626" t="s">
        <v>569</v>
      </c>
      <c r="J626" s="97" t="s">
        <v>674</v>
      </c>
      <c r="K626" s="3" t="s">
        <v>748</v>
      </c>
      <c r="L626" s="3"/>
      <c r="M626" s="3" t="s">
        <v>547</v>
      </c>
      <c r="N626" s="56"/>
      <c r="P626" s="106" t="s">
        <v>547</v>
      </c>
    </row>
    <row r="627" spans="1:16">
      <c r="A627" s="52"/>
      <c r="B627" s="66"/>
      <c r="C627" s="18" t="s">
        <v>778</v>
      </c>
      <c r="D627" t="s">
        <v>569</v>
      </c>
      <c r="J627" s="97" t="s">
        <v>1487</v>
      </c>
      <c r="K627" s="3" t="s">
        <v>748</v>
      </c>
      <c r="L627" s="3"/>
      <c r="M627" s="3" t="s">
        <v>547</v>
      </c>
      <c r="N627" s="56"/>
      <c r="P627" s="106" t="s">
        <v>547</v>
      </c>
    </row>
    <row r="628" spans="1:16">
      <c r="A628" s="52"/>
      <c r="B628" s="66"/>
      <c r="C628" s="18" t="s">
        <v>779</v>
      </c>
      <c r="D628" t="s">
        <v>569</v>
      </c>
      <c r="J628" s="97" t="s">
        <v>1488</v>
      </c>
      <c r="K628" s="3" t="s">
        <v>748</v>
      </c>
      <c r="L628" s="3"/>
      <c r="M628" s="3" t="s">
        <v>547</v>
      </c>
      <c r="N628" s="56"/>
      <c r="P628" s="106" t="s">
        <v>547</v>
      </c>
    </row>
    <row r="629" spans="1:16">
      <c r="A629" s="52"/>
      <c r="B629" s="66"/>
      <c r="C629" s="18" t="s">
        <v>780</v>
      </c>
      <c r="D629" t="s">
        <v>569</v>
      </c>
      <c r="J629" s="97" t="s">
        <v>1485</v>
      </c>
      <c r="K629" s="3" t="s">
        <v>620</v>
      </c>
      <c r="L629" s="3"/>
      <c r="M629" s="3" t="s">
        <v>547</v>
      </c>
      <c r="N629" s="56"/>
      <c r="P629" s="106" t="s">
        <v>547</v>
      </c>
    </row>
    <row r="630" spans="1:16">
      <c r="A630" s="52"/>
      <c r="B630" s="66"/>
      <c r="C630" s="18" t="s">
        <v>781</v>
      </c>
      <c r="D630" t="s">
        <v>569</v>
      </c>
      <c r="J630" s="97" t="s">
        <v>1486</v>
      </c>
      <c r="K630" s="3" t="s">
        <v>620</v>
      </c>
      <c r="L630" s="3"/>
      <c r="M630" s="3" t="s">
        <v>547</v>
      </c>
      <c r="N630" s="56"/>
      <c r="P630" s="106" t="s">
        <v>547</v>
      </c>
    </row>
    <row r="631" spans="1:16">
      <c r="A631" s="52"/>
      <c r="B631" s="66"/>
      <c r="C631" s="18" t="s">
        <v>782</v>
      </c>
      <c r="D631" t="s">
        <v>569</v>
      </c>
      <c r="J631" s="97" t="s">
        <v>674</v>
      </c>
      <c r="K631" s="3" t="s">
        <v>620</v>
      </c>
      <c r="L631" s="3"/>
      <c r="M631" s="3" t="s">
        <v>547</v>
      </c>
      <c r="N631" s="56"/>
      <c r="P631" s="106" t="s">
        <v>547</v>
      </c>
    </row>
    <row r="632" spans="1:16">
      <c r="A632" s="52"/>
      <c r="B632" s="66"/>
      <c r="C632" s="18" t="s">
        <v>783</v>
      </c>
      <c r="D632" t="s">
        <v>569</v>
      </c>
      <c r="J632" s="97" t="s">
        <v>1487</v>
      </c>
      <c r="K632" s="3" t="s">
        <v>620</v>
      </c>
      <c r="L632" s="3"/>
      <c r="M632" s="3" t="s">
        <v>547</v>
      </c>
      <c r="N632" s="56"/>
      <c r="P632" s="106" t="s">
        <v>547</v>
      </c>
    </row>
    <row r="633" spans="1:16">
      <c r="A633" s="52"/>
      <c r="B633" s="66"/>
      <c r="C633" s="18" t="s">
        <v>784</v>
      </c>
      <c r="D633" t="s">
        <v>569</v>
      </c>
      <c r="J633" s="97" t="s">
        <v>1488</v>
      </c>
      <c r="K633" s="3" t="s">
        <v>620</v>
      </c>
      <c r="L633" s="3"/>
      <c r="M633" s="3" t="s">
        <v>547</v>
      </c>
      <c r="N633" s="56"/>
      <c r="P633" s="106" t="s">
        <v>547</v>
      </c>
    </row>
    <row r="634" spans="1:16">
      <c r="A634" s="52"/>
      <c r="B634" s="66"/>
      <c r="C634" s="18" t="s">
        <v>785</v>
      </c>
      <c r="D634" t="s">
        <v>569</v>
      </c>
      <c r="J634" s="97" t="s">
        <v>1485</v>
      </c>
      <c r="K634" s="3" t="s">
        <v>576</v>
      </c>
      <c r="L634" s="3"/>
      <c r="M634" s="3" t="s">
        <v>547</v>
      </c>
      <c r="N634" s="56"/>
      <c r="P634" s="106" t="s">
        <v>547</v>
      </c>
    </row>
    <row r="635" spans="1:16">
      <c r="A635" s="52"/>
      <c r="B635" s="66"/>
      <c r="C635" s="18" t="s">
        <v>786</v>
      </c>
      <c r="D635" t="s">
        <v>569</v>
      </c>
      <c r="J635" s="97" t="s">
        <v>1486</v>
      </c>
      <c r="K635" s="3" t="s">
        <v>576</v>
      </c>
      <c r="L635" s="3"/>
      <c r="M635" s="3" t="s">
        <v>547</v>
      </c>
      <c r="N635" s="56"/>
      <c r="P635" s="106" t="s">
        <v>547</v>
      </c>
    </row>
    <row r="636" spans="1:16">
      <c r="A636" s="52"/>
      <c r="B636" s="66"/>
      <c r="C636" s="18" t="s">
        <v>787</v>
      </c>
      <c r="D636" t="s">
        <v>569</v>
      </c>
      <c r="J636" s="97" t="s">
        <v>674</v>
      </c>
      <c r="K636" s="3" t="s">
        <v>576</v>
      </c>
      <c r="L636" s="3"/>
      <c r="M636" s="3" t="s">
        <v>547</v>
      </c>
      <c r="N636" s="56"/>
      <c r="P636" s="106" t="s">
        <v>547</v>
      </c>
    </row>
    <row r="637" spans="1:16">
      <c r="A637" s="52"/>
      <c r="B637" s="66"/>
      <c r="C637" s="18" t="s">
        <v>788</v>
      </c>
      <c r="D637" t="s">
        <v>569</v>
      </c>
      <c r="J637" s="97" t="s">
        <v>1487</v>
      </c>
      <c r="K637" s="3" t="s">
        <v>576</v>
      </c>
      <c r="L637" s="3"/>
      <c r="M637" s="3" t="s">
        <v>547</v>
      </c>
      <c r="N637" s="56"/>
      <c r="P637" s="106" t="s">
        <v>547</v>
      </c>
    </row>
    <row r="638" spans="1:16">
      <c r="A638" s="52"/>
      <c r="B638" s="66"/>
      <c r="C638" s="18" t="s">
        <v>789</v>
      </c>
      <c r="D638" t="s">
        <v>569</v>
      </c>
      <c r="J638" s="97" t="s">
        <v>1488</v>
      </c>
      <c r="K638" s="3" t="s">
        <v>576</v>
      </c>
      <c r="L638" s="3"/>
      <c r="M638" s="3" t="s">
        <v>547</v>
      </c>
      <c r="N638" s="56"/>
      <c r="P638" s="106" t="s">
        <v>547</v>
      </c>
    </row>
    <row r="639" spans="1:16">
      <c r="A639" s="52"/>
      <c r="B639" s="66"/>
      <c r="C639" s="18" t="s">
        <v>790</v>
      </c>
    </row>
    <row r="640" spans="1:16">
      <c r="A640" s="52"/>
      <c r="B640" s="66"/>
      <c r="C640" s="18" t="s">
        <v>791</v>
      </c>
    </row>
    <row r="641" spans="1:3">
      <c r="A641" s="52"/>
      <c r="B641" s="66"/>
      <c r="C641" s="18" t="s">
        <v>792</v>
      </c>
    </row>
    <row r="642" spans="1:3">
      <c r="A642" s="52"/>
      <c r="B642" s="66"/>
      <c r="C642" s="18" t="s">
        <v>793</v>
      </c>
    </row>
    <row r="643" spans="1:3">
      <c r="A643" s="52"/>
      <c r="B643" s="66"/>
      <c r="C643" s="18" t="s">
        <v>794</v>
      </c>
    </row>
    <row r="644" spans="1:3">
      <c r="A644" s="52"/>
      <c r="B644" s="66"/>
      <c r="C644" s="18" t="s">
        <v>795</v>
      </c>
    </row>
    <row r="645" spans="1:3">
      <c r="A645" s="52"/>
      <c r="B645" s="66"/>
      <c r="C645" s="18" t="s">
        <v>796</v>
      </c>
    </row>
    <row r="646" spans="1:3">
      <c r="A646" s="52"/>
      <c r="B646" s="66"/>
      <c r="C646" s="18" t="s">
        <v>797</v>
      </c>
    </row>
    <row r="647" spans="1:3">
      <c r="A647" s="52"/>
      <c r="B647" s="66"/>
      <c r="C647" s="18" t="s">
        <v>798</v>
      </c>
    </row>
    <row r="648" spans="1:3">
      <c r="A648" s="52"/>
      <c r="B648" s="66"/>
      <c r="C648" s="18" t="s">
        <v>799</v>
      </c>
    </row>
    <row r="649" spans="1:3">
      <c r="A649" s="52"/>
      <c r="B649" s="66"/>
      <c r="C649" s="18" t="s">
        <v>800</v>
      </c>
    </row>
    <row r="650" spans="1:3">
      <c r="A650" s="52"/>
      <c r="B650" s="66"/>
      <c r="C650" s="18" t="s">
        <v>801</v>
      </c>
    </row>
    <row r="651" spans="1:3">
      <c r="A651" s="52"/>
      <c r="B651" s="66"/>
      <c r="C651" s="18" t="s">
        <v>802</v>
      </c>
    </row>
    <row r="652" spans="1:3">
      <c r="A652" s="52"/>
      <c r="B652" s="66"/>
      <c r="C652" s="18" t="s">
        <v>803</v>
      </c>
    </row>
    <row r="653" spans="1:3">
      <c r="A653" s="52"/>
      <c r="B653" s="66"/>
      <c r="C653" s="18" t="s">
        <v>804</v>
      </c>
    </row>
    <row r="654" spans="1:3">
      <c r="A654" s="52"/>
      <c r="B654" s="66"/>
      <c r="C654" s="18" t="s">
        <v>805</v>
      </c>
    </row>
    <row r="655" spans="1:3">
      <c r="A655" s="52"/>
      <c r="B655" s="66"/>
      <c r="C655" s="18" t="s">
        <v>806</v>
      </c>
    </row>
    <row r="656" spans="1:3">
      <c r="A656" s="52"/>
      <c r="B656" s="66"/>
      <c r="C656" s="18" t="s">
        <v>807</v>
      </c>
    </row>
    <row r="657" spans="1:3">
      <c r="A657" s="52"/>
      <c r="B657" s="66"/>
      <c r="C657" s="18" t="s">
        <v>808</v>
      </c>
    </row>
    <row r="658" spans="1:3">
      <c r="A658" s="52"/>
      <c r="B658" s="66"/>
      <c r="C658" s="18" t="s">
        <v>809</v>
      </c>
    </row>
    <row r="659" spans="1:3">
      <c r="A659" s="52"/>
      <c r="B659" s="66"/>
      <c r="C659" s="18" t="s">
        <v>810</v>
      </c>
    </row>
    <row r="660" spans="1:3">
      <c r="A660" s="52"/>
      <c r="B660" s="66"/>
      <c r="C660" s="18" t="s">
        <v>811</v>
      </c>
    </row>
    <row r="661" spans="1:3">
      <c r="A661" s="52"/>
      <c r="B661" s="66"/>
      <c r="C661" s="18" t="s">
        <v>812</v>
      </c>
    </row>
    <row r="662" spans="1:3">
      <c r="A662" s="52"/>
      <c r="B662" s="66"/>
      <c r="C662" s="18" t="s">
        <v>813</v>
      </c>
    </row>
    <row r="663" spans="1:3">
      <c r="A663" s="52"/>
      <c r="B663" s="66"/>
      <c r="C663" s="18" t="s">
        <v>814</v>
      </c>
    </row>
    <row r="664" spans="1:3">
      <c r="A664" s="52"/>
      <c r="B664" s="66"/>
      <c r="C664" s="18" t="s">
        <v>815</v>
      </c>
    </row>
    <row r="665" spans="1:3">
      <c r="A665" s="52"/>
      <c r="B665" s="66"/>
      <c r="C665" s="18" t="s">
        <v>816</v>
      </c>
    </row>
    <row r="666" spans="1:3">
      <c r="A666" s="52"/>
      <c r="B666" s="66"/>
      <c r="C666" s="18" t="s">
        <v>817</v>
      </c>
    </row>
    <row r="667" spans="1:3">
      <c r="A667" s="52"/>
      <c r="B667" s="66"/>
      <c r="C667" s="18" t="s">
        <v>818</v>
      </c>
    </row>
    <row r="668" spans="1:3">
      <c r="A668" s="52"/>
      <c r="B668" s="66"/>
      <c r="C668" s="18" t="s">
        <v>819</v>
      </c>
    </row>
    <row r="669" spans="1:3">
      <c r="A669" s="52"/>
      <c r="B669" s="66"/>
      <c r="C669" s="18" t="s">
        <v>820</v>
      </c>
    </row>
    <row r="670" spans="1:3">
      <c r="A670" s="52"/>
      <c r="B670" s="66"/>
      <c r="C670" s="18" t="s">
        <v>821</v>
      </c>
    </row>
    <row r="671" spans="1:3">
      <c r="A671" s="52"/>
      <c r="B671" s="66"/>
      <c r="C671" s="18" t="s">
        <v>822</v>
      </c>
    </row>
    <row r="672" spans="1:3">
      <c r="A672" s="52"/>
      <c r="B672" s="66"/>
      <c r="C672" s="18" t="s">
        <v>823</v>
      </c>
    </row>
    <row r="673" spans="1:16">
      <c r="A673" s="52"/>
      <c r="B673" s="66"/>
      <c r="C673" s="18" t="s">
        <v>824</v>
      </c>
    </row>
    <row r="674" spans="1:16">
      <c r="A674" s="52"/>
      <c r="B674" s="66"/>
      <c r="C674" s="18" t="s">
        <v>825</v>
      </c>
    </row>
    <row r="675" spans="1:16">
      <c r="A675" s="52"/>
      <c r="B675" s="66"/>
      <c r="C675" s="18" t="s">
        <v>826</v>
      </c>
    </row>
    <row r="676" spans="1:16">
      <c r="A676" s="52"/>
      <c r="B676" s="66"/>
      <c r="C676" s="18" t="s">
        <v>827</v>
      </c>
    </row>
    <row r="677" spans="1:16">
      <c r="A677" s="52"/>
      <c r="B677" s="66"/>
      <c r="C677" s="18" t="s">
        <v>828</v>
      </c>
    </row>
    <row r="678" spans="1:16">
      <c r="A678" s="52"/>
      <c r="B678" s="66"/>
      <c r="C678" s="18" t="s">
        <v>829</v>
      </c>
    </row>
    <row r="679" spans="1:16">
      <c r="A679" s="52"/>
      <c r="B679" s="66"/>
      <c r="C679" s="18" t="s">
        <v>830</v>
      </c>
    </row>
    <row r="680" spans="1:16">
      <c r="A680" s="52"/>
      <c r="B680" s="66"/>
      <c r="C680" s="18" t="s">
        <v>831</v>
      </c>
    </row>
    <row r="681" spans="1:16">
      <c r="A681" s="52"/>
      <c r="B681" s="66"/>
      <c r="C681" s="18" t="s">
        <v>832</v>
      </c>
    </row>
    <row r="682" spans="1:16">
      <c r="A682" s="52"/>
      <c r="B682" s="66"/>
      <c r="C682" s="18" t="s">
        <v>833</v>
      </c>
    </row>
    <row r="683" spans="1:16">
      <c r="A683" s="52"/>
      <c r="B683" s="66"/>
      <c r="C683" s="18" t="s">
        <v>834</v>
      </c>
    </row>
    <row r="684" spans="1:16">
      <c r="A684" s="52"/>
      <c r="B684" s="66"/>
      <c r="C684" s="18" t="s">
        <v>1489</v>
      </c>
    </row>
    <row r="685" spans="1:16">
      <c r="A685" s="52"/>
      <c r="B685" s="64"/>
      <c r="C685" s="18" t="s">
        <v>1490</v>
      </c>
    </row>
    <row r="686" spans="1:16">
      <c r="A686" s="64"/>
      <c r="B686" s="64" t="s">
        <v>374</v>
      </c>
      <c r="C686" s="17"/>
    </row>
    <row r="688" spans="1:16">
      <c r="A688" s="306" t="s">
        <v>1491</v>
      </c>
      <c r="B688" s="306" t="s">
        <v>1491</v>
      </c>
      <c r="C688" s="107" t="s">
        <v>593</v>
      </c>
      <c r="D688" s="81" t="s">
        <v>561</v>
      </c>
      <c r="E688" s="108" t="s">
        <v>547</v>
      </c>
      <c r="F688" s="88" t="s">
        <v>552</v>
      </c>
      <c r="G688" s="88"/>
      <c r="H688" s="88" t="s">
        <v>547</v>
      </c>
      <c r="I688" s="55"/>
      <c r="J688" s="108" t="s">
        <v>547</v>
      </c>
      <c r="K688" s="88" t="s">
        <v>552</v>
      </c>
      <c r="L688" s="88"/>
      <c r="M688" s="88" t="s">
        <v>547</v>
      </c>
      <c r="N688" s="16"/>
      <c r="O688" s="53"/>
      <c r="P688" s="104"/>
    </row>
    <row r="689" spans="1:16">
      <c r="A689" s="310"/>
      <c r="B689" s="310"/>
      <c r="C689" s="107" t="s">
        <v>594</v>
      </c>
      <c r="D689" s="1"/>
    </row>
    <row r="690" spans="1:16">
      <c r="A690" s="310"/>
      <c r="B690" s="310"/>
      <c r="C690" s="107" t="s">
        <v>595</v>
      </c>
      <c r="D690" s="1"/>
    </row>
    <row r="691" spans="1:16">
      <c r="A691" s="310"/>
      <c r="B691" s="310"/>
      <c r="C691" s="18" t="s">
        <v>1492</v>
      </c>
      <c r="D691" t="s">
        <v>543</v>
      </c>
      <c r="E691" s="97" t="s">
        <v>1351</v>
      </c>
      <c r="F691" s="3" t="s">
        <v>545</v>
      </c>
      <c r="G691" s="3" t="s">
        <v>546</v>
      </c>
      <c r="H691" s="3" t="s">
        <v>547</v>
      </c>
      <c r="I691" s="56" t="s">
        <v>546</v>
      </c>
      <c r="J691" s="97" t="s">
        <v>1351</v>
      </c>
      <c r="K691" s="3" t="s">
        <v>545</v>
      </c>
      <c r="L691" s="3" t="s">
        <v>546</v>
      </c>
      <c r="M691" s="3" t="s">
        <v>547</v>
      </c>
      <c r="N691" s="56" t="s">
        <v>546</v>
      </c>
      <c r="P691" s="106" t="s">
        <v>547</v>
      </c>
    </row>
    <row r="692" spans="1:16">
      <c r="A692" s="310"/>
      <c r="B692" s="310"/>
      <c r="C692" s="107" t="s">
        <v>557</v>
      </c>
      <c r="D692" t="s">
        <v>558</v>
      </c>
      <c r="E692" s="97" t="s">
        <v>1351</v>
      </c>
      <c r="F692" s="3" t="s">
        <v>545</v>
      </c>
      <c r="H692" s="3" t="s">
        <v>547</v>
      </c>
      <c r="J692" s="97" t="s">
        <v>1351</v>
      </c>
      <c r="K692" s="3" t="s">
        <v>545</v>
      </c>
      <c r="L692" s="3"/>
      <c r="M692" s="3" t="s">
        <v>547</v>
      </c>
    </row>
    <row r="693" spans="1:16">
      <c r="A693" s="310"/>
      <c r="B693" s="310"/>
      <c r="C693" s="18" t="s">
        <v>642</v>
      </c>
      <c r="D693" s="1" t="s">
        <v>639</v>
      </c>
      <c r="E693" s="97" t="s">
        <v>1351</v>
      </c>
      <c r="F693" s="3" t="s">
        <v>545</v>
      </c>
      <c r="H693" s="3" t="s">
        <v>547</v>
      </c>
      <c r="J693" s="97" t="s">
        <v>1351</v>
      </c>
      <c r="K693" s="3" t="s">
        <v>545</v>
      </c>
      <c r="L693" s="3"/>
      <c r="M693" s="3" t="s">
        <v>547</v>
      </c>
    </row>
    <row r="694" spans="1:16">
      <c r="A694" s="310"/>
      <c r="B694" s="310"/>
      <c r="C694" s="18" t="s">
        <v>605</v>
      </c>
      <c r="D694" s="1" t="s">
        <v>569</v>
      </c>
      <c r="E694" s="97" t="s">
        <v>552</v>
      </c>
      <c r="F694" s="3" t="s">
        <v>545</v>
      </c>
      <c r="H694" s="3" t="s">
        <v>547</v>
      </c>
      <c r="J694" s="97" t="s">
        <v>552</v>
      </c>
      <c r="K694" s="3" t="s">
        <v>545</v>
      </c>
      <c r="L694" s="3"/>
      <c r="M694" s="3" t="s">
        <v>547</v>
      </c>
      <c r="N694" s="56"/>
    </row>
    <row r="695" spans="1:16">
      <c r="A695" s="310"/>
      <c r="B695" s="310"/>
      <c r="C695" s="18" t="s">
        <v>1493</v>
      </c>
      <c r="D695" s="1" t="s">
        <v>543</v>
      </c>
      <c r="E695" s="97" t="s">
        <v>557</v>
      </c>
      <c r="F695" s="3" t="s">
        <v>545</v>
      </c>
      <c r="G695" s="3" t="s">
        <v>546</v>
      </c>
      <c r="H695" s="3" t="s">
        <v>547</v>
      </c>
      <c r="I695" s="56" t="s">
        <v>546</v>
      </c>
      <c r="J695" s="97" t="s">
        <v>557</v>
      </c>
      <c r="K695" s="3" t="s">
        <v>545</v>
      </c>
      <c r="L695" s="3" t="s">
        <v>546</v>
      </c>
      <c r="M695" s="3" t="s">
        <v>547</v>
      </c>
      <c r="N695" s="56" t="s">
        <v>546</v>
      </c>
      <c r="P695" s="106" t="s">
        <v>547</v>
      </c>
    </row>
    <row r="696" spans="1:16">
      <c r="A696" s="310"/>
      <c r="B696" s="310"/>
      <c r="C696" s="18" t="s">
        <v>637</v>
      </c>
      <c r="D696" s="1" t="s">
        <v>569</v>
      </c>
      <c r="E696" s="97" t="s">
        <v>557</v>
      </c>
      <c r="F696" s="3" t="s">
        <v>545</v>
      </c>
      <c r="H696" s="3" t="s">
        <v>547</v>
      </c>
      <c r="J696" s="97" t="s">
        <v>557</v>
      </c>
      <c r="K696" s="3" t="s">
        <v>545</v>
      </c>
      <c r="L696" s="3"/>
      <c r="M696" s="3" t="s">
        <v>547</v>
      </c>
    </row>
    <row r="697" spans="1:16">
      <c r="A697" s="310"/>
      <c r="B697" s="310"/>
      <c r="C697" s="18" t="s">
        <v>1494</v>
      </c>
      <c r="D697" s="1" t="s">
        <v>543</v>
      </c>
      <c r="E697" s="97" t="s">
        <v>1351</v>
      </c>
      <c r="F697" s="3" t="s">
        <v>552</v>
      </c>
      <c r="G697" s="3" t="s">
        <v>546</v>
      </c>
      <c r="H697" s="3" t="s">
        <v>547</v>
      </c>
      <c r="I697" s="56" t="s">
        <v>546</v>
      </c>
      <c r="J697" s="97" t="s">
        <v>1351</v>
      </c>
      <c r="K697" s="3" t="s">
        <v>552</v>
      </c>
      <c r="L697" s="3" t="s">
        <v>546</v>
      </c>
      <c r="M697" s="3" t="s">
        <v>547</v>
      </c>
      <c r="N697" s="56" t="s">
        <v>546</v>
      </c>
      <c r="P697" s="106" t="s">
        <v>547</v>
      </c>
    </row>
    <row r="698" spans="1:16">
      <c r="A698" s="310"/>
      <c r="B698" s="310"/>
      <c r="C698" s="18" t="s">
        <v>638</v>
      </c>
      <c r="D698" s="1" t="s">
        <v>639</v>
      </c>
      <c r="E698" s="97" t="s">
        <v>1351</v>
      </c>
      <c r="F698" s="3" t="s">
        <v>552</v>
      </c>
      <c r="H698" s="3" t="s">
        <v>547</v>
      </c>
      <c r="J698" s="97" t="s">
        <v>1351</v>
      </c>
      <c r="K698" s="3" t="s">
        <v>552</v>
      </c>
      <c r="L698" s="3"/>
      <c r="M698" s="3" t="s">
        <v>547</v>
      </c>
    </row>
    <row r="699" spans="1:16">
      <c r="A699" s="310"/>
      <c r="B699" s="310"/>
      <c r="C699" s="18" t="s">
        <v>654</v>
      </c>
      <c r="D699" s="1" t="s">
        <v>639</v>
      </c>
      <c r="E699" s="97" t="s">
        <v>1351</v>
      </c>
      <c r="F699" s="3" t="s">
        <v>552</v>
      </c>
      <c r="H699" s="3" t="s">
        <v>547</v>
      </c>
      <c r="J699" s="97" t="s">
        <v>1351</v>
      </c>
      <c r="K699" s="3" t="s">
        <v>552</v>
      </c>
      <c r="L699" s="3"/>
      <c r="M699" s="3" t="s">
        <v>547</v>
      </c>
    </row>
    <row r="700" spans="1:16">
      <c r="A700" s="310"/>
      <c r="B700" s="310"/>
      <c r="C700" s="18" t="s">
        <v>613</v>
      </c>
      <c r="D700" s="1" t="s">
        <v>569</v>
      </c>
      <c r="E700" s="97" t="s">
        <v>552</v>
      </c>
      <c r="F700" s="3" t="s">
        <v>552</v>
      </c>
      <c r="H700" s="3" t="s">
        <v>547</v>
      </c>
      <c r="J700" s="97" t="s">
        <v>552</v>
      </c>
      <c r="K700" s="3" t="s">
        <v>552</v>
      </c>
      <c r="L700" s="3"/>
      <c r="M700" s="3" t="s">
        <v>547</v>
      </c>
    </row>
    <row r="701" spans="1:16">
      <c r="A701" s="310"/>
      <c r="B701" s="310"/>
      <c r="C701" s="107" t="s">
        <v>856</v>
      </c>
      <c r="D701" s="1" t="s">
        <v>561</v>
      </c>
      <c r="E701" s="97" t="s">
        <v>547</v>
      </c>
      <c r="F701" s="3" t="s">
        <v>554</v>
      </c>
      <c r="H701" s="3" t="s">
        <v>547</v>
      </c>
      <c r="J701" s="97" t="s">
        <v>547</v>
      </c>
      <c r="K701" s="3" t="s">
        <v>554</v>
      </c>
      <c r="L701" s="3"/>
      <c r="M701" s="3" t="s">
        <v>547</v>
      </c>
    </row>
    <row r="702" spans="1:16">
      <c r="A702" s="310"/>
      <c r="B702" s="310"/>
      <c r="C702" s="107" t="s">
        <v>857</v>
      </c>
    </row>
    <row r="703" spans="1:16">
      <c r="A703" s="310"/>
      <c r="B703" s="310"/>
      <c r="C703" s="107" t="s">
        <v>858</v>
      </c>
    </row>
    <row r="704" spans="1:16">
      <c r="A704" s="310"/>
      <c r="B704" s="310"/>
      <c r="C704" s="107" t="s">
        <v>1495</v>
      </c>
      <c r="D704" s="1" t="s">
        <v>543</v>
      </c>
      <c r="E704" s="97" t="s">
        <v>554</v>
      </c>
      <c r="F704" s="3" t="s">
        <v>554</v>
      </c>
      <c r="G704" s="3" t="s">
        <v>546</v>
      </c>
      <c r="H704" s="3" t="s">
        <v>547</v>
      </c>
      <c r="I704" s="56" t="s">
        <v>546</v>
      </c>
      <c r="J704" s="97" t="s">
        <v>554</v>
      </c>
      <c r="K704" s="3" t="s">
        <v>554</v>
      </c>
      <c r="L704" s="3" t="s">
        <v>546</v>
      </c>
      <c r="M704" s="3" t="s">
        <v>547</v>
      </c>
      <c r="N704" s="56" t="s">
        <v>546</v>
      </c>
      <c r="P704" s="106" t="s">
        <v>547</v>
      </c>
    </row>
    <row r="705" spans="1:16">
      <c r="A705" s="310"/>
      <c r="B705" s="310"/>
      <c r="C705" s="18" t="s">
        <v>867</v>
      </c>
      <c r="D705" t="s">
        <v>569</v>
      </c>
      <c r="E705" s="97" t="s">
        <v>554</v>
      </c>
      <c r="F705" s="3" t="s">
        <v>554</v>
      </c>
      <c r="H705" s="3" t="s">
        <v>547</v>
      </c>
      <c r="J705" s="97" t="s">
        <v>554</v>
      </c>
      <c r="K705" s="3" t="s">
        <v>554</v>
      </c>
      <c r="L705" s="3"/>
      <c r="M705" s="3" t="s">
        <v>547</v>
      </c>
      <c r="N705" s="56"/>
    </row>
    <row r="706" spans="1:16">
      <c r="A706" s="310"/>
      <c r="B706" s="310"/>
      <c r="C706" s="107" t="s">
        <v>1496</v>
      </c>
      <c r="D706" t="s">
        <v>639</v>
      </c>
      <c r="E706" s="97" t="s">
        <v>1351</v>
      </c>
      <c r="F706" s="3" t="s">
        <v>552</v>
      </c>
      <c r="H706" s="3" t="s">
        <v>547</v>
      </c>
      <c r="J706" s="97" t="s">
        <v>1351</v>
      </c>
      <c r="K706" s="3" t="s">
        <v>552</v>
      </c>
      <c r="L706" s="3"/>
      <c r="M706" s="3" t="s">
        <v>547</v>
      </c>
    </row>
    <row r="707" spans="1:16">
      <c r="A707" s="310"/>
      <c r="B707" s="310"/>
      <c r="C707" s="107" t="s">
        <v>1497</v>
      </c>
      <c r="D707" t="s">
        <v>543</v>
      </c>
      <c r="E707" s="97" t="s">
        <v>1498</v>
      </c>
      <c r="F707" s="3" t="s">
        <v>552</v>
      </c>
      <c r="G707" s="3" t="s">
        <v>546</v>
      </c>
      <c r="H707" s="3" t="s">
        <v>547</v>
      </c>
      <c r="I707" s="56" t="s">
        <v>546</v>
      </c>
      <c r="J707" s="97" t="s">
        <v>1498</v>
      </c>
      <c r="K707" s="3" t="s">
        <v>552</v>
      </c>
      <c r="L707" s="3" t="s">
        <v>546</v>
      </c>
      <c r="M707" s="3" t="s">
        <v>547</v>
      </c>
      <c r="N707" s="56" t="s">
        <v>546</v>
      </c>
      <c r="P707" s="106" t="s">
        <v>547</v>
      </c>
    </row>
    <row r="708" spans="1:16">
      <c r="A708" s="310"/>
      <c r="B708" s="310"/>
      <c r="C708" s="18" t="s">
        <v>1499</v>
      </c>
      <c r="D708" t="s">
        <v>569</v>
      </c>
      <c r="E708" s="97" t="s">
        <v>1498</v>
      </c>
      <c r="F708" s="3" t="s">
        <v>552</v>
      </c>
      <c r="H708" s="3" t="s">
        <v>547</v>
      </c>
      <c r="J708" s="97" t="s">
        <v>1498</v>
      </c>
      <c r="K708" s="3" t="s">
        <v>552</v>
      </c>
      <c r="L708" s="3"/>
      <c r="M708" s="3" t="s">
        <v>547</v>
      </c>
      <c r="N708" s="56"/>
    </row>
    <row r="709" spans="1:16">
      <c r="A709" s="310"/>
      <c r="B709" s="310"/>
      <c r="C709" s="18" t="s">
        <v>1500</v>
      </c>
      <c r="D709" t="s">
        <v>543</v>
      </c>
      <c r="E709" s="97" t="s">
        <v>1501</v>
      </c>
      <c r="F709" s="3" t="s">
        <v>620</v>
      </c>
      <c r="G709" s="3" t="s">
        <v>546</v>
      </c>
      <c r="H709" s="3" t="s">
        <v>547</v>
      </c>
      <c r="I709" s="56" t="s">
        <v>546</v>
      </c>
      <c r="J709" s="97" t="s">
        <v>1501</v>
      </c>
      <c r="K709" s="3" t="s">
        <v>620</v>
      </c>
      <c r="L709" s="3" t="s">
        <v>546</v>
      </c>
      <c r="M709" s="3" t="s">
        <v>547</v>
      </c>
      <c r="N709" s="56" t="s">
        <v>546</v>
      </c>
      <c r="P709" s="106" t="s">
        <v>547</v>
      </c>
    </row>
    <row r="710" spans="1:16">
      <c r="A710" s="310"/>
      <c r="B710" s="310"/>
      <c r="C710" s="18" t="s">
        <v>1502</v>
      </c>
      <c r="D710" t="s">
        <v>569</v>
      </c>
      <c r="E710" s="97" t="s">
        <v>1501</v>
      </c>
      <c r="F710" s="3" t="s">
        <v>620</v>
      </c>
      <c r="H710" s="3" t="s">
        <v>547</v>
      </c>
      <c r="J710" s="97" t="s">
        <v>1501</v>
      </c>
      <c r="K710" s="3" t="s">
        <v>620</v>
      </c>
      <c r="L710" s="3"/>
      <c r="M710" s="3" t="s">
        <v>547</v>
      </c>
      <c r="N710" s="56"/>
    </row>
    <row r="711" spans="1:16">
      <c r="A711" s="310"/>
      <c r="B711" s="310"/>
      <c r="C711" s="16" t="s">
        <v>1503</v>
      </c>
      <c r="D711" t="s">
        <v>543</v>
      </c>
      <c r="E711" s="97" t="s">
        <v>1504</v>
      </c>
      <c r="F711" s="3" t="s">
        <v>554</v>
      </c>
      <c r="G711" s="3" t="s">
        <v>546</v>
      </c>
      <c r="H711" s="3" t="s">
        <v>547</v>
      </c>
      <c r="I711" s="56" t="s">
        <v>546</v>
      </c>
      <c r="J711" s="97" t="s">
        <v>1504</v>
      </c>
      <c r="K711" s="3" t="s">
        <v>554</v>
      </c>
      <c r="L711" s="3" t="s">
        <v>546</v>
      </c>
      <c r="M711" s="3" t="s">
        <v>547</v>
      </c>
      <c r="N711" s="56" t="s">
        <v>546</v>
      </c>
      <c r="P711" s="106" t="s">
        <v>547</v>
      </c>
    </row>
    <row r="712" spans="1:16">
      <c r="A712" s="310"/>
      <c r="B712" s="310"/>
      <c r="C712" s="18" t="s">
        <v>1505</v>
      </c>
      <c r="D712" t="s">
        <v>569</v>
      </c>
      <c r="E712" s="97" t="s">
        <v>1504</v>
      </c>
      <c r="F712" s="3" t="s">
        <v>554</v>
      </c>
      <c r="H712" s="3" t="s">
        <v>547</v>
      </c>
      <c r="J712" s="97" t="s">
        <v>1504</v>
      </c>
      <c r="K712" s="3" t="s">
        <v>554</v>
      </c>
      <c r="L712" s="3"/>
      <c r="M712" s="3" t="s">
        <v>547</v>
      </c>
      <c r="N712" s="56"/>
    </row>
    <row r="713" spans="1:16">
      <c r="A713" s="310"/>
      <c r="B713" s="310"/>
      <c r="C713" s="18" t="s">
        <v>1506</v>
      </c>
      <c r="D713" t="s">
        <v>543</v>
      </c>
      <c r="E713" s="97" t="s">
        <v>1507</v>
      </c>
      <c r="F713" s="3" t="s">
        <v>611</v>
      </c>
      <c r="G713" s="3" t="s">
        <v>546</v>
      </c>
      <c r="H713" s="3" t="s">
        <v>547</v>
      </c>
      <c r="I713" s="56" t="s">
        <v>546</v>
      </c>
      <c r="J713" s="97" t="s">
        <v>1507</v>
      </c>
      <c r="K713" s="3" t="s">
        <v>611</v>
      </c>
      <c r="L713" s="3" t="s">
        <v>546</v>
      </c>
      <c r="M713" s="3" t="s">
        <v>547</v>
      </c>
      <c r="N713" s="56" t="s">
        <v>546</v>
      </c>
      <c r="P713" s="106" t="s">
        <v>547</v>
      </c>
    </row>
    <row r="714" spans="1:16">
      <c r="A714" s="307"/>
      <c r="B714" s="307"/>
      <c r="C714" s="18" t="s">
        <v>1508</v>
      </c>
      <c r="D714" s="54" t="s">
        <v>569</v>
      </c>
      <c r="E714" s="109" t="s">
        <v>1507</v>
      </c>
      <c r="F714" s="91" t="s">
        <v>611</v>
      </c>
      <c r="G714" s="91"/>
      <c r="H714" s="91" t="s">
        <v>547</v>
      </c>
      <c r="I714" s="57"/>
      <c r="J714" s="109" t="s">
        <v>1507</v>
      </c>
      <c r="K714" s="91" t="s">
        <v>611</v>
      </c>
      <c r="L714" s="91"/>
      <c r="M714" s="91" t="s">
        <v>547</v>
      </c>
      <c r="N714" s="46"/>
      <c r="O714" s="54"/>
      <c r="P714" s="40"/>
    </row>
  </sheetData>
  <mergeCells count="2">
    <mergeCell ref="A688:A714"/>
    <mergeCell ref="B688:B71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0A7-F7B1-43F4-AFE0-BBCBCC1C744D}">
  <dimension ref="A1:P497"/>
  <sheetViews>
    <sheetView zoomScale="85" zoomScaleNormal="85" workbookViewId="0">
      <pane ySplit="1" topLeftCell="A466" activePane="bottomLeft" state="frozen"/>
      <selection pane="bottomLeft" activeCell="F389" sqref="F389"/>
    </sheetView>
  </sheetViews>
  <sheetFormatPr defaultRowHeight="14.25"/>
  <cols>
    <col min="1" max="1" width="21" bestFit="1" customWidth="1"/>
    <col min="2" max="2" width="38.42578125" customWidth="1"/>
    <col min="3" max="3" width="34.42578125" style="3" customWidth="1"/>
    <col min="4" max="4" width="17.5703125" style="3" bestFit="1" customWidth="1"/>
    <col min="5" max="5" width="11.85546875" bestFit="1" customWidth="1"/>
    <col min="6" max="6" width="14.42578125" style="3" bestFit="1" customWidth="1"/>
    <col min="7" max="7" width="11.140625" style="61" bestFit="1" customWidth="1"/>
    <col min="8" max="8" width="58.5703125" style="15" bestFit="1" customWidth="1"/>
    <col min="9" max="9" width="15.42578125" style="15" bestFit="1" customWidth="1"/>
    <col min="10" max="10" width="8.5703125" style="15" customWidth="1"/>
    <col min="11" max="12" width="15.140625" style="15" bestFit="1" customWidth="1"/>
    <col min="13" max="13" width="11.140625" style="3" bestFit="1" customWidth="1"/>
    <col min="14" max="14" width="13.5703125" bestFit="1" customWidth="1"/>
  </cols>
  <sheetData>
    <row r="1" spans="1:13">
      <c r="A1" s="32" t="s">
        <v>371</v>
      </c>
      <c r="B1" s="78" t="s">
        <v>149</v>
      </c>
      <c r="C1" s="78" t="s">
        <v>296</v>
      </c>
      <c r="D1" s="79" t="s">
        <v>538</v>
      </c>
      <c r="E1" s="127" t="s">
        <v>539</v>
      </c>
      <c r="F1" s="79" t="s">
        <v>540</v>
      </c>
      <c r="G1" s="128" t="s">
        <v>541</v>
      </c>
      <c r="H1" s="80" t="s">
        <v>83</v>
      </c>
      <c r="I1" s="80" t="s">
        <v>82</v>
      </c>
      <c r="J1" s="80" t="s">
        <v>84</v>
      </c>
      <c r="K1" s="80" t="s">
        <v>358</v>
      </c>
      <c r="L1" s="80" t="s">
        <v>359</v>
      </c>
      <c r="M1" s="80" t="s">
        <v>1509</v>
      </c>
    </row>
    <row r="2" spans="1:13" s="53" customFormat="1">
      <c r="A2" s="63" t="s">
        <v>361</v>
      </c>
      <c r="B2" s="63" t="s">
        <v>361</v>
      </c>
      <c r="C2" s="13" t="s">
        <v>542</v>
      </c>
      <c r="D2" s="81" t="s">
        <v>543</v>
      </c>
      <c r="F2" s="81">
        <f>(1/0.05)+1</f>
        <v>21</v>
      </c>
      <c r="G2" s="82">
        <v>1547.91</v>
      </c>
      <c r="H2" s="83" t="s">
        <v>544</v>
      </c>
      <c r="I2" s="83" t="s">
        <v>545</v>
      </c>
      <c r="J2" s="83" t="s">
        <v>546</v>
      </c>
      <c r="K2" s="83" t="s">
        <v>547</v>
      </c>
      <c r="L2" s="83" t="s">
        <v>546</v>
      </c>
      <c r="M2" s="55" t="s">
        <v>547</v>
      </c>
    </row>
    <row r="3" spans="1:13">
      <c r="A3" s="66"/>
      <c r="B3" s="66"/>
      <c r="C3" s="47" t="s">
        <v>548</v>
      </c>
      <c r="D3" s="1" t="s">
        <v>543</v>
      </c>
      <c r="F3" s="1">
        <f>1/0.1+1</f>
        <v>11</v>
      </c>
      <c r="G3" s="61">
        <v>921.77099999999996</v>
      </c>
      <c r="H3" s="15" t="s">
        <v>549</v>
      </c>
      <c r="I3" s="15" t="s">
        <v>550</v>
      </c>
      <c r="J3" s="15" t="s">
        <v>546</v>
      </c>
      <c r="K3" s="15" t="s">
        <v>547</v>
      </c>
      <c r="L3" s="15" t="s">
        <v>546</v>
      </c>
      <c r="M3" s="56" t="s">
        <v>547</v>
      </c>
    </row>
    <row r="4" spans="1:13">
      <c r="A4" s="66"/>
      <c r="B4" s="66"/>
      <c r="C4" s="47" t="s">
        <v>551</v>
      </c>
      <c r="D4" s="1" t="s">
        <v>543</v>
      </c>
      <c r="F4" s="1">
        <f>1/0.1+1</f>
        <v>11</v>
      </c>
      <c r="G4" s="61">
        <v>982.66600000000005</v>
      </c>
      <c r="H4" s="15" t="s">
        <v>549</v>
      </c>
      <c r="I4" s="15" t="s">
        <v>552</v>
      </c>
      <c r="J4" s="15" t="s">
        <v>546</v>
      </c>
      <c r="K4" s="15" t="s">
        <v>547</v>
      </c>
      <c r="L4" s="15" t="s">
        <v>546</v>
      </c>
      <c r="M4" s="56" t="s">
        <v>547</v>
      </c>
    </row>
    <row r="5" spans="1:13">
      <c r="A5" s="64"/>
      <c r="B5" s="64"/>
      <c r="C5" s="48" t="s">
        <v>553</v>
      </c>
      <c r="D5" s="84" t="s">
        <v>543</v>
      </c>
      <c r="E5" s="54"/>
      <c r="F5" s="84">
        <f>1/0.1+1</f>
        <v>11</v>
      </c>
      <c r="G5" s="85">
        <v>1086.02</v>
      </c>
      <c r="H5" s="86" t="s">
        <v>549</v>
      </c>
      <c r="I5" s="86" t="s">
        <v>554</v>
      </c>
      <c r="J5" s="86" t="s">
        <v>546</v>
      </c>
      <c r="K5" s="86" t="s">
        <v>547</v>
      </c>
      <c r="L5" s="86" t="s">
        <v>546</v>
      </c>
      <c r="M5" s="57" t="s">
        <v>547</v>
      </c>
    </row>
    <row r="7" spans="1:13">
      <c r="A7" s="63" t="s">
        <v>360</v>
      </c>
      <c r="B7" s="63" t="s">
        <v>559</v>
      </c>
      <c r="C7" s="16" t="s">
        <v>560</v>
      </c>
      <c r="D7" s="53" t="s">
        <v>561</v>
      </c>
      <c r="E7" s="53"/>
      <c r="F7" s="53">
        <v>1</v>
      </c>
      <c r="G7" s="82">
        <v>41.522300000000001</v>
      </c>
      <c r="H7" s="83"/>
      <c r="I7" s="83" t="s">
        <v>552</v>
      </c>
      <c r="J7" s="83" t="s">
        <v>547</v>
      </c>
      <c r="K7" s="83"/>
      <c r="L7" s="83"/>
      <c r="M7" s="55"/>
    </row>
    <row r="8" spans="1:13">
      <c r="A8" s="66"/>
      <c r="B8" s="66"/>
      <c r="C8" s="45" t="s">
        <v>562</v>
      </c>
      <c r="D8" t="s">
        <v>561</v>
      </c>
      <c r="F8">
        <v>1</v>
      </c>
      <c r="G8" s="61">
        <v>41.316299999999998</v>
      </c>
      <c r="K8" s="15" t="s">
        <v>552</v>
      </c>
      <c r="L8" s="15" t="s">
        <v>547</v>
      </c>
      <c r="M8" s="56"/>
    </row>
    <row r="9" spans="1:13">
      <c r="A9" s="66"/>
      <c r="B9" s="66"/>
      <c r="C9" s="45" t="s">
        <v>563</v>
      </c>
      <c r="D9" t="s">
        <v>561</v>
      </c>
      <c r="F9">
        <v>1</v>
      </c>
      <c r="G9" s="61">
        <v>54.264800000000001</v>
      </c>
      <c r="H9" s="15" t="s">
        <v>554</v>
      </c>
      <c r="K9" s="15" t="s">
        <v>547</v>
      </c>
      <c r="M9" s="56"/>
    </row>
    <row r="10" spans="1:13">
      <c r="A10" s="66"/>
      <c r="B10" s="66"/>
      <c r="C10" s="45" t="s">
        <v>564</v>
      </c>
      <c r="D10" t="s">
        <v>561</v>
      </c>
      <c r="F10">
        <v>1</v>
      </c>
      <c r="G10" s="61">
        <v>55.015099999999997</v>
      </c>
      <c r="H10" s="15" t="s">
        <v>554</v>
      </c>
      <c r="I10" s="15" t="s">
        <v>547</v>
      </c>
      <c r="M10" s="56"/>
    </row>
    <row r="11" spans="1:13">
      <c r="A11" s="66"/>
      <c r="B11" s="66"/>
      <c r="C11" s="45" t="s">
        <v>565</v>
      </c>
      <c r="D11" t="s">
        <v>561</v>
      </c>
      <c r="F11">
        <v>1</v>
      </c>
      <c r="G11" s="61">
        <v>57.929400000000001</v>
      </c>
      <c r="H11" s="15" t="s">
        <v>547</v>
      </c>
      <c r="I11" s="15" t="s">
        <v>554</v>
      </c>
      <c r="K11" s="15" t="s">
        <v>547</v>
      </c>
      <c r="M11" s="56"/>
    </row>
    <row r="12" spans="1:13">
      <c r="A12" s="64"/>
      <c r="B12" s="64"/>
      <c r="C12" s="46" t="s">
        <v>1510</v>
      </c>
      <c r="D12" s="54" t="s">
        <v>561</v>
      </c>
      <c r="E12" s="54"/>
      <c r="F12" s="54">
        <v>1</v>
      </c>
      <c r="G12" s="85">
        <v>50.990299999999998</v>
      </c>
      <c r="H12" s="86"/>
      <c r="I12" s="86" t="s">
        <v>554</v>
      </c>
      <c r="J12" s="86"/>
      <c r="K12" s="86" t="s">
        <v>547</v>
      </c>
      <c r="L12" s="86"/>
      <c r="M12" s="57"/>
    </row>
    <row r="14" spans="1:13">
      <c r="A14" s="63" t="s">
        <v>360</v>
      </c>
      <c r="B14" s="63" t="s">
        <v>363</v>
      </c>
      <c r="C14" s="13" t="s">
        <v>567</v>
      </c>
      <c r="D14" s="81" t="s">
        <v>543</v>
      </c>
      <c r="E14" s="53"/>
      <c r="F14" s="81">
        <v>1</v>
      </c>
      <c r="G14" s="82">
        <v>103.48699999999999</v>
      </c>
      <c r="H14" s="83" t="s">
        <v>554</v>
      </c>
      <c r="I14" s="83" t="s">
        <v>547</v>
      </c>
      <c r="J14" s="83" t="s">
        <v>546</v>
      </c>
      <c r="K14" s="83" t="s">
        <v>547</v>
      </c>
      <c r="L14" s="83" t="s">
        <v>546</v>
      </c>
      <c r="M14" s="55" t="s">
        <v>547</v>
      </c>
    </row>
    <row r="15" spans="1:13">
      <c r="A15" s="66"/>
      <c r="B15" s="66"/>
      <c r="C15" s="47" t="s">
        <v>568</v>
      </c>
      <c r="D15" s="1" t="s">
        <v>569</v>
      </c>
      <c r="F15" s="1"/>
      <c r="H15" s="15" t="s">
        <v>554</v>
      </c>
      <c r="I15" s="15" t="s">
        <v>547</v>
      </c>
      <c r="K15" s="15" t="s">
        <v>547</v>
      </c>
      <c r="M15" s="56"/>
    </row>
    <row r="16" spans="1:13">
      <c r="A16" s="66"/>
      <c r="B16" s="66"/>
      <c r="C16" s="47" t="s">
        <v>570</v>
      </c>
      <c r="D16" s="1" t="s">
        <v>543</v>
      </c>
      <c r="F16" s="1">
        <v>1</v>
      </c>
      <c r="G16" s="61">
        <v>92.689899999999994</v>
      </c>
      <c r="H16" s="15" t="s">
        <v>554</v>
      </c>
      <c r="I16" s="15" t="s">
        <v>571</v>
      </c>
      <c r="J16" s="15" t="s">
        <v>546</v>
      </c>
      <c r="K16" s="15" t="s">
        <v>547</v>
      </c>
      <c r="L16" s="15" t="s">
        <v>546</v>
      </c>
      <c r="M16" s="56" t="s">
        <v>547</v>
      </c>
    </row>
    <row r="17" spans="1:13">
      <c r="A17" s="66"/>
      <c r="B17" s="66"/>
      <c r="C17" s="47" t="s">
        <v>572</v>
      </c>
      <c r="D17" s="1" t="s">
        <v>569</v>
      </c>
      <c r="F17" s="1"/>
      <c r="H17" s="15" t="s">
        <v>554</v>
      </c>
      <c r="I17" s="15" t="s">
        <v>571</v>
      </c>
      <c r="K17" s="15" t="s">
        <v>547</v>
      </c>
      <c r="M17" s="56"/>
    </row>
    <row r="18" spans="1:13">
      <c r="A18" s="66"/>
      <c r="B18" s="66"/>
      <c r="C18" s="47" t="s">
        <v>573</v>
      </c>
      <c r="D18" s="1" t="s">
        <v>543</v>
      </c>
      <c r="F18" s="1">
        <v>1</v>
      </c>
      <c r="G18" s="61">
        <v>98.132099999999994</v>
      </c>
      <c r="H18" s="15" t="s">
        <v>554</v>
      </c>
      <c r="I18" s="15" t="s">
        <v>550</v>
      </c>
      <c r="J18" s="15" t="s">
        <v>546</v>
      </c>
      <c r="K18" s="15" t="s">
        <v>547</v>
      </c>
      <c r="L18" s="15" t="s">
        <v>546</v>
      </c>
      <c r="M18" s="56" t="s">
        <v>547</v>
      </c>
    </row>
    <row r="19" spans="1:13">
      <c r="A19" s="66"/>
      <c r="B19" s="66"/>
      <c r="C19" s="47" t="s">
        <v>574</v>
      </c>
      <c r="D19" s="1" t="s">
        <v>569</v>
      </c>
      <c r="F19" s="1"/>
      <c r="H19" s="15" t="s">
        <v>554</v>
      </c>
      <c r="I19" s="15" t="s">
        <v>550</v>
      </c>
      <c r="K19" s="15" t="s">
        <v>547</v>
      </c>
      <c r="M19" s="56"/>
    </row>
    <row r="20" spans="1:13">
      <c r="A20" s="66"/>
      <c r="B20" s="66"/>
      <c r="C20" s="47" t="s">
        <v>575</v>
      </c>
      <c r="D20" s="1" t="s">
        <v>543</v>
      </c>
      <c r="F20" s="1">
        <v>1</v>
      </c>
      <c r="G20" s="61">
        <v>100.773</v>
      </c>
      <c r="H20" s="15" t="s">
        <v>554</v>
      </c>
      <c r="I20" s="15" t="s">
        <v>576</v>
      </c>
      <c r="J20" s="15" t="s">
        <v>546</v>
      </c>
      <c r="K20" s="15" t="s">
        <v>547</v>
      </c>
      <c r="L20" s="15" t="s">
        <v>546</v>
      </c>
      <c r="M20" s="56" t="s">
        <v>547</v>
      </c>
    </row>
    <row r="21" spans="1:13">
      <c r="A21" s="66"/>
      <c r="B21" s="66"/>
      <c r="C21" s="47" t="s">
        <v>577</v>
      </c>
      <c r="D21" s="1" t="s">
        <v>569</v>
      </c>
      <c r="F21" s="1"/>
      <c r="H21" s="15" t="s">
        <v>554</v>
      </c>
      <c r="I21" s="15" t="s">
        <v>576</v>
      </c>
      <c r="K21" s="15" t="s">
        <v>547</v>
      </c>
      <c r="M21" s="56"/>
    </row>
    <row r="22" spans="1:13" s="137" customFormat="1">
      <c r="A22" s="134"/>
      <c r="B22" s="134"/>
      <c r="C22" s="135" t="s">
        <v>578</v>
      </c>
      <c r="D22" s="136" t="s">
        <v>543</v>
      </c>
      <c r="F22" s="136">
        <v>1</v>
      </c>
      <c r="G22" s="138">
        <v>75.372</v>
      </c>
      <c r="H22" s="139" t="s">
        <v>554</v>
      </c>
      <c r="I22" s="139" t="s">
        <v>545</v>
      </c>
      <c r="J22" s="139" t="s">
        <v>546</v>
      </c>
      <c r="K22" s="139" t="s">
        <v>547</v>
      </c>
      <c r="L22" s="139" t="s">
        <v>546</v>
      </c>
      <c r="M22" s="140" t="s">
        <v>547</v>
      </c>
    </row>
    <row r="23" spans="1:13" s="137" customFormat="1">
      <c r="A23" s="134"/>
      <c r="B23" s="134"/>
      <c r="C23" s="135" t="s">
        <v>579</v>
      </c>
      <c r="D23" s="136" t="s">
        <v>569</v>
      </c>
      <c r="F23" s="136"/>
      <c r="G23" s="138"/>
      <c r="H23" s="139" t="s">
        <v>554</v>
      </c>
      <c r="I23" s="139" t="s">
        <v>545</v>
      </c>
      <c r="J23" s="139"/>
      <c r="K23" s="139" t="s">
        <v>547</v>
      </c>
      <c r="L23" s="139"/>
      <c r="M23" s="140"/>
    </row>
    <row r="24" spans="1:13">
      <c r="A24" s="66"/>
      <c r="B24" s="66"/>
      <c r="C24" s="47" t="s">
        <v>580</v>
      </c>
      <c r="D24" s="1" t="s">
        <v>543</v>
      </c>
      <c r="F24" s="1">
        <v>1</v>
      </c>
      <c r="G24" s="61">
        <v>85.988699999999994</v>
      </c>
      <c r="H24" s="15" t="s">
        <v>554</v>
      </c>
      <c r="I24" s="15" t="s">
        <v>547</v>
      </c>
      <c r="J24" s="15" t="s">
        <v>546</v>
      </c>
      <c r="K24" s="15" t="s">
        <v>547</v>
      </c>
      <c r="L24" s="15" t="s">
        <v>546</v>
      </c>
      <c r="M24" s="56" t="s">
        <v>547</v>
      </c>
    </row>
    <row r="25" spans="1:13">
      <c r="A25" s="64"/>
      <c r="B25" s="64"/>
      <c r="C25" s="48" t="s">
        <v>581</v>
      </c>
      <c r="D25" s="84" t="s">
        <v>569</v>
      </c>
      <c r="E25" s="54"/>
      <c r="F25" s="84"/>
      <c r="G25" s="85"/>
      <c r="H25" s="86" t="s">
        <v>554</v>
      </c>
      <c r="I25" s="86" t="s">
        <v>547</v>
      </c>
      <c r="J25" s="86"/>
      <c r="K25" s="86" t="s">
        <v>547</v>
      </c>
      <c r="L25" s="86"/>
      <c r="M25" s="57"/>
    </row>
    <row r="27" spans="1:13" s="53" customFormat="1">
      <c r="A27" s="87" t="s">
        <v>360</v>
      </c>
      <c r="B27" s="87" t="s">
        <v>914</v>
      </c>
      <c r="C27" s="13" t="s">
        <v>915</v>
      </c>
      <c r="D27" s="81" t="s">
        <v>543</v>
      </c>
      <c r="F27" s="81">
        <f>1.5/0.05+1</f>
        <v>31</v>
      </c>
      <c r="G27" s="61">
        <f>31.5*F27+44</f>
        <v>1020.5</v>
      </c>
      <c r="H27" s="83" t="s">
        <v>916</v>
      </c>
      <c r="I27" s="83" t="s">
        <v>545</v>
      </c>
      <c r="J27" s="83" t="s">
        <v>546</v>
      </c>
      <c r="K27" s="83" t="s">
        <v>547</v>
      </c>
      <c r="L27" s="83" t="s">
        <v>546</v>
      </c>
      <c r="M27" s="55" t="s">
        <v>547</v>
      </c>
    </row>
    <row r="28" spans="1:13">
      <c r="A28" s="52"/>
      <c r="B28" s="66"/>
      <c r="C28" s="47" t="s">
        <v>557</v>
      </c>
      <c r="D28" s="1" t="s">
        <v>558</v>
      </c>
      <c r="F28" s="1"/>
      <c r="G28" s="61">
        <v>15</v>
      </c>
      <c r="M28" s="56"/>
    </row>
    <row r="29" spans="1:13">
      <c r="A29" s="66"/>
      <c r="B29" s="52"/>
      <c r="C29" s="90" t="s">
        <v>636</v>
      </c>
      <c r="D29" t="s">
        <v>543</v>
      </c>
      <c r="F29" s="1">
        <v>1</v>
      </c>
      <c r="G29" s="61">
        <v>68.386399999999995</v>
      </c>
      <c r="H29" s="3" t="s">
        <v>557</v>
      </c>
      <c r="I29" s="3" t="s">
        <v>545</v>
      </c>
      <c r="J29" s="15" t="s">
        <v>546</v>
      </c>
      <c r="K29" s="15" t="s">
        <v>547</v>
      </c>
      <c r="L29" s="15" t="s">
        <v>546</v>
      </c>
      <c r="M29" s="56" t="s">
        <v>547</v>
      </c>
    </row>
    <row r="30" spans="1:13">
      <c r="A30" s="66"/>
      <c r="B30" s="52"/>
      <c r="C30" s="90" t="s">
        <v>637</v>
      </c>
      <c r="D30" t="s">
        <v>569</v>
      </c>
      <c r="F30"/>
      <c r="H30" s="3" t="s">
        <v>557</v>
      </c>
      <c r="I30" s="3" t="s">
        <v>545</v>
      </c>
      <c r="M30" s="56"/>
    </row>
    <row r="31" spans="1:13">
      <c r="A31" s="66"/>
      <c r="B31" s="52"/>
      <c r="C31" s="90" t="s">
        <v>917</v>
      </c>
      <c r="D31" t="s">
        <v>639</v>
      </c>
      <c r="F31"/>
      <c r="H31" s="3" t="s">
        <v>918</v>
      </c>
      <c r="I31" s="3" t="s">
        <v>545</v>
      </c>
      <c r="M31" s="56"/>
    </row>
    <row r="32" spans="1:13">
      <c r="A32" s="66"/>
      <c r="B32" s="52"/>
      <c r="C32" s="90" t="s">
        <v>919</v>
      </c>
      <c r="D32" t="s">
        <v>543</v>
      </c>
      <c r="F32" s="1">
        <v>11</v>
      </c>
      <c r="G32" s="61">
        <f>31.5*F32+44</f>
        <v>390.5</v>
      </c>
      <c r="H32" s="3" t="s">
        <v>920</v>
      </c>
      <c r="I32" s="3" t="s">
        <v>545</v>
      </c>
      <c r="J32" s="15" t="s">
        <v>546</v>
      </c>
      <c r="K32" s="15" t="s">
        <v>547</v>
      </c>
      <c r="L32" s="15" t="s">
        <v>546</v>
      </c>
      <c r="M32" s="56" t="s">
        <v>547</v>
      </c>
    </row>
    <row r="33" spans="1:13">
      <c r="A33" s="66"/>
      <c r="B33" s="52"/>
      <c r="C33" s="90" t="s">
        <v>642</v>
      </c>
      <c r="D33" t="s">
        <v>639</v>
      </c>
      <c r="F33"/>
      <c r="H33" s="3" t="s">
        <v>920</v>
      </c>
      <c r="I33" s="3" t="s">
        <v>545</v>
      </c>
      <c r="K33" s="15" t="s">
        <v>547</v>
      </c>
      <c r="M33" s="56"/>
    </row>
    <row r="34" spans="1:13">
      <c r="A34" s="66"/>
      <c r="B34" s="52"/>
      <c r="C34" s="90" t="s">
        <v>921</v>
      </c>
      <c r="D34" t="s">
        <v>639</v>
      </c>
      <c r="F34"/>
      <c r="H34" s="3" t="s">
        <v>918</v>
      </c>
      <c r="I34" s="3" t="s">
        <v>545</v>
      </c>
      <c r="M34" s="56"/>
    </row>
    <row r="35" spans="1:13">
      <c r="A35" s="66"/>
      <c r="B35" s="52"/>
      <c r="C35" s="90" t="s">
        <v>922</v>
      </c>
      <c r="D35" t="s">
        <v>543</v>
      </c>
      <c r="F35" s="1">
        <v>11</v>
      </c>
      <c r="G35" s="61">
        <f>31.5*F35+44</f>
        <v>390.5</v>
      </c>
      <c r="H35" s="3" t="s">
        <v>920</v>
      </c>
      <c r="I35" s="3" t="s">
        <v>545</v>
      </c>
      <c r="J35" s="15" t="s">
        <v>546</v>
      </c>
      <c r="K35" s="15" t="s">
        <v>547</v>
      </c>
      <c r="L35" s="15" t="s">
        <v>546</v>
      </c>
      <c r="M35" s="56" t="s">
        <v>547</v>
      </c>
    </row>
    <row r="36" spans="1:13">
      <c r="A36" s="66"/>
      <c r="B36" s="52"/>
      <c r="C36" s="90" t="s">
        <v>641</v>
      </c>
      <c r="D36" t="s">
        <v>639</v>
      </c>
      <c r="F36"/>
      <c r="H36" s="3" t="s">
        <v>920</v>
      </c>
      <c r="I36" s="3" t="s">
        <v>545</v>
      </c>
      <c r="K36" s="15" t="s">
        <v>547</v>
      </c>
      <c r="M36" s="56"/>
    </row>
    <row r="37" spans="1:13">
      <c r="A37" s="66"/>
      <c r="B37" s="52"/>
      <c r="C37" s="90" t="s">
        <v>923</v>
      </c>
      <c r="D37" t="s">
        <v>569</v>
      </c>
      <c r="F37"/>
      <c r="H37" s="3" t="s">
        <v>924</v>
      </c>
      <c r="I37" s="3" t="s">
        <v>545</v>
      </c>
      <c r="K37" s="15" t="s">
        <v>547</v>
      </c>
      <c r="M37" s="56"/>
    </row>
    <row r="38" spans="1:13">
      <c r="A38" s="66"/>
      <c r="B38" s="52"/>
      <c r="C38" s="90" t="s">
        <v>925</v>
      </c>
      <c r="D38" t="s">
        <v>569</v>
      </c>
      <c r="F38"/>
      <c r="H38" s="3" t="s">
        <v>926</v>
      </c>
      <c r="I38" s="3" t="s">
        <v>545</v>
      </c>
      <c r="K38" s="15" t="s">
        <v>547</v>
      </c>
      <c r="M38" s="56"/>
    </row>
    <row r="39" spans="1:13">
      <c r="A39" s="66"/>
      <c r="B39" s="52"/>
      <c r="C39" s="90" t="s">
        <v>927</v>
      </c>
      <c r="D39" t="s">
        <v>569</v>
      </c>
      <c r="F39"/>
      <c r="H39" s="3" t="s">
        <v>928</v>
      </c>
      <c r="I39" s="3" t="s">
        <v>545</v>
      </c>
      <c r="K39" s="15" t="s">
        <v>547</v>
      </c>
      <c r="M39" s="56"/>
    </row>
    <row r="40" spans="1:13">
      <c r="A40" s="66"/>
      <c r="B40" s="52"/>
      <c r="C40" s="90" t="s">
        <v>929</v>
      </c>
      <c r="D40" t="s">
        <v>569</v>
      </c>
      <c r="F40"/>
      <c r="H40" s="3" t="s">
        <v>930</v>
      </c>
      <c r="I40" s="3" t="s">
        <v>545</v>
      </c>
      <c r="K40" s="15" t="s">
        <v>547</v>
      </c>
      <c r="M40" s="56"/>
    </row>
    <row r="41" spans="1:13">
      <c r="A41" s="66"/>
      <c r="B41" s="52"/>
      <c r="C41" s="90" t="s">
        <v>931</v>
      </c>
      <c r="D41" t="s">
        <v>569</v>
      </c>
      <c r="F41"/>
      <c r="H41" s="3" t="s">
        <v>932</v>
      </c>
      <c r="I41" s="3" t="s">
        <v>545</v>
      </c>
      <c r="K41" s="15" t="s">
        <v>547</v>
      </c>
      <c r="M41" s="56"/>
    </row>
    <row r="42" spans="1:13">
      <c r="A42" s="66"/>
      <c r="B42" s="52"/>
      <c r="C42" s="90" t="s">
        <v>933</v>
      </c>
      <c r="D42" t="s">
        <v>632</v>
      </c>
      <c r="F42"/>
      <c r="H42" s="3"/>
      <c r="I42" s="3"/>
      <c r="M42" s="56"/>
    </row>
    <row r="43" spans="1:13">
      <c r="A43" s="66"/>
      <c r="B43" s="52"/>
      <c r="C43" s="90" t="s">
        <v>934</v>
      </c>
      <c r="D43" t="s">
        <v>632</v>
      </c>
      <c r="F43"/>
      <c r="H43" s="3"/>
      <c r="I43" s="3"/>
      <c r="M43" s="56"/>
    </row>
    <row r="44" spans="1:13">
      <c r="A44" s="66"/>
      <c r="B44" s="52"/>
      <c r="C44" s="90" t="s">
        <v>935</v>
      </c>
      <c r="D44" t="s">
        <v>632</v>
      </c>
      <c r="F44"/>
      <c r="H44" s="3"/>
      <c r="I44" s="3"/>
      <c r="M44" s="56"/>
    </row>
    <row r="45" spans="1:13">
      <c r="A45" s="66"/>
      <c r="B45" s="66"/>
      <c r="C45" s="47" t="s">
        <v>936</v>
      </c>
      <c r="D45" s="1" t="s">
        <v>585</v>
      </c>
      <c r="F45" s="1"/>
      <c r="H45" s="3" t="s">
        <v>918</v>
      </c>
      <c r="I45" s="15" t="s">
        <v>545</v>
      </c>
      <c r="K45" s="15" t="s">
        <v>547</v>
      </c>
      <c r="M45" s="56"/>
    </row>
    <row r="46" spans="1:13" s="54" customFormat="1">
      <c r="A46" s="64"/>
      <c r="B46" s="64"/>
      <c r="C46" s="48" t="s">
        <v>937</v>
      </c>
      <c r="D46" s="84"/>
      <c r="F46" s="84"/>
      <c r="G46" s="85"/>
      <c r="H46" s="86"/>
      <c r="I46" s="86"/>
      <c r="J46" s="86"/>
      <c r="K46" s="86"/>
      <c r="L46" s="86"/>
      <c r="M46" s="57"/>
    </row>
    <row r="48" spans="1:13" s="53" customFormat="1">
      <c r="A48" s="87" t="s">
        <v>360</v>
      </c>
      <c r="B48" s="87" t="s">
        <v>365</v>
      </c>
      <c r="C48" s="89" t="s">
        <v>593</v>
      </c>
      <c r="D48" s="53" t="s">
        <v>561</v>
      </c>
      <c r="F48" s="53">
        <v>1</v>
      </c>
      <c r="G48" s="82">
        <v>200.27799999999999</v>
      </c>
      <c r="H48" s="88" t="s">
        <v>547</v>
      </c>
      <c r="I48" s="88" t="s">
        <v>552</v>
      </c>
      <c r="J48" s="83"/>
      <c r="K48" s="83"/>
      <c r="L48" s="83"/>
      <c r="M48" s="55" t="s">
        <v>547</v>
      </c>
    </row>
    <row r="49" spans="1:13">
      <c r="A49" s="66"/>
      <c r="B49" s="52"/>
      <c r="C49" s="90" t="s">
        <v>594</v>
      </c>
      <c r="D49"/>
      <c r="F49"/>
      <c r="H49" s="3"/>
      <c r="I49" s="3"/>
      <c r="M49" s="56"/>
    </row>
    <row r="50" spans="1:13">
      <c r="A50" s="66"/>
      <c r="B50" s="52"/>
      <c r="C50" s="90" t="s">
        <v>595</v>
      </c>
      <c r="D50"/>
      <c r="F50"/>
      <c r="H50" s="3"/>
      <c r="I50" s="3"/>
      <c r="M50" s="56"/>
    </row>
    <row r="51" spans="1:13">
      <c r="A51" s="66"/>
      <c r="B51" s="52"/>
      <c r="C51" s="90" t="s">
        <v>596</v>
      </c>
      <c r="D51" t="s">
        <v>561</v>
      </c>
      <c r="F51" s="1">
        <v>1</v>
      </c>
      <c r="G51" s="61">
        <v>53.270200000000003</v>
      </c>
      <c r="H51" s="3" t="s">
        <v>597</v>
      </c>
      <c r="I51" s="3" t="s">
        <v>552</v>
      </c>
      <c r="M51" s="56" t="s">
        <v>547</v>
      </c>
    </row>
    <row r="52" spans="1:13">
      <c r="A52" s="66"/>
      <c r="B52" s="52"/>
      <c r="C52" s="90" t="s">
        <v>598</v>
      </c>
      <c r="D52" t="s">
        <v>561</v>
      </c>
      <c r="F52" s="1">
        <v>1</v>
      </c>
      <c r="G52" s="61">
        <v>50.950600000000001</v>
      </c>
      <c r="H52" s="3" t="s">
        <v>599</v>
      </c>
      <c r="I52" s="3" t="s">
        <v>552</v>
      </c>
      <c r="M52" s="56" t="s">
        <v>547</v>
      </c>
    </row>
    <row r="53" spans="1:13">
      <c r="A53" s="66"/>
      <c r="B53" s="52"/>
      <c r="C53" s="90" t="s">
        <v>600</v>
      </c>
      <c r="D53" t="s">
        <v>561</v>
      </c>
      <c r="F53" s="1">
        <v>1</v>
      </c>
      <c r="G53" s="61">
        <v>95.314700000000002</v>
      </c>
      <c r="H53" s="58" t="s">
        <v>601</v>
      </c>
      <c r="I53" s="3" t="s">
        <v>552</v>
      </c>
      <c r="M53" s="56" t="s">
        <v>547</v>
      </c>
    </row>
    <row r="54" spans="1:13">
      <c r="A54" s="66"/>
      <c r="B54" s="52"/>
      <c r="C54" s="90" t="s">
        <v>602</v>
      </c>
      <c r="D54" t="s">
        <v>561</v>
      </c>
      <c r="F54" s="1">
        <v>1</v>
      </c>
      <c r="G54" s="61">
        <v>92.903999999999996</v>
      </c>
      <c r="H54" s="3" t="s">
        <v>552</v>
      </c>
      <c r="I54" s="3" t="s">
        <v>547</v>
      </c>
      <c r="M54" s="56" t="s">
        <v>547</v>
      </c>
    </row>
    <row r="55" spans="1:13">
      <c r="A55" s="66"/>
      <c r="B55" s="52"/>
      <c r="C55" s="90" t="s">
        <v>605</v>
      </c>
      <c r="D55" t="s">
        <v>569</v>
      </c>
      <c r="F55"/>
      <c r="H55" s="3" t="s">
        <v>552</v>
      </c>
      <c r="I55" s="3" t="s">
        <v>545</v>
      </c>
      <c r="M55" s="56"/>
    </row>
    <row r="56" spans="1:13">
      <c r="A56" s="66"/>
      <c r="B56" s="52"/>
      <c r="C56" s="90" t="s">
        <v>606</v>
      </c>
      <c r="D56" t="s">
        <v>569</v>
      </c>
      <c r="F56"/>
      <c r="H56" s="3" t="s">
        <v>607</v>
      </c>
      <c r="I56" s="3" t="s">
        <v>545</v>
      </c>
      <c r="M56" s="56"/>
    </row>
    <row r="57" spans="1:13">
      <c r="A57" s="66"/>
      <c r="B57" s="52"/>
      <c r="C57" s="90" t="s">
        <v>608</v>
      </c>
      <c r="D57" t="s">
        <v>569</v>
      </c>
      <c r="F57"/>
      <c r="H57" s="3" t="s">
        <v>609</v>
      </c>
      <c r="I57" s="3" t="s">
        <v>545</v>
      </c>
      <c r="M57" s="56"/>
    </row>
    <row r="58" spans="1:13">
      <c r="A58" s="66"/>
      <c r="B58" s="52"/>
      <c r="C58" s="90" t="s">
        <v>610</v>
      </c>
      <c r="D58" t="s">
        <v>569</v>
      </c>
      <c r="F58"/>
      <c r="H58" s="3" t="s">
        <v>611</v>
      </c>
      <c r="I58" s="3" t="s">
        <v>545</v>
      </c>
      <c r="M58" s="56"/>
    </row>
    <row r="59" spans="1:13">
      <c r="A59" s="66"/>
      <c r="B59" s="52"/>
      <c r="C59" s="90" t="s">
        <v>1511</v>
      </c>
      <c r="D59"/>
      <c r="F59"/>
      <c r="H59" s="3"/>
      <c r="I59" s="3"/>
      <c r="M59" s="56"/>
    </row>
    <row r="60" spans="1:13">
      <c r="A60" s="66"/>
      <c r="B60" s="52"/>
      <c r="C60" s="90" t="s">
        <v>938</v>
      </c>
      <c r="D60" t="s">
        <v>543</v>
      </c>
      <c r="F60" s="1">
        <f>(1.05)/0.05+1</f>
        <v>22</v>
      </c>
      <c r="G60" s="61">
        <f>31.5*F60+44</f>
        <v>737</v>
      </c>
      <c r="H60" s="3" t="s">
        <v>918</v>
      </c>
      <c r="I60" s="3" t="s">
        <v>552</v>
      </c>
      <c r="J60" s="15" t="s">
        <v>546</v>
      </c>
      <c r="K60" s="15" t="s">
        <v>547</v>
      </c>
      <c r="L60" s="15" t="s">
        <v>546</v>
      </c>
      <c r="M60" s="56" t="s">
        <v>547</v>
      </c>
    </row>
    <row r="61" spans="1:13">
      <c r="A61" s="66"/>
      <c r="B61" s="52"/>
      <c r="C61" s="90" t="s">
        <v>613</v>
      </c>
      <c r="D61" t="s">
        <v>569</v>
      </c>
      <c r="F61"/>
      <c r="H61" s="3" t="s">
        <v>552</v>
      </c>
      <c r="I61" s="3" t="s">
        <v>552</v>
      </c>
      <c r="M61" s="56"/>
    </row>
    <row r="62" spans="1:13">
      <c r="A62" s="66"/>
      <c r="B62" s="52"/>
      <c r="C62" s="90" t="s">
        <v>614</v>
      </c>
      <c r="D62" t="s">
        <v>569</v>
      </c>
      <c r="F62"/>
      <c r="H62" s="3" t="s">
        <v>607</v>
      </c>
      <c r="I62" s="3" t="s">
        <v>552</v>
      </c>
      <c r="M62" s="56"/>
    </row>
    <row r="63" spans="1:13">
      <c r="A63" s="66"/>
      <c r="B63" s="52"/>
      <c r="C63" s="90" t="s">
        <v>615</v>
      </c>
      <c r="D63" t="s">
        <v>569</v>
      </c>
      <c r="F63"/>
      <c r="H63" s="3" t="s">
        <v>609</v>
      </c>
      <c r="I63" s="3" t="s">
        <v>552</v>
      </c>
      <c r="M63" s="56"/>
    </row>
    <row r="64" spans="1:13">
      <c r="A64" s="66"/>
      <c r="B64" s="52"/>
      <c r="C64" s="90" t="s">
        <v>616</v>
      </c>
      <c r="D64" t="s">
        <v>569</v>
      </c>
      <c r="F64"/>
      <c r="H64" s="3" t="s">
        <v>611</v>
      </c>
      <c r="I64" s="3" t="s">
        <v>552</v>
      </c>
      <c r="M64" s="56"/>
    </row>
    <row r="65" spans="1:13">
      <c r="A65" s="66"/>
      <c r="B65" s="52"/>
      <c r="C65" s="90" t="s">
        <v>619</v>
      </c>
      <c r="D65" t="s">
        <v>569</v>
      </c>
      <c r="F65"/>
      <c r="H65" s="3" t="s">
        <v>620</v>
      </c>
      <c r="I65" s="3" t="s">
        <v>552</v>
      </c>
      <c r="M65" s="56"/>
    </row>
    <row r="66" spans="1:13">
      <c r="A66" s="66"/>
      <c r="B66" s="52"/>
      <c r="C66" s="90" t="s">
        <v>621</v>
      </c>
      <c r="D66" t="s">
        <v>569</v>
      </c>
      <c r="F66"/>
      <c r="H66" s="3" t="s">
        <v>622</v>
      </c>
      <c r="I66" s="3" t="s">
        <v>552</v>
      </c>
      <c r="M66" s="56"/>
    </row>
    <row r="67" spans="1:13">
      <c r="A67" s="66"/>
      <c r="B67" s="52"/>
      <c r="C67" s="90" t="s">
        <v>623</v>
      </c>
      <c r="D67" t="s">
        <v>569</v>
      </c>
      <c r="F67"/>
      <c r="H67" s="3" t="s">
        <v>624</v>
      </c>
      <c r="I67" s="3" t="s">
        <v>552</v>
      </c>
      <c r="M67" s="56"/>
    </row>
    <row r="68" spans="1:13">
      <c r="A68" s="66"/>
      <c r="B68" s="52"/>
      <c r="C68" s="90" t="s">
        <v>625</v>
      </c>
      <c r="D68" t="s">
        <v>569</v>
      </c>
      <c r="F68"/>
      <c r="H68" s="3" t="s">
        <v>550</v>
      </c>
      <c r="I68" s="3" t="s">
        <v>552</v>
      </c>
      <c r="M68" s="56"/>
    </row>
    <row r="69" spans="1:13">
      <c r="A69" s="66"/>
      <c r="B69" s="52"/>
      <c r="C69" s="90" t="s">
        <v>626</v>
      </c>
      <c r="D69" t="s">
        <v>543</v>
      </c>
      <c r="F69" s="1">
        <v>4</v>
      </c>
      <c r="G69" s="61">
        <v>171.91</v>
      </c>
      <c r="H69" s="3" t="s">
        <v>604</v>
      </c>
      <c r="I69" s="3" t="s">
        <v>620</v>
      </c>
      <c r="J69" s="15" t="s">
        <v>546</v>
      </c>
      <c r="K69" s="15" t="s">
        <v>547</v>
      </c>
      <c r="L69" s="15" t="s">
        <v>546</v>
      </c>
      <c r="M69" s="56" t="s">
        <v>547</v>
      </c>
    </row>
    <row r="70" spans="1:13">
      <c r="A70" s="66"/>
      <c r="B70" s="52"/>
      <c r="C70" s="90" t="s">
        <v>627</v>
      </c>
      <c r="D70" t="s">
        <v>569</v>
      </c>
      <c r="F70"/>
      <c r="H70" s="3" t="s">
        <v>552</v>
      </c>
      <c r="I70" s="3" t="s">
        <v>620</v>
      </c>
      <c r="M70" s="56"/>
    </row>
    <row r="71" spans="1:13">
      <c r="A71" s="66"/>
      <c r="B71" s="52"/>
      <c r="C71" s="90" t="s">
        <v>628</v>
      </c>
      <c r="D71" t="s">
        <v>569</v>
      </c>
      <c r="F71"/>
      <c r="H71" s="3" t="s">
        <v>607</v>
      </c>
      <c r="I71" s="3" t="s">
        <v>620</v>
      </c>
      <c r="M71" s="56"/>
    </row>
    <row r="72" spans="1:13">
      <c r="A72" s="66"/>
      <c r="B72" s="52"/>
      <c r="C72" s="90" t="s">
        <v>629</v>
      </c>
      <c r="D72" t="s">
        <v>569</v>
      </c>
      <c r="F72"/>
      <c r="H72" s="3" t="s">
        <v>609</v>
      </c>
      <c r="I72" s="3" t="s">
        <v>620</v>
      </c>
      <c r="M72" s="56"/>
    </row>
    <row r="73" spans="1:13">
      <c r="A73" s="66"/>
      <c r="B73" s="52"/>
      <c r="C73" s="90" t="s">
        <v>630</v>
      </c>
      <c r="D73" t="s">
        <v>569</v>
      </c>
      <c r="F73"/>
      <c r="H73" s="3" t="s">
        <v>611</v>
      </c>
      <c r="I73" s="3" t="s">
        <v>620</v>
      </c>
      <c r="M73" s="56"/>
    </row>
    <row r="74" spans="1:13">
      <c r="A74" s="66"/>
      <c r="B74" s="52"/>
      <c r="C74" s="90" t="s">
        <v>631</v>
      </c>
      <c r="D74" t="s">
        <v>632</v>
      </c>
      <c r="F74"/>
      <c r="H74" s="3"/>
      <c r="I74" s="3"/>
      <c r="M74" s="56"/>
    </row>
    <row r="75" spans="1:13">
      <c r="A75" s="66"/>
      <c r="B75" s="52"/>
      <c r="C75" s="90" t="s">
        <v>633</v>
      </c>
      <c r="D75" t="s">
        <v>632</v>
      </c>
      <c r="F75"/>
      <c r="H75" s="3"/>
      <c r="I75" s="3"/>
      <c r="M75" s="56"/>
    </row>
    <row r="76" spans="1:13">
      <c r="A76" s="66"/>
      <c r="B76" s="52"/>
      <c r="C76" s="90" t="s">
        <v>634</v>
      </c>
      <c r="D76" t="s">
        <v>632</v>
      </c>
      <c r="F76"/>
      <c r="H76" s="3"/>
      <c r="I76" s="3"/>
      <c r="M76" s="56"/>
    </row>
    <row r="77" spans="1:13">
      <c r="A77" s="66"/>
      <c r="B77" s="52"/>
      <c r="C77" s="90" t="s">
        <v>635</v>
      </c>
      <c r="D77" t="s">
        <v>632</v>
      </c>
      <c r="F77"/>
      <c r="H77" s="3"/>
      <c r="I77" s="3"/>
      <c r="M77" s="56"/>
    </row>
    <row r="78" spans="1:13">
      <c r="A78" s="66"/>
      <c r="B78" s="52"/>
      <c r="C78" s="90" t="s">
        <v>939</v>
      </c>
      <c r="D78" t="s">
        <v>639</v>
      </c>
      <c r="F78"/>
      <c r="H78" s="3" t="s">
        <v>918</v>
      </c>
      <c r="I78" s="3" t="s">
        <v>552</v>
      </c>
      <c r="M78" s="56"/>
    </row>
    <row r="79" spans="1:13">
      <c r="A79" s="66"/>
      <c r="B79" s="52"/>
      <c r="C79" s="90" t="s">
        <v>940</v>
      </c>
      <c r="D79" t="s">
        <v>543</v>
      </c>
      <c r="F79" s="1">
        <v>11</v>
      </c>
      <c r="G79" s="61">
        <f>31.5*F79+44</f>
        <v>390.5</v>
      </c>
      <c r="H79" s="3" t="s">
        <v>941</v>
      </c>
      <c r="I79" s="3" t="s">
        <v>552</v>
      </c>
      <c r="J79" s="15" t="s">
        <v>546</v>
      </c>
      <c r="K79" s="15" t="s">
        <v>547</v>
      </c>
      <c r="L79" s="15" t="s">
        <v>546</v>
      </c>
      <c r="M79" s="56" t="s">
        <v>547</v>
      </c>
    </row>
    <row r="80" spans="1:13">
      <c r="A80" s="66"/>
      <c r="B80" s="52"/>
      <c r="C80" s="90" t="s">
        <v>638</v>
      </c>
      <c r="D80" t="s">
        <v>639</v>
      </c>
      <c r="F80"/>
      <c r="H80" s="3" t="s">
        <v>941</v>
      </c>
      <c r="I80" s="3" t="s">
        <v>552</v>
      </c>
      <c r="K80" s="15" t="s">
        <v>547</v>
      </c>
      <c r="M80" s="56"/>
    </row>
    <row r="81" spans="1:13" s="15" customFormat="1">
      <c r="A81" s="66"/>
      <c r="B81" s="52"/>
      <c r="C81" s="90" t="s">
        <v>942</v>
      </c>
      <c r="D81" t="s">
        <v>639</v>
      </c>
      <c r="E81"/>
      <c r="F81"/>
      <c r="G81" s="61"/>
      <c r="H81" s="3" t="s">
        <v>918</v>
      </c>
      <c r="I81" s="3" t="s">
        <v>552</v>
      </c>
      <c r="K81" s="15" t="s">
        <v>547</v>
      </c>
      <c r="M81" s="56"/>
    </row>
    <row r="82" spans="1:13" s="15" customFormat="1">
      <c r="A82" s="66"/>
      <c r="B82" s="52"/>
      <c r="C82" s="90" t="s">
        <v>943</v>
      </c>
      <c r="D82" t="s">
        <v>543</v>
      </c>
      <c r="E82"/>
      <c r="F82" s="1">
        <v>11</v>
      </c>
      <c r="G82" s="61">
        <f>31.5*F82+44</f>
        <v>390.5</v>
      </c>
      <c r="H82" s="3" t="s">
        <v>920</v>
      </c>
      <c r="I82" s="3" t="s">
        <v>552</v>
      </c>
      <c r="J82" s="15" t="s">
        <v>546</v>
      </c>
      <c r="K82" s="15" t="s">
        <v>547</v>
      </c>
      <c r="L82" s="15" t="s">
        <v>546</v>
      </c>
      <c r="M82" s="56" t="s">
        <v>547</v>
      </c>
    </row>
    <row r="83" spans="1:13" s="15" customFormat="1">
      <c r="A83" s="66"/>
      <c r="B83" s="52"/>
      <c r="C83" s="90" t="s">
        <v>654</v>
      </c>
      <c r="D83" t="s">
        <v>639</v>
      </c>
      <c r="E83"/>
      <c r="F83"/>
      <c r="G83" s="61"/>
      <c r="H83" s="3" t="s">
        <v>920</v>
      </c>
      <c r="I83" s="3" t="s">
        <v>552</v>
      </c>
      <c r="K83" s="15" t="s">
        <v>547</v>
      </c>
      <c r="M83" s="56"/>
    </row>
    <row r="84" spans="1:13" s="15" customFormat="1">
      <c r="A84" s="66"/>
      <c r="B84" s="52"/>
      <c r="C84" s="90" t="s">
        <v>944</v>
      </c>
      <c r="D84" t="s">
        <v>639</v>
      </c>
      <c r="E84"/>
      <c r="F84"/>
      <c r="G84" s="61"/>
      <c r="H84" s="3" t="s">
        <v>918</v>
      </c>
      <c r="I84" s="3" t="s">
        <v>552</v>
      </c>
      <c r="K84" s="15" t="s">
        <v>547</v>
      </c>
      <c r="M84" s="56"/>
    </row>
    <row r="85" spans="1:13" s="15" customFormat="1">
      <c r="A85" s="66"/>
      <c r="B85" s="52"/>
      <c r="C85" s="90" t="s">
        <v>945</v>
      </c>
      <c r="D85" t="s">
        <v>543</v>
      </c>
      <c r="E85"/>
      <c r="F85" s="1">
        <v>11</v>
      </c>
      <c r="G85" s="61">
        <f>31.5*F85+44</f>
        <v>390.5</v>
      </c>
      <c r="H85" s="3" t="s">
        <v>920</v>
      </c>
      <c r="I85" s="3" t="s">
        <v>552</v>
      </c>
      <c r="J85" s="15" t="s">
        <v>546</v>
      </c>
      <c r="K85" s="15" t="s">
        <v>547</v>
      </c>
      <c r="L85" s="15" t="s">
        <v>546</v>
      </c>
      <c r="M85" s="56" t="s">
        <v>547</v>
      </c>
    </row>
    <row r="86" spans="1:13" s="15" customFormat="1">
      <c r="A86" s="66"/>
      <c r="B86" s="52"/>
      <c r="C86" s="90" t="s">
        <v>653</v>
      </c>
      <c r="D86" t="s">
        <v>639</v>
      </c>
      <c r="E86"/>
      <c r="F86"/>
      <c r="G86" s="61"/>
      <c r="H86" s="3" t="s">
        <v>920</v>
      </c>
      <c r="I86" s="3" t="s">
        <v>552</v>
      </c>
      <c r="K86" s="15" t="s">
        <v>547</v>
      </c>
      <c r="M86" s="56"/>
    </row>
    <row r="87" spans="1:13" s="15" customFormat="1">
      <c r="A87" s="66"/>
      <c r="B87" s="52"/>
      <c r="C87" s="90" t="s">
        <v>946</v>
      </c>
      <c r="D87" t="s">
        <v>569</v>
      </c>
      <c r="E87"/>
      <c r="F87"/>
      <c r="G87" s="61"/>
      <c r="H87" s="3" t="s">
        <v>924</v>
      </c>
      <c r="I87" s="3" t="s">
        <v>552</v>
      </c>
      <c r="K87" s="15" t="s">
        <v>547</v>
      </c>
      <c r="M87" s="56"/>
    </row>
    <row r="88" spans="1:13" s="15" customFormat="1">
      <c r="A88" s="66"/>
      <c r="B88" s="52"/>
      <c r="C88" s="90" t="s">
        <v>947</v>
      </c>
      <c r="D88" t="s">
        <v>569</v>
      </c>
      <c r="E88"/>
      <c r="F88"/>
      <c r="G88" s="61"/>
      <c r="H88" s="3" t="s">
        <v>926</v>
      </c>
      <c r="I88" s="3" t="s">
        <v>552</v>
      </c>
      <c r="K88" s="15" t="s">
        <v>547</v>
      </c>
      <c r="M88" s="56"/>
    </row>
    <row r="89" spans="1:13" s="15" customFormat="1">
      <c r="A89" s="66"/>
      <c r="B89" s="52"/>
      <c r="C89" s="90" t="s">
        <v>948</v>
      </c>
      <c r="D89" t="s">
        <v>569</v>
      </c>
      <c r="E89"/>
      <c r="F89"/>
      <c r="G89" s="61"/>
      <c r="H89" s="3" t="s">
        <v>928</v>
      </c>
      <c r="I89" s="3" t="s">
        <v>552</v>
      </c>
      <c r="K89" s="15" t="s">
        <v>547</v>
      </c>
      <c r="M89" s="56"/>
    </row>
    <row r="90" spans="1:13" s="15" customFormat="1">
      <c r="A90" s="66"/>
      <c r="B90" s="52"/>
      <c r="C90" s="90" t="s">
        <v>949</v>
      </c>
      <c r="D90" t="s">
        <v>569</v>
      </c>
      <c r="E90"/>
      <c r="F90"/>
      <c r="G90" s="61"/>
      <c r="H90" s="3" t="s">
        <v>930</v>
      </c>
      <c r="I90" s="3" t="s">
        <v>552</v>
      </c>
      <c r="K90" s="15" t="s">
        <v>547</v>
      </c>
      <c r="M90" s="56"/>
    </row>
    <row r="91" spans="1:13" s="15" customFormat="1">
      <c r="A91" s="66"/>
      <c r="B91" s="52"/>
      <c r="C91" s="90" t="s">
        <v>950</v>
      </c>
      <c r="D91" t="s">
        <v>569</v>
      </c>
      <c r="E91"/>
      <c r="F91"/>
      <c r="G91" s="61"/>
      <c r="H91" s="3" t="s">
        <v>932</v>
      </c>
      <c r="I91" s="3" t="s">
        <v>552</v>
      </c>
      <c r="K91" s="15" t="s">
        <v>547</v>
      </c>
      <c r="M91" s="56"/>
    </row>
    <row r="92" spans="1:13" s="15" customFormat="1">
      <c r="A92" s="66"/>
      <c r="B92" s="52"/>
      <c r="C92" s="90" t="s">
        <v>951</v>
      </c>
      <c r="D92" t="s">
        <v>632</v>
      </c>
      <c r="E92"/>
      <c r="F92"/>
      <c r="G92" s="61"/>
      <c r="H92" s="3"/>
      <c r="I92" s="3"/>
      <c r="M92" s="56"/>
    </row>
    <row r="93" spans="1:13" s="15" customFormat="1">
      <c r="A93" s="66"/>
      <c r="B93" s="52"/>
      <c r="C93" s="90" t="s">
        <v>952</v>
      </c>
      <c r="D93" t="s">
        <v>632</v>
      </c>
      <c r="E93"/>
      <c r="F93"/>
      <c r="G93" s="61"/>
      <c r="H93" s="3"/>
      <c r="I93" s="3"/>
      <c r="M93" s="56"/>
    </row>
    <row r="94" spans="1:13" s="15" customFormat="1">
      <c r="A94" s="66"/>
      <c r="B94" s="52"/>
      <c r="C94" s="90" t="s">
        <v>953</v>
      </c>
      <c r="D94" t="s">
        <v>632</v>
      </c>
      <c r="E94"/>
      <c r="F94"/>
      <c r="G94" s="61"/>
      <c r="H94" s="3"/>
      <c r="I94" s="3"/>
      <c r="M94" s="56"/>
    </row>
    <row r="95" spans="1:13" s="15" customFormat="1">
      <c r="A95" s="66"/>
      <c r="B95" s="52"/>
      <c r="C95" s="90" t="s">
        <v>954</v>
      </c>
      <c r="D95" t="s">
        <v>585</v>
      </c>
      <c r="E95"/>
      <c r="F95"/>
      <c r="G95" s="61"/>
      <c r="H95" s="3" t="s">
        <v>918</v>
      </c>
      <c r="I95" s="3" t="s">
        <v>552</v>
      </c>
      <c r="K95" s="15" t="s">
        <v>547</v>
      </c>
      <c r="M95" s="56"/>
    </row>
    <row r="96" spans="1:13" s="15" customFormat="1">
      <c r="A96" s="66"/>
      <c r="B96" s="52"/>
      <c r="C96" s="90" t="s">
        <v>955</v>
      </c>
      <c r="D96"/>
      <c r="E96"/>
      <c r="F96"/>
      <c r="G96" s="61"/>
      <c r="H96" s="3"/>
      <c r="I96" s="3"/>
      <c r="M96" s="56"/>
    </row>
    <row r="97" spans="1:16" s="15" customFormat="1">
      <c r="A97" s="66"/>
      <c r="B97" s="52"/>
      <c r="C97" s="90" t="s">
        <v>665</v>
      </c>
      <c r="D97" t="s">
        <v>632</v>
      </c>
      <c r="E97"/>
      <c r="F97"/>
      <c r="G97" s="61"/>
      <c r="H97" s="3"/>
      <c r="I97" s="3"/>
      <c r="M97" s="56"/>
    </row>
    <row r="98" spans="1:16" s="15" customFormat="1">
      <c r="A98" s="66"/>
      <c r="B98" s="52"/>
      <c r="C98" s="90" t="s">
        <v>666</v>
      </c>
      <c r="D98" t="s">
        <v>632</v>
      </c>
      <c r="E98"/>
      <c r="F98"/>
      <c r="G98" s="61"/>
      <c r="H98" s="3"/>
      <c r="I98" s="3"/>
      <c r="M98" s="56"/>
    </row>
    <row r="99" spans="1:16">
      <c r="A99" s="66"/>
      <c r="B99" s="52"/>
      <c r="C99" s="90" t="s">
        <v>667</v>
      </c>
      <c r="D99" t="s">
        <v>632</v>
      </c>
      <c r="F99"/>
      <c r="H99" s="3"/>
      <c r="I99" s="3"/>
      <c r="M99" s="56"/>
    </row>
    <row r="100" spans="1:16">
      <c r="A100" s="66"/>
      <c r="B100" s="52"/>
      <c r="C100" s="90" t="s">
        <v>668</v>
      </c>
      <c r="D100" t="s">
        <v>561</v>
      </c>
      <c r="F100" s="1">
        <v>1</v>
      </c>
      <c r="G100" s="61">
        <v>95.685400000000001</v>
      </c>
      <c r="H100" s="3" t="s">
        <v>669</v>
      </c>
      <c r="I100" s="3" t="s">
        <v>552</v>
      </c>
      <c r="M100" s="56"/>
    </row>
    <row r="101" spans="1:16" s="54" customFormat="1">
      <c r="A101" s="64"/>
      <c r="B101" s="115"/>
      <c r="C101" s="117" t="s">
        <v>670</v>
      </c>
      <c r="F101" s="84">
        <v>1</v>
      </c>
      <c r="G101" s="85">
        <v>95.685400000000001</v>
      </c>
      <c r="H101" s="91" t="s">
        <v>669</v>
      </c>
      <c r="I101" s="91" t="s">
        <v>552</v>
      </c>
      <c r="J101" s="86"/>
      <c r="K101" s="86"/>
      <c r="L101" s="86"/>
      <c r="M101" s="57"/>
    </row>
    <row r="103" spans="1:16" s="53" customFormat="1">
      <c r="A103" s="87" t="s">
        <v>360</v>
      </c>
      <c r="B103" s="63" t="s">
        <v>956</v>
      </c>
      <c r="C103" s="53" t="s">
        <v>671</v>
      </c>
      <c r="D103" s="53" t="s">
        <v>543</v>
      </c>
      <c r="F103" s="81">
        <v>6</v>
      </c>
      <c r="G103" s="61">
        <f>31.5*F103+44</f>
        <v>233</v>
      </c>
      <c r="H103" s="88" t="s">
        <v>672</v>
      </c>
      <c r="I103" s="88" t="s">
        <v>545</v>
      </c>
      <c r="J103" s="83" t="s">
        <v>546</v>
      </c>
      <c r="K103" s="83" t="s">
        <v>547</v>
      </c>
      <c r="L103" s="83" t="s">
        <v>546</v>
      </c>
      <c r="M103" s="55" t="s">
        <v>547</v>
      </c>
      <c r="P103" s="82"/>
    </row>
    <row r="104" spans="1:16">
      <c r="A104" s="52"/>
      <c r="B104" s="66"/>
      <c r="C104" t="s">
        <v>673</v>
      </c>
      <c r="D104" t="s">
        <v>569</v>
      </c>
      <c r="F104"/>
      <c r="H104" s="3" t="s">
        <v>674</v>
      </c>
      <c r="I104" s="3" t="s">
        <v>545</v>
      </c>
      <c r="M104" s="56"/>
    </row>
    <row r="105" spans="1:16">
      <c r="A105" s="52"/>
      <c r="B105" s="66"/>
      <c r="C105" t="s">
        <v>675</v>
      </c>
      <c r="D105" t="s">
        <v>569</v>
      </c>
      <c r="F105" s="1"/>
      <c r="H105" s="3" t="s">
        <v>676</v>
      </c>
      <c r="I105" s="3" t="s">
        <v>545</v>
      </c>
      <c r="M105" s="56"/>
    </row>
    <row r="106" spans="1:16">
      <c r="A106" s="52"/>
      <c r="B106" s="66"/>
      <c r="C106" t="s">
        <v>677</v>
      </c>
      <c r="D106" t="s">
        <v>569</v>
      </c>
      <c r="F106" s="1"/>
      <c r="H106" s="3" t="s">
        <v>678</v>
      </c>
      <c r="I106" s="3" t="s">
        <v>545</v>
      </c>
      <c r="M106" s="56"/>
    </row>
    <row r="107" spans="1:16">
      <c r="A107" s="52"/>
      <c r="B107" s="66"/>
      <c r="C107" t="s">
        <v>679</v>
      </c>
      <c r="D107" t="s">
        <v>543</v>
      </c>
      <c r="F107" s="1">
        <v>6</v>
      </c>
      <c r="G107" s="61">
        <v>231.37100000000001</v>
      </c>
      <c r="H107" s="3" t="s">
        <v>680</v>
      </c>
      <c r="I107" s="3" t="s">
        <v>552</v>
      </c>
      <c r="J107" s="15" t="s">
        <v>546</v>
      </c>
      <c r="K107" s="15" t="s">
        <v>547</v>
      </c>
      <c r="L107" s="15" t="s">
        <v>546</v>
      </c>
      <c r="M107" s="56" t="s">
        <v>547</v>
      </c>
    </row>
    <row r="108" spans="1:16">
      <c r="A108" s="52"/>
      <c r="B108" s="66"/>
      <c r="C108" t="s">
        <v>681</v>
      </c>
      <c r="D108" t="s">
        <v>569</v>
      </c>
      <c r="F108"/>
      <c r="H108" s="3" t="s">
        <v>682</v>
      </c>
      <c r="I108" s="3" t="s">
        <v>552</v>
      </c>
      <c r="M108" s="56"/>
    </row>
    <row r="109" spans="1:16">
      <c r="A109" s="52"/>
      <c r="B109" s="66"/>
      <c r="C109" t="s">
        <v>683</v>
      </c>
      <c r="D109" t="s">
        <v>569</v>
      </c>
      <c r="F109"/>
      <c r="H109" s="3" t="s">
        <v>684</v>
      </c>
      <c r="I109" s="3" t="s">
        <v>552</v>
      </c>
      <c r="M109" s="56"/>
    </row>
    <row r="110" spans="1:16">
      <c r="A110" s="52"/>
      <c r="B110" s="66"/>
      <c r="C110" t="s">
        <v>685</v>
      </c>
      <c r="D110" t="s">
        <v>569</v>
      </c>
      <c r="F110"/>
      <c r="H110" s="3" t="s">
        <v>686</v>
      </c>
      <c r="I110" s="3" t="s">
        <v>552</v>
      </c>
      <c r="M110" s="56"/>
    </row>
    <row r="111" spans="1:16">
      <c r="A111" s="52"/>
      <c r="B111" s="66"/>
      <c r="C111" t="s">
        <v>687</v>
      </c>
      <c r="D111" t="s">
        <v>543</v>
      </c>
      <c r="F111" s="1">
        <v>2</v>
      </c>
      <c r="G111" s="61">
        <v>106.18899999999999</v>
      </c>
      <c r="H111" s="3" t="s">
        <v>688</v>
      </c>
      <c r="I111" s="3" t="s">
        <v>545</v>
      </c>
      <c r="J111" s="15" t="s">
        <v>546</v>
      </c>
      <c r="K111" s="15" t="s">
        <v>547</v>
      </c>
      <c r="L111" s="15" t="s">
        <v>546</v>
      </c>
      <c r="M111" s="56" t="s">
        <v>547</v>
      </c>
    </row>
    <row r="112" spans="1:16">
      <c r="A112" s="52"/>
      <c r="B112" s="66"/>
      <c r="C112" t="s">
        <v>689</v>
      </c>
      <c r="D112" t="s">
        <v>543</v>
      </c>
      <c r="F112">
        <f>(1.1-0.65)/0.05+1</f>
        <v>10</v>
      </c>
      <c r="G112" s="61">
        <v>360.38400000000001</v>
      </c>
      <c r="H112" s="3" t="s">
        <v>690</v>
      </c>
      <c r="I112" s="3" t="s">
        <v>545</v>
      </c>
      <c r="J112" s="15" t="s">
        <v>546</v>
      </c>
      <c r="K112" s="15" t="s">
        <v>547</v>
      </c>
      <c r="L112" s="15" t="s">
        <v>546</v>
      </c>
      <c r="M112" s="56" t="s">
        <v>547</v>
      </c>
    </row>
    <row r="113" spans="1:13">
      <c r="A113" s="52"/>
      <c r="B113" s="66"/>
      <c r="C113" t="s">
        <v>691</v>
      </c>
      <c r="D113" t="s">
        <v>569</v>
      </c>
      <c r="F113"/>
      <c r="H113" s="3" t="s">
        <v>692</v>
      </c>
      <c r="I113" s="3" t="s">
        <v>545</v>
      </c>
      <c r="M113" s="56"/>
    </row>
    <row r="114" spans="1:13">
      <c r="A114" s="52"/>
      <c r="B114" s="66"/>
      <c r="C114" t="s">
        <v>693</v>
      </c>
      <c r="D114" t="s">
        <v>569</v>
      </c>
      <c r="F114"/>
      <c r="H114" s="3" t="s">
        <v>694</v>
      </c>
      <c r="I114" s="3" t="s">
        <v>545</v>
      </c>
      <c r="M114" s="56"/>
    </row>
    <row r="115" spans="1:13">
      <c r="A115" s="52"/>
      <c r="B115" s="66"/>
      <c r="C115" t="s">
        <v>695</v>
      </c>
      <c r="D115" t="s">
        <v>569</v>
      </c>
      <c r="F115"/>
      <c r="H115" s="3" t="s">
        <v>696</v>
      </c>
      <c r="I115" s="3" t="s">
        <v>545</v>
      </c>
      <c r="M115" s="56"/>
    </row>
    <row r="116" spans="1:13">
      <c r="A116" s="52"/>
      <c r="B116" s="66"/>
      <c r="C116" t="s">
        <v>697</v>
      </c>
      <c r="D116" t="s">
        <v>569</v>
      </c>
      <c r="F116"/>
      <c r="H116" s="3" t="s">
        <v>698</v>
      </c>
      <c r="I116" s="3" t="s">
        <v>545</v>
      </c>
      <c r="M116" s="56"/>
    </row>
    <row r="117" spans="1:13">
      <c r="A117" s="52"/>
      <c r="B117" s="66"/>
      <c r="C117" t="s">
        <v>699</v>
      </c>
      <c r="D117" t="s">
        <v>569</v>
      </c>
      <c r="F117"/>
      <c r="H117" s="3" t="s">
        <v>700</v>
      </c>
      <c r="I117" s="3" t="s">
        <v>545</v>
      </c>
      <c r="M117" s="56"/>
    </row>
    <row r="118" spans="1:13">
      <c r="A118" s="52"/>
      <c r="B118" s="66"/>
      <c r="C118" t="s">
        <v>701</v>
      </c>
      <c r="D118" t="s">
        <v>569</v>
      </c>
      <c r="F118"/>
      <c r="H118" s="3" t="s">
        <v>702</v>
      </c>
      <c r="I118" s="3" t="s">
        <v>545</v>
      </c>
      <c r="M118" s="56"/>
    </row>
    <row r="119" spans="1:13">
      <c r="A119" s="52"/>
      <c r="B119" s="66"/>
      <c r="C119" t="s">
        <v>703</v>
      </c>
      <c r="D119" t="s">
        <v>569</v>
      </c>
      <c r="F119"/>
      <c r="H119" s="3" t="s">
        <v>704</v>
      </c>
      <c r="I119" s="3" t="s">
        <v>545</v>
      </c>
      <c r="M119" s="56"/>
    </row>
    <row r="120" spans="1:13">
      <c r="A120" s="52"/>
      <c r="B120" s="66"/>
      <c r="C120" t="s">
        <v>705</v>
      </c>
      <c r="D120" t="s">
        <v>569</v>
      </c>
      <c r="F120"/>
      <c r="H120" s="3" t="s">
        <v>706</v>
      </c>
      <c r="I120" s="3" t="s">
        <v>545</v>
      </c>
      <c r="M120" s="56"/>
    </row>
    <row r="121" spans="1:13">
      <c r="A121" s="52"/>
      <c r="B121" s="66"/>
      <c r="C121" t="s">
        <v>707</v>
      </c>
      <c r="D121" t="s">
        <v>569</v>
      </c>
      <c r="F121"/>
      <c r="H121" s="3" t="s">
        <v>708</v>
      </c>
      <c r="I121" s="3" t="s">
        <v>545</v>
      </c>
      <c r="M121" s="56"/>
    </row>
    <row r="122" spans="1:13">
      <c r="A122" s="52"/>
      <c r="B122" s="66"/>
      <c r="C122" t="s">
        <v>709</v>
      </c>
      <c r="D122" t="s">
        <v>543</v>
      </c>
      <c r="F122" s="1">
        <v>2</v>
      </c>
      <c r="G122" s="61">
        <v>108.983</v>
      </c>
      <c r="H122" s="3" t="s">
        <v>710</v>
      </c>
      <c r="I122" s="3" t="s">
        <v>545</v>
      </c>
      <c r="J122" s="15" t="s">
        <v>546</v>
      </c>
      <c r="K122" s="15" t="s">
        <v>547</v>
      </c>
      <c r="L122" s="15" t="s">
        <v>546</v>
      </c>
      <c r="M122" s="56" t="s">
        <v>547</v>
      </c>
    </row>
    <row r="123" spans="1:13">
      <c r="A123" s="52"/>
      <c r="B123" s="66"/>
      <c r="C123" t="s">
        <v>711</v>
      </c>
      <c r="D123" t="s">
        <v>543</v>
      </c>
      <c r="F123" s="1">
        <v>2</v>
      </c>
      <c r="G123" s="61">
        <v>107.95099999999999</v>
      </c>
      <c r="H123" s="3" t="s">
        <v>712</v>
      </c>
      <c r="I123" s="3" t="s">
        <v>552</v>
      </c>
      <c r="J123" s="15" t="s">
        <v>546</v>
      </c>
      <c r="K123" s="15" t="s">
        <v>547</v>
      </c>
      <c r="L123" s="15" t="s">
        <v>546</v>
      </c>
      <c r="M123" s="56" t="s">
        <v>547</v>
      </c>
    </row>
    <row r="124" spans="1:13">
      <c r="A124" s="52"/>
      <c r="B124" s="66"/>
      <c r="C124" t="s">
        <v>713</v>
      </c>
      <c r="D124" t="s">
        <v>569</v>
      </c>
      <c r="F124"/>
      <c r="H124" s="3" t="s">
        <v>714</v>
      </c>
      <c r="I124" s="3" t="s">
        <v>545</v>
      </c>
      <c r="M124" s="56"/>
    </row>
    <row r="125" spans="1:13">
      <c r="A125" s="52"/>
      <c r="B125" s="66"/>
      <c r="C125" t="s">
        <v>715</v>
      </c>
      <c r="D125" t="s">
        <v>569</v>
      </c>
      <c r="F125"/>
      <c r="H125" s="3" t="s">
        <v>716</v>
      </c>
      <c r="I125" s="3" t="s">
        <v>545</v>
      </c>
      <c r="M125" s="56"/>
    </row>
    <row r="126" spans="1:13">
      <c r="A126" s="52"/>
      <c r="B126" s="66"/>
      <c r="C126" t="s">
        <v>717</v>
      </c>
      <c r="D126" t="s">
        <v>569</v>
      </c>
      <c r="F126"/>
      <c r="H126" s="3" t="s">
        <v>718</v>
      </c>
      <c r="I126" s="3" t="s">
        <v>552</v>
      </c>
      <c r="M126" s="56"/>
    </row>
    <row r="127" spans="1:13">
      <c r="A127" s="52"/>
      <c r="B127" s="66"/>
      <c r="C127" t="s">
        <v>719</v>
      </c>
      <c r="D127" t="s">
        <v>569</v>
      </c>
      <c r="F127"/>
      <c r="H127" s="3" t="s">
        <v>720</v>
      </c>
      <c r="I127" s="3" t="s">
        <v>552</v>
      </c>
      <c r="M127" s="56"/>
    </row>
    <row r="128" spans="1:13">
      <c r="A128" s="52"/>
      <c r="B128" s="66"/>
      <c r="C128" t="s">
        <v>721</v>
      </c>
      <c r="D128" t="s">
        <v>543</v>
      </c>
      <c r="F128" s="1">
        <v>2</v>
      </c>
      <c r="G128" s="61">
        <v>103.82</v>
      </c>
      <c r="H128" s="3" t="s">
        <v>722</v>
      </c>
      <c r="I128" s="3" t="s">
        <v>552</v>
      </c>
      <c r="J128" s="15" t="s">
        <v>546</v>
      </c>
      <c r="K128" s="15" t="s">
        <v>547</v>
      </c>
      <c r="L128" s="15" t="s">
        <v>546</v>
      </c>
      <c r="M128" s="56"/>
    </row>
    <row r="129" spans="1:13">
      <c r="A129" s="52"/>
      <c r="B129" s="66"/>
      <c r="C129" t="s">
        <v>723</v>
      </c>
      <c r="D129" t="s">
        <v>543</v>
      </c>
      <c r="F129" s="1">
        <v>1</v>
      </c>
      <c r="G129" s="61">
        <v>74.339200000000005</v>
      </c>
      <c r="H129" s="3" t="s">
        <v>718</v>
      </c>
      <c r="I129" s="3" t="s">
        <v>552</v>
      </c>
      <c r="J129" s="15" t="s">
        <v>546</v>
      </c>
      <c r="K129" s="15" t="s">
        <v>547</v>
      </c>
      <c r="L129" s="15" t="s">
        <v>546</v>
      </c>
      <c r="M129" s="56"/>
    </row>
    <row r="130" spans="1:13">
      <c r="A130" s="52"/>
      <c r="B130" s="66"/>
      <c r="C130" t="s">
        <v>724</v>
      </c>
      <c r="D130" t="s">
        <v>569</v>
      </c>
      <c r="F130"/>
      <c r="H130" s="3" t="s">
        <v>725</v>
      </c>
      <c r="I130" s="3" t="s">
        <v>552</v>
      </c>
      <c r="M130" s="56"/>
    </row>
    <row r="131" spans="1:13">
      <c r="A131" s="52"/>
      <c r="B131" s="66"/>
      <c r="C131" t="s">
        <v>726</v>
      </c>
      <c r="D131" t="s">
        <v>569</v>
      </c>
      <c r="F131"/>
      <c r="H131" s="3" t="s">
        <v>727</v>
      </c>
      <c r="I131" s="3" t="s">
        <v>552</v>
      </c>
      <c r="M131" s="56"/>
    </row>
    <row r="132" spans="1:13">
      <c r="A132" s="52"/>
      <c r="B132" s="66"/>
      <c r="C132" t="s">
        <v>728</v>
      </c>
      <c r="D132" t="s">
        <v>569</v>
      </c>
      <c r="F132"/>
      <c r="H132" s="3" t="s">
        <v>718</v>
      </c>
      <c r="I132" s="3" t="s">
        <v>552</v>
      </c>
      <c r="M132" s="56"/>
    </row>
    <row r="134" spans="1:13" s="53" customFormat="1">
      <c r="A134" s="87" t="s">
        <v>360</v>
      </c>
      <c r="B134" s="63" t="s">
        <v>366</v>
      </c>
      <c r="C134" s="53" t="s">
        <v>734</v>
      </c>
      <c r="D134" s="53" t="s">
        <v>543</v>
      </c>
      <c r="F134" s="53">
        <f>0.6/0.02+1</f>
        <v>31</v>
      </c>
      <c r="G134" s="82">
        <v>986.60400000000004</v>
      </c>
      <c r="H134" s="88" t="s">
        <v>735</v>
      </c>
      <c r="I134" s="88" t="s">
        <v>545</v>
      </c>
      <c r="J134" s="83" t="s">
        <v>546</v>
      </c>
      <c r="K134" s="83" t="s">
        <v>547</v>
      </c>
      <c r="L134" s="83" t="s">
        <v>546</v>
      </c>
      <c r="M134" s="55" t="s">
        <v>547</v>
      </c>
    </row>
    <row r="135" spans="1:13">
      <c r="A135" s="52"/>
      <c r="B135" s="66"/>
      <c r="C135" t="s">
        <v>736</v>
      </c>
      <c r="D135" t="s">
        <v>737</v>
      </c>
      <c r="F135"/>
      <c r="H135" s="3"/>
      <c r="I135" s="3"/>
      <c r="M135" s="56"/>
    </row>
    <row r="136" spans="1:13">
      <c r="A136" s="52"/>
      <c r="B136" s="66"/>
      <c r="C136" t="s">
        <v>738</v>
      </c>
      <c r="D136"/>
      <c r="F136"/>
      <c r="H136" s="3"/>
      <c r="I136" s="3"/>
      <c r="M136" s="56"/>
    </row>
    <row r="137" spans="1:13" s="54" customFormat="1">
      <c r="A137" s="115"/>
      <c r="B137" s="64"/>
      <c r="C137" s="54" t="s">
        <v>739</v>
      </c>
      <c r="G137" s="85"/>
      <c r="H137" s="91"/>
      <c r="I137" s="91"/>
      <c r="J137" s="86"/>
      <c r="K137" s="86"/>
      <c r="L137" s="86"/>
      <c r="M137" s="57"/>
    </row>
    <row r="139" spans="1:13" s="53" customFormat="1">
      <c r="A139" s="87" t="s">
        <v>360</v>
      </c>
      <c r="B139" s="63" t="s">
        <v>740</v>
      </c>
      <c r="C139" s="13" t="s">
        <v>741</v>
      </c>
      <c r="D139" s="53" t="s">
        <v>543</v>
      </c>
      <c r="F139" s="53">
        <f>0.2/0.05+1</f>
        <v>5</v>
      </c>
      <c r="G139" s="82">
        <v>199.61199999999999</v>
      </c>
      <c r="H139" s="88" t="s">
        <v>742</v>
      </c>
      <c r="I139" s="88" t="s">
        <v>571</v>
      </c>
      <c r="J139" s="83" t="s">
        <v>546</v>
      </c>
      <c r="K139" s="83" t="s">
        <v>547</v>
      </c>
      <c r="L139" s="83" t="s">
        <v>546</v>
      </c>
      <c r="M139" s="55"/>
    </row>
    <row r="140" spans="1:13">
      <c r="A140" s="66"/>
      <c r="B140" s="66"/>
      <c r="C140" s="47" t="s">
        <v>743</v>
      </c>
      <c r="D140" t="s">
        <v>543</v>
      </c>
      <c r="F140">
        <f t="shared" ref="F140:F145" si="0">0.2/0.05+1</f>
        <v>5</v>
      </c>
      <c r="G140" s="61">
        <v>199.101</v>
      </c>
      <c r="H140" s="3" t="s">
        <v>742</v>
      </c>
      <c r="I140" s="3" t="s">
        <v>599</v>
      </c>
      <c r="J140" s="15" t="s">
        <v>546</v>
      </c>
      <c r="K140" s="15" t="s">
        <v>547</v>
      </c>
      <c r="L140" s="15" t="s">
        <v>546</v>
      </c>
      <c r="M140" s="56"/>
    </row>
    <row r="141" spans="1:13">
      <c r="A141" s="66"/>
      <c r="B141" s="66"/>
      <c r="C141" s="47" t="s">
        <v>744</v>
      </c>
      <c r="D141" t="s">
        <v>543</v>
      </c>
      <c r="F141">
        <f t="shared" si="0"/>
        <v>5</v>
      </c>
      <c r="G141" s="61">
        <v>199.09</v>
      </c>
      <c r="H141" s="3" t="s">
        <v>742</v>
      </c>
      <c r="I141" s="3" t="s">
        <v>745</v>
      </c>
      <c r="J141" s="15" t="s">
        <v>546</v>
      </c>
      <c r="K141" s="15" t="s">
        <v>547</v>
      </c>
      <c r="L141" s="15" t="s">
        <v>546</v>
      </c>
      <c r="M141" s="56"/>
    </row>
    <row r="142" spans="1:13">
      <c r="A142" s="66"/>
      <c r="B142" s="66"/>
      <c r="C142" s="47" t="s">
        <v>746</v>
      </c>
      <c r="D142" t="s">
        <v>543</v>
      </c>
      <c r="F142">
        <f t="shared" si="0"/>
        <v>5</v>
      </c>
      <c r="G142" s="61">
        <v>197.84700000000001</v>
      </c>
      <c r="H142" s="3" t="s">
        <v>742</v>
      </c>
      <c r="I142" s="3" t="s">
        <v>550</v>
      </c>
      <c r="J142" s="15" t="s">
        <v>546</v>
      </c>
      <c r="K142" s="15" t="s">
        <v>547</v>
      </c>
      <c r="L142" s="15" t="s">
        <v>546</v>
      </c>
      <c r="M142" s="56"/>
    </row>
    <row r="143" spans="1:13">
      <c r="A143" s="66"/>
      <c r="B143" s="66"/>
      <c r="C143" s="47" t="s">
        <v>747</v>
      </c>
      <c r="D143" t="s">
        <v>543</v>
      </c>
      <c r="F143">
        <f t="shared" si="0"/>
        <v>5</v>
      </c>
      <c r="G143" s="61">
        <v>198.30500000000001</v>
      </c>
      <c r="H143" s="3" t="s">
        <v>742</v>
      </c>
      <c r="I143" s="3" t="s">
        <v>748</v>
      </c>
      <c r="J143" s="15" t="s">
        <v>546</v>
      </c>
      <c r="K143" s="15" t="s">
        <v>547</v>
      </c>
      <c r="L143" s="15" t="s">
        <v>546</v>
      </c>
      <c r="M143" s="56"/>
    </row>
    <row r="144" spans="1:13">
      <c r="A144" s="66"/>
      <c r="B144" s="66"/>
      <c r="C144" s="47" t="s">
        <v>749</v>
      </c>
      <c r="D144" t="s">
        <v>543</v>
      </c>
      <c r="F144">
        <f t="shared" si="0"/>
        <v>5</v>
      </c>
      <c r="G144" s="61">
        <v>198.05600000000001</v>
      </c>
      <c r="H144" s="3" t="s">
        <v>742</v>
      </c>
      <c r="I144" s="3" t="s">
        <v>620</v>
      </c>
      <c r="J144" s="15" t="s">
        <v>546</v>
      </c>
      <c r="K144" s="15" t="s">
        <v>547</v>
      </c>
      <c r="L144" s="15" t="s">
        <v>546</v>
      </c>
      <c r="M144" s="56"/>
    </row>
    <row r="145" spans="1:13">
      <c r="A145" s="66"/>
      <c r="B145" s="66"/>
      <c r="C145" s="47" t="s">
        <v>750</v>
      </c>
      <c r="D145" t="s">
        <v>543</v>
      </c>
      <c r="F145">
        <f t="shared" si="0"/>
        <v>5</v>
      </c>
      <c r="G145" s="61">
        <v>198.887</v>
      </c>
      <c r="H145" s="3" t="s">
        <v>742</v>
      </c>
      <c r="I145" s="3" t="s">
        <v>576</v>
      </c>
      <c r="J145" s="15" t="s">
        <v>546</v>
      </c>
      <c r="K145" s="15" t="s">
        <v>547</v>
      </c>
      <c r="L145" s="15" t="s">
        <v>546</v>
      </c>
      <c r="M145" s="56"/>
    </row>
    <row r="146" spans="1:13">
      <c r="A146" s="66"/>
      <c r="B146" s="66"/>
      <c r="C146" s="47" t="s">
        <v>751</v>
      </c>
      <c r="D146" t="s">
        <v>569</v>
      </c>
      <c r="F146"/>
      <c r="H146" s="3" t="s">
        <v>752</v>
      </c>
      <c r="I146" s="3" t="s">
        <v>571</v>
      </c>
      <c r="K146" s="15" t="s">
        <v>547</v>
      </c>
      <c r="M146" s="56"/>
    </row>
    <row r="147" spans="1:13">
      <c r="A147" s="66"/>
      <c r="B147" s="66"/>
      <c r="C147" s="47" t="s">
        <v>753</v>
      </c>
      <c r="D147" t="s">
        <v>569</v>
      </c>
      <c r="F147"/>
      <c r="H147" s="3" t="s">
        <v>754</v>
      </c>
      <c r="I147" s="3" t="s">
        <v>571</v>
      </c>
      <c r="K147" s="15" t="s">
        <v>547</v>
      </c>
      <c r="M147" s="56"/>
    </row>
    <row r="148" spans="1:13" s="15" customFormat="1">
      <c r="A148" s="66"/>
      <c r="B148" s="66"/>
      <c r="C148" s="47" t="s">
        <v>755</v>
      </c>
      <c r="D148" t="s">
        <v>569</v>
      </c>
      <c r="E148"/>
      <c r="F148"/>
      <c r="G148" s="61"/>
      <c r="H148" s="3" t="s">
        <v>682</v>
      </c>
      <c r="I148" s="3" t="s">
        <v>571</v>
      </c>
      <c r="K148" s="15" t="s">
        <v>547</v>
      </c>
      <c r="M148" s="56"/>
    </row>
    <row r="149" spans="1:13" s="15" customFormat="1">
      <c r="A149" s="66"/>
      <c r="B149" s="66"/>
      <c r="C149" s="47" t="s">
        <v>756</v>
      </c>
      <c r="D149" t="s">
        <v>569</v>
      </c>
      <c r="E149"/>
      <c r="F149"/>
      <c r="G149" s="61"/>
      <c r="H149" s="3" t="s">
        <v>757</v>
      </c>
      <c r="I149" s="3" t="s">
        <v>571</v>
      </c>
      <c r="K149" s="15" t="s">
        <v>547</v>
      </c>
      <c r="M149" s="56"/>
    </row>
    <row r="150" spans="1:13" s="15" customFormat="1">
      <c r="A150" s="66"/>
      <c r="B150" s="66"/>
      <c r="C150" s="47" t="s">
        <v>758</v>
      </c>
      <c r="D150" t="s">
        <v>569</v>
      </c>
      <c r="E150"/>
      <c r="F150"/>
      <c r="G150" s="61"/>
      <c r="H150" s="3" t="s">
        <v>759</v>
      </c>
      <c r="I150" s="3" t="s">
        <v>571</v>
      </c>
      <c r="K150" s="15" t="s">
        <v>547</v>
      </c>
      <c r="M150" s="56"/>
    </row>
    <row r="151" spans="1:13" s="15" customFormat="1">
      <c r="A151" s="66"/>
      <c r="B151" s="66"/>
      <c r="C151" s="47" t="s">
        <v>760</v>
      </c>
      <c r="D151" t="s">
        <v>569</v>
      </c>
      <c r="E151"/>
      <c r="F151"/>
      <c r="G151" s="61"/>
      <c r="H151" s="3" t="s">
        <v>752</v>
      </c>
      <c r="I151" s="3" t="s">
        <v>599</v>
      </c>
      <c r="K151" s="15" t="s">
        <v>547</v>
      </c>
      <c r="M151" s="56"/>
    </row>
    <row r="152" spans="1:13" s="15" customFormat="1">
      <c r="A152" s="66"/>
      <c r="B152" s="66"/>
      <c r="C152" s="47" t="s">
        <v>761</v>
      </c>
      <c r="D152" t="s">
        <v>569</v>
      </c>
      <c r="E152"/>
      <c r="F152"/>
      <c r="G152" s="61"/>
      <c r="H152" s="3" t="s">
        <v>754</v>
      </c>
      <c r="I152" s="3" t="s">
        <v>599</v>
      </c>
      <c r="K152" s="15" t="s">
        <v>547</v>
      </c>
      <c r="M152" s="56"/>
    </row>
    <row r="153" spans="1:13" s="15" customFormat="1">
      <c r="A153" s="66"/>
      <c r="B153" s="66"/>
      <c r="C153" s="47" t="s">
        <v>762</v>
      </c>
      <c r="D153" t="s">
        <v>569</v>
      </c>
      <c r="E153"/>
      <c r="F153"/>
      <c r="G153" s="61"/>
      <c r="H153" s="3" t="s">
        <v>682</v>
      </c>
      <c r="I153" s="3" t="s">
        <v>599</v>
      </c>
      <c r="K153" s="15" t="s">
        <v>547</v>
      </c>
      <c r="M153" s="56"/>
    </row>
    <row r="154" spans="1:13" s="15" customFormat="1">
      <c r="A154" s="66"/>
      <c r="B154" s="66"/>
      <c r="C154" s="47" t="s">
        <v>763</v>
      </c>
      <c r="D154" t="s">
        <v>569</v>
      </c>
      <c r="E154"/>
      <c r="F154"/>
      <c r="G154" s="61"/>
      <c r="H154" s="3" t="s">
        <v>757</v>
      </c>
      <c r="I154" s="3" t="s">
        <v>599</v>
      </c>
      <c r="K154" s="15" t="s">
        <v>547</v>
      </c>
      <c r="M154" s="56"/>
    </row>
    <row r="155" spans="1:13" s="15" customFormat="1">
      <c r="A155" s="66"/>
      <c r="B155" s="66"/>
      <c r="C155" s="47" t="s">
        <v>764</v>
      </c>
      <c r="D155" t="s">
        <v>569</v>
      </c>
      <c r="E155"/>
      <c r="F155"/>
      <c r="G155" s="61"/>
      <c r="H155" s="3" t="s">
        <v>759</v>
      </c>
      <c r="I155" s="3" t="s">
        <v>599</v>
      </c>
      <c r="K155" s="15" t="s">
        <v>547</v>
      </c>
      <c r="M155" s="56"/>
    </row>
    <row r="156" spans="1:13" s="15" customFormat="1">
      <c r="A156" s="66"/>
      <c r="B156" s="66"/>
      <c r="C156" s="47" t="s">
        <v>765</v>
      </c>
      <c r="D156" t="s">
        <v>569</v>
      </c>
      <c r="E156"/>
      <c r="F156"/>
      <c r="G156" s="61"/>
      <c r="H156" s="3" t="s">
        <v>752</v>
      </c>
      <c r="I156" s="3" t="s">
        <v>745</v>
      </c>
      <c r="K156" s="15" t="s">
        <v>547</v>
      </c>
      <c r="M156" s="56"/>
    </row>
    <row r="157" spans="1:13" s="15" customFormat="1">
      <c r="A157" s="66"/>
      <c r="B157" s="66"/>
      <c r="C157" s="47" t="s">
        <v>766</v>
      </c>
      <c r="D157" t="s">
        <v>569</v>
      </c>
      <c r="E157"/>
      <c r="F157"/>
      <c r="G157" s="61"/>
      <c r="H157" s="3" t="s">
        <v>754</v>
      </c>
      <c r="I157" s="3" t="s">
        <v>745</v>
      </c>
      <c r="K157" s="15" t="s">
        <v>547</v>
      </c>
      <c r="M157" s="56"/>
    </row>
    <row r="158" spans="1:13" s="15" customFormat="1">
      <c r="A158" s="66"/>
      <c r="B158" s="66"/>
      <c r="C158" s="47" t="s">
        <v>767</v>
      </c>
      <c r="D158" t="s">
        <v>569</v>
      </c>
      <c r="E158"/>
      <c r="F158"/>
      <c r="G158" s="61"/>
      <c r="H158" s="3" t="s">
        <v>682</v>
      </c>
      <c r="I158" s="3" t="s">
        <v>745</v>
      </c>
      <c r="K158" s="15" t="s">
        <v>547</v>
      </c>
      <c r="M158" s="56"/>
    </row>
    <row r="159" spans="1:13" s="15" customFormat="1">
      <c r="A159" s="66"/>
      <c r="B159" s="66"/>
      <c r="C159" s="47" t="s">
        <v>768</v>
      </c>
      <c r="D159" t="s">
        <v>569</v>
      </c>
      <c r="E159"/>
      <c r="F159"/>
      <c r="G159" s="61"/>
      <c r="H159" s="3" t="s">
        <v>757</v>
      </c>
      <c r="I159" s="3" t="s">
        <v>745</v>
      </c>
      <c r="K159" s="15" t="s">
        <v>547</v>
      </c>
      <c r="M159" s="56"/>
    </row>
    <row r="160" spans="1:13" s="15" customFormat="1">
      <c r="A160" s="66"/>
      <c r="B160" s="66"/>
      <c r="C160" s="47" t="s">
        <v>769</v>
      </c>
      <c r="D160" t="s">
        <v>569</v>
      </c>
      <c r="E160"/>
      <c r="F160"/>
      <c r="G160" s="61"/>
      <c r="H160" s="3" t="s">
        <v>759</v>
      </c>
      <c r="I160" s="3" t="s">
        <v>745</v>
      </c>
      <c r="K160" s="15" t="s">
        <v>547</v>
      </c>
      <c r="M160" s="56"/>
    </row>
    <row r="161" spans="1:13" s="15" customFormat="1">
      <c r="A161" s="66"/>
      <c r="B161" s="66"/>
      <c r="C161" s="47" t="s">
        <v>770</v>
      </c>
      <c r="D161" t="s">
        <v>569</v>
      </c>
      <c r="E161"/>
      <c r="F161"/>
      <c r="G161" s="61"/>
      <c r="H161" s="3" t="s">
        <v>752</v>
      </c>
      <c r="I161" s="3" t="s">
        <v>550</v>
      </c>
      <c r="K161" s="15" t="s">
        <v>547</v>
      </c>
      <c r="M161" s="56"/>
    </row>
    <row r="162" spans="1:13" s="15" customFormat="1">
      <c r="A162" s="66"/>
      <c r="B162" s="66"/>
      <c r="C162" s="47" t="s">
        <v>771</v>
      </c>
      <c r="D162" t="s">
        <v>569</v>
      </c>
      <c r="E162"/>
      <c r="F162"/>
      <c r="G162" s="61"/>
      <c r="H162" s="3" t="s">
        <v>754</v>
      </c>
      <c r="I162" s="3" t="s">
        <v>550</v>
      </c>
      <c r="K162" s="15" t="s">
        <v>547</v>
      </c>
      <c r="M162" s="56"/>
    </row>
    <row r="163" spans="1:13" s="15" customFormat="1">
      <c r="A163" s="66"/>
      <c r="B163" s="66"/>
      <c r="C163" s="47" t="s">
        <v>772</v>
      </c>
      <c r="D163" t="s">
        <v>569</v>
      </c>
      <c r="E163"/>
      <c r="F163"/>
      <c r="G163" s="61"/>
      <c r="H163" s="3" t="s">
        <v>682</v>
      </c>
      <c r="I163" s="3" t="s">
        <v>550</v>
      </c>
      <c r="K163" s="15" t="s">
        <v>547</v>
      </c>
      <c r="M163" s="56"/>
    </row>
    <row r="164" spans="1:13" s="15" customFormat="1">
      <c r="A164" s="66"/>
      <c r="B164" s="66"/>
      <c r="C164" s="47" t="s">
        <v>773</v>
      </c>
      <c r="D164" t="s">
        <v>569</v>
      </c>
      <c r="E164"/>
      <c r="F164"/>
      <c r="G164" s="61"/>
      <c r="H164" s="3" t="s">
        <v>757</v>
      </c>
      <c r="I164" s="3" t="s">
        <v>550</v>
      </c>
      <c r="K164" s="15" t="s">
        <v>547</v>
      </c>
      <c r="M164" s="56"/>
    </row>
    <row r="165" spans="1:13" s="15" customFormat="1">
      <c r="A165" s="66"/>
      <c r="B165" s="66"/>
      <c r="C165" s="47" t="s">
        <v>774</v>
      </c>
      <c r="D165" t="s">
        <v>569</v>
      </c>
      <c r="E165"/>
      <c r="F165"/>
      <c r="G165" s="61"/>
      <c r="H165" s="3" t="s">
        <v>759</v>
      </c>
      <c r="I165" s="3" t="s">
        <v>550</v>
      </c>
      <c r="K165" s="15" t="s">
        <v>547</v>
      </c>
      <c r="M165" s="56"/>
    </row>
    <row r="166" spans="1:13" s="15" customFormat="1">
      <c r="A166" s="66"/>
      <c r="B166" s="66"/>
      <c r="C166" s="47" t="s">
        <v>775</v>
      </c>
      <c r="D166" t="s">
        <v>569</v>
      </c>
      <c r="E166"/>
      <c r="F166"/>
      <c r="G166" s="61"/>
      <c r="H166" s="3" t="s">
        <v>752</v>
      </c>
      <c r="I166" s="3" t="s">
        <v>748</v>
      </c>
      <c r="K166" s="15" t="s">
        <v>547</v>
      </c>
      <c r="M166" s="56"/>
    </row>
    <row r="167" spans="1:13" s="15" customFormat="1">
      <c r="A167" s="66"/>
      <c r="B167" s="66"/>
      <c r="C167" s="47" t="s">
        <v>776</v>
      </c>
      <c r="D167" t="s">
        <v>569</v>
      </c>
      <c r="E167"/>
      <c r="F167"/>
      <c r="G167" s="61"/>
      <c r="H167" s="3" t="s">
        <v>754</v>
      </c>
      <c r="I167" s="3" t="s">
        <v>748</v>
      </c>
      <c r="K167" s="15" t="s">
        <v>547</v>
      </c>
      <c r="M167" s="56"/>
    </row>
    <row r="168" spans="1:13" s="15" customFormat="1">
      <c r="A168" s="66"/>
      <c r="B168" s="66"/>
      <c r="C168" s="47" t="s">
        <v>777</v>
      </c>
      <c r="D168" t="s">
        <v>569</v>
      </c>
      <c r="E168"/>
      <c r="F168"/>
      <c r="G168" s="61"/>
      <c r="H168" s="3" t="s">
        <v>682</v>
      </c>
      <c r="I168" s="3" t="s">
        <v>748</v>
      </c>
      <c r="K168" s="15" t="s">
        <v>547</v>
      </c>
      <c r="M168" s="56"/>
    </row>
    <row r="169" spans="1:13" s="15" customFormat="1">
      <c r="A169" s="66"/>
      <c r="B169" s="66"/>
      <c r="C169" s="47" t="s">
        <v>778</v>
      </c>
      <c r="D169" t="s">
        <v>569</v>
      </c>
      <c r="E169"/>
      <c r="F169"/>
      <c r="G169" s="61"/>
      <c r="H169" s="3" t="s">
        <v>757</v>
      </c>
      <c r="I169" s="3" t="s">
        <v>748</v>
      </c>
      <c r="K169" s="15" t="s">
        <v>547</v>
      </c>
      <c r="M169" s="56"/>
    </row>
    <row r="170" spans="1:13" s="15" customFormat="1">
      <c r="A170" s="66"/>
      <c r="B170" s="66"/>
      <c r="C170" s="47" t="s">
        <v>779</v>
      </c>
      <c r="D170" t="s">
        <v>569</v>
      </c>
      <c r="E170"/>
      <c r="F170"/>
      <c r="G170" s="61"/>
      <c r="H170" s="3" t="s">
        <v>759</v>
      </c>
      <c r="I170" s="3" t="s">
        <v>748</v>
      </c>
      <c r="K170" s="15" t="s">
        <v>547</v>
      </c>
      <c r="M170" s="56"/>
    </row>
    <row r="171" spans="1:13" s="15" customFormat="1">
      <c r="A171" s="66"/>
      <c r="B171" s="66"/>
      <c r="C171" s="47" t="s">
        <v>780</v>
      </c>
      <c r="D171" t="s">
        <v>569</v>
      </c>
      <c r="E171"/>
      <c r="F171"/>
      <c r="G171" s="61"/>
      <c r="H171" s="3" t="s">
        <v>752</v>
      </c>
      <c r="I171" s="3" t="s">
        <v>620</v>
      </c>
      <c r="K171" s="15" t="s">
        <v>547</v>
      </c>
      <c r="M171" s="56"/>
    </row>
    <row r="172" spans="1:13" s="15" customFormat="1">
      <c r="A172" s="66"/>
      <c r="B172" s="66"/>
      <c r="C172" s="47" t="s">
        <v>781</v>
      </c>
      <c r="D172" t="s">
        <v>569</v>
      </c>
      <c r="E172"/>
      <c r="F172"/>
      <c r="G172" s="61"/>
      <c r="H172" s="3" t="s">
        <v>754</v>
      </c>
      <c r="I172" s="3" t="s">
        <v>620</v>
      </c>
      <c r="K172" s="15" t="s">
        <v>547</v>
      </c>
      <c r="M172" s="56"/>
    </row>
    <row r="173" spans="1:13" s="15" customFormat="1">
      <c r="A173" s="66"/>
      <c r="B173" s="66"/>
      <c r="C173" s="47" t="s">
        <v>782</v>
      </c>
      <c r="D173" t="s">
        <v>569</v>
      </c>
      <c r="E173"/>
      <c r="F173"/>
      <c r="G173" s="61"/>
      <c r="H173" s="3" t="s">
        <v>682</v>
      </c>
      <c r="I173" s="3" t="s">
        <v>620</v>
      </c>
      <c r="K173" s="15" t="s">
        <v>547</v>
      </c>
      <c r="M173" s="56"/>
    </row>
    <row r="174" spans="1:13" s="15" customFormat="1">
      <c r="A174" s="66"/>
      <c r="B174" s="66"/>
      <c r="C174" s="47" t="s">
        <v>783</v>
      </c>
      <c r="D174" t="s">
        <v>569</v>
      </c>
      <c r="E174"/>
      <c r="F174"/>
      <c r="G174" s="61"/>
      <c r="H174" s="3" t="s">
        <v>757</v>
      </c>
      <c r="I174" s="3" t="s">
        <v>620</v>
      </c>
      <c r="K174" s="15" t="s">
        <v>547</v>
      </c>
      <c r="M174" s="56"/>
    </row>
    <row r="175" spans="1:13" s="15" customFormat="1">
      <c r="A175" s="66"/>
      <c r="B175" s="66"/>
      <c r="C175" s="47" t="s">
        <v>784</v>
      </c>
      <c r="D175" t="s">
        <v>569</v>
      </c>
      <c r="E175"/>
      <c r="F175"/>
      <c r="G175" s="61"/>
      <c r="H175" s="3" t="s">
        <v>759</v>
      </c>
      <c r="I175" s="3" t="s">
        <v>620</v>
      </c>
      <c r="K175" s="15" t="s">
        <v>547</v>
      </c>
      <c r="M175" s="56"/>
    </row>
    <row r="176" spans="1:13" s="15" customFormat="1">
      <c r="A176" s="66"/>
      <c r="B176" s="66"/>
      <c r="C176" s="47" t="s">
        <v>785</v>
      </c>
      <c r="D176" t="s">
        <v>569</v>
      </c>
      <c r="E176"/>
      <c r="F176"/>
      <c r="G176" s="61"/>
      <c r="H176" s="3" t="s">
        <v>752</v>
      </c>
      <c r="I176" s="3" t="s">
        <v>576</v>
      </c>
      <c r="K176" s="15" t="s">
        <v>547</v>
      </c>
      <c r="M176" s="56"/>
    </row>
    <row r="177" spans="1:13" s="15" customFormat="1">
      <c r="A177" s="66"/>
      <c r="B177" s="66"/>
      <c r="C177" s="47" t="s">
        <v>786</v>
      </c>
      <c r="D177" t="s">
        <v>569</v>
      </c>
      <c r="E177"/>
      <c r="F177"/>
      <c r="G177" s="61"/>
      <c r="H177" s="3" t="s">
        <v>754</v>
      </c>
      <c r="I177" s="3" t="s">
        <v>576</v>
      </c>
      <c r="K177" s="15" t="s">
        <v>547</v>
      </c>
      <c r="M177" s="56"/>
    </row>
    <row r="178" spans="1:13" s="15" customFormat="1">
      <c r="A178" s="66"/>
      <c r="B178" s="66"/>
      <c r="C178" s="47" t="s">
        <v>787</v>
      </c>
      <c r="D178" t="s">
        <v>569</v>
      </c>
      <c r="E178"/>
      <c r="F178"/>
      <c r="G178" s="61"/>
      <c r="H178" s="3" t="s">
        <v>682</v>
      </c>
      <c r="I178" s="3" t="s">
        <v>576</v>
      </c>
      <c r="K178" s="15" t="s">
        <v>547</v>
      </c>
      <c r="M178" s="56"/>
    </row>
    <row r="179" spans="1:13" s="15" customFormat="1">
      <c r="A179" s="66"/>
      <c r="B179" s="66"/>
      <c r="C179" s="47" t="s">
        <v>788</v>
      </c>
      <c r="D179" t="s">
        <v>569</v>
      </c>
      <c r="E179"/>
      <c r="F179"/>
      <c r="G179" s="61"/>
      <c r="H179" s="3" t="s">
        <v>757</v>
      </c>
      <c r="I179" s="3" t="s">
        <v>576</v>
      </c>
      <c r="K179" s="15" t="s">
        <v>547</v>
      </c>
      <c r="M179" s="56"/>
    </row>
    <row r="180" spans="1:13" s="15" customFormat="1">
      <c r="A180" s="66"/>
      <c r="B180" s="66"/>
      <c r="C180" s="47" t="s">
        <v>789</v>
      </c>
      <c r="D180" t="s">
        <v>569</v>
      </c>
      <c r="E180"/>
      <c r="F180"/>
      <c r="G180" s="61"/>
      <c r="H180" s="3" t="s">
        <v>759</v>
      </c>
      <c r="I180" s="3" t="s">
        <v>576</v>
      </c>
      <c r="K180" s="15" t="s">
        <v>547</v>
      </c>
      <c r="M180" s="56"/>
    </row>
    <row r="181" spans="1:13" s="15" customFormat="1">
      <c r="A181" s="66"/>
      <c r="B181" s="66"/>
      <c r="C181" s="47" t="s">
        <v>790</v>
      </c>
      <c r="D181" t="s">
        <v>632</v>
      </c>
      <c r="E181"/>
      <c r="F181"/>
      <c r="G181" s="61"/>
      <c r="H181" s="3" t="s">
        <v>1512</v>
      </c>
      <c r="I181" s="3" t="s">
        <v>599</v>
      </c>
      <c r="M181" s="56"/>
    </row>
    <row r="182" spans="1:13" s="15" customFormat="1">
      <c r="A182" s="66"/>
      <c r="B182" s="66"/>
      <c r="C182" s="47" t="s">
        <v>791</v>
      </c>
      <c r="D182" t="s">
        <v>632</v>
      </c>
      <c r="E182"/>
      <c r="F182"/>
      <c r="G182" s="61"/>
      <c r="H182" s="3" t="s">
        <v>1513</v>
      </c>
      <c r="I182" s="3" t="s">
        <v>1514</v>
      </c>
      <c r="M182" s="56"/>
    </row>
    <row r="183" spans="1:13" s="15" customFormat="1">
      <c r="A183" s="66"/>
      <c r="B183" s="66"/>
      <c r="C183" s="47" t="s">
        <v>792</v>
      </c>
      <c r="D183" t="s">
        <v>632</v>
      </c>
      <c r="E183"/>
      <c r="F183"/>
      <c r="G183" s="61"/>
      <c r="H183" s="3"/>
      <c r="I183" s="3"/>
      <c r="M183" s="56"/>
    </row>
    <row r="184" spans="1:13" s="15" customFormat="1">
      <c r="A184" s="66"/>
      <c r="B184" s="66"/>
      <c r="C184" s="47" t="s">
        <v>793</v>
      </c>
      <c r="D184" t="s">
        <v>632</v>
      </c>
      <c r="E184"/>
      <c r="F184"/>
      <c r="G184" s="61"/>
      <c r="H184" s="3"/>
      <c r="I184" s="3"/>
      <c r="M184" s="56"/>
    </row>
    <row r="185" spans="1:13" s="15" customFormat="1">
      <c r="A185" s="66"/>
      <c r="B185" s="66"/>
      <c r="C185" s="47" t="s">
        <v>794</v>
      </c>
      <c r="D185" t="s">
        <v>632</v>
      </c>
      <c r="E185"/>
      <c r="F185"/>
      <c r="G185" s="61"/>
      <c r="H185" s="3"/>
      <c r="I185" s="3"/>
      <c r="M185" s="56"/>
    </row>
    <row r="186" spans="1:13" s="15" customFormat="1">
      <c r="A186" s="66"/>
      <c r="B186" s="66"/>
      <c r="C186" s="47" t="s">
        <v>795</v>
      </c>
      <c r="D186" t="s">
        <v>632</v>
      </c>
      <c r="E186"/>
      <c r="F186"/>
      <c r="G186" s="61"/>
      <c r="H186" s="3" t="s">
        <v>1515</v>
      </c>
      <c r="I186" s="3" t="s">
        <v>599</v>
      </c>
      <c r="M186" s="56"/>
    </row>
    <row r="187" spans="1:13" s="15" customFormat="1">
      <c r="A187" s="66"/>
      <c r="B187" s="66"/>
      <c r="C187" s="47" t="s">
        <v>796</v>
      </c>
      <c r="D187" t="s">
        <v>632</v>
      </c>
      <c r="E187"/>
      <c r="F187"/>
      <c r="G187" s="61"/>
      <c r="H187" s="3" t="s">
        <v>1516</v>
      </c>
      <c r="I187" s="3" t="s">
        <v>1514</v>
      </c>
      <c r="M187" s="56"/>
    </row>
    <row r="188" spans="1:13" s="15" customFormat="1">
      <c r="A188" s="66"/>
      <c r="B188" s="66"/>
      <c r="C188" s="47" t="s">
        <v>797</v>
      </c>
      <c r="D188" t="s">
        <v>632</v>
      </c>
      <c r="E188"/>
      <c r="F188"/>
      <c r="G188" s="61"/>
      <c r="M188" s="56"/>
    </row>
    <row r="189" spans="1:13" s="15" customFormat="1">
      <c r="A189" s="66"/>
      <c r="B189" s="66"/>
      <c r="C189" s="47" t="s">
        <v>798</v>
      </c>
      <c r="D189" t="s">
        <v>632</v>
      </c>
      <c r="E189"/>
      <c r="F189"/>
      <c r="G189" s="61"/>
      <c r="M189" s="56"/>
    </row>
    <row r="190" spans="1:13" s="15" customFormat="1">
      <c r="A190" s="66"/>
      <c r="B190" s="66"/>
      <c r="C190" s="47" t="s">
        <v>799</v>
      </c>
      <c r="D190" t="s">
        <v>632</v>
      </c>
      <c r="E190"/>
      <c r="F190"/>
      <c r="G190" s="61"/>
      <c r="M190" s="56"/>
    </row>
    <row r="191" spans="1:13" s="15" customFormat="1">
      <c r="A191" s="66"/>
      <c r="B191" s="66"/>
      <c r="C191" s="47" t="s">
        <v>800</v>
      </c>
      <c r="D191" t="s">
        <v>632</v>
      </c>
      <c r="E191"/>
      <c r="F191"/>
      <c r="G191" s="61"/>
      <c r="H191" s="3" t="s">
        <v>1517</v>
      </c>
      <c r="I191" s="3" t="s">
        <v>599</v>
      </c>
      <c r="M191" s="56"/>
    </row>
    <row r="192" spans="1:13" s="15" customFormat="1">
      <c r="A192" s="66"/>
      <c r="B192" s="66"/>
      <c r="C192" s="47" t="s">
        <v>801</v>
      </c>
      <c r="D192" t="s">
        <v>632</v>
      </c>
      <c r="E192"/>
      <c r="F192"/>
      <c r="G192" s="61"/>
      <c r="H192" s="3" t="s">
        <v>1518</v>
      </c>
      <c r="I192" s="3" t="s">
        <v>1514</v>
      </c>
      <c r="M192" s="56"/>
    </row>
    <row r="193" spans="1:13" s="15" customFormat="1">
      <c r="A193" s="66"/>
      <c r="B193" s="66"/>
      <c r="C193" s="47" t="s">
        <v>802</v>
      </c>
      <c r="D193" t="s">
        <v>632</v>
      </c>
      <c r="E193"/>
      <c r="F193"/>
      <c r="G193" s="61"/>
      <c r="M193" s="56"/>
    </row>
    <row r="194" spans="1:13" s="15" customFormat="1">
      <c r="A194" s="66"/>
      <c r="B194" s="66"/>
      <c r="C194" s="47" t="s">
        <v>803</v>
      </c>
      <c r="D194" t="s">
        <v>632</v>
      </c>
      <c r="E194"/>
      <c r="F194"/>
      <c r="G194" s="61"/>
      <c r="M194" s="56"/>
    </row>
    <row r="195" spans="1:13" s="15" customFormat="1">
      <c r="A195" s="66"/>
      <c r="B195" s="66"/>
      <c r="C195" s="47" t="s">
        <v>804</v>
      </c>
      <c r="D195" t="s">
        <v>632</v>
      </c>
      <c r="E195"/>
      <c r="F195"/>
      <c r="G195" s="61"/>
      <c r="M195" s="56"/>
    </row>
    <row r="196" spans="1:13" s="15" customFormat="1">
      <c r="A196" s="66"/>
      <c r="B196" s="66"/>
      <c r="C196" s="47" t="s">
        <v>805</v>
      </c>
      <c r="D196" t="s">
        <v>632</v>
      </c>
      <c r="E196"/>
      <c r="F196"/>
      <c r="G196" s="61"/>
      <c r="H196" s="3" t="s">
        <v>1512</v>
      </c>
      <c r="I196" s="3" t="s">
        <v>550</v>
      </c>
      <c r="M196" s="56"/>
    </row>
    <row r="197" spans="1:13" s="15" customFormat="1">
      <c r="A197" s="66"/>
      <c r="B197" s="66"/>
      <c r="C197" s="47" t="s">
        <v>806</v>
      </c>
      <c r="D197" t="s">
        <v>632</v>
      </c>
      <c r="E197"/>
      <c r="F197"/>
      <c r="G197" s="61"/>
      <c r="H197" s="3" t="s">
        <v>1513</v>
      </c>
      <c r="I197" s="3" t="s">
        <v>1519</v>
      </c>
      <c r="M197" s="56"/>
    </row>
    <row r="198" spans="1:13" s="15" customFormat="1">
      <c r="A198" s="66"/>
      <c r="B198" s="66"/>
      <c r="C198" s="47" t="s">
        <v>807</v>
      </c>
      <c r="D198" t="s">
        <v>632</v>
      </c>
      <c r="E198"/>
      <c r="F198"/>
      <c r="G198" s="61"/>
      <c r="M198" s="56"/>
    </row>
    <row r="199" spans="1:13" s="15" customFormat="1">
      <c r="A199" s="66"/>
      <c r="B199" s="66"/>
      <c r="C199" s="47" t="s">
        <v>808</v>
      </c>
      <c r="D199" t="s">
        <v>632</v>
      </c>
      <c r="E199"/>
      <c r="F199"/>
      <c r="G199" s="61"/>
      <c r="M199" s="56"/>
    </row>
    <row r="200" spans="1:13" s="15" customFormat="1">
      <c r="A200" s="66"/>
      <c r="B200" s="66"/>
      <c r="C200" s="47" t="s">
        <v>809</v>
      </c>
      <c r="D200" t="s">
        <v>632</v>
      </c>
      <c r="E200"/>
      <c r="F200"/>
      <c r="G200" s="61"/>
      <c r="M200" s="56"/>
    </row>
    <row r="201" spans="1:13" s="15" customFormat="1">
      <c r="A201" s="66"/>
      <c r="B201" s="66"/>
      <c r="C201" s="47" t="s">
        <v>810</v>
      </c>
      <c r="D201" t="s">
        <v>632</v>
      </c>
      <c r="E201"/>
      <c r="F201"/>
      <c r="G201" s="61"/>
      <c r="H201" s="3" t="s">
        <v>1515</v>
      </c>
      <c r="I201" s="3" t="s">
        <v>550</v>
      </c>
      <c r="M201" s="56"/>
    </row>
    <row r="202" spans="1:13" s="15" customFormat="1">
      <c r="A202" s="66"/>
      <c r="B202" s="66"/>
      <c r="C202" s="47" t="s">
        <v>811</v>
      </c>
      <c r="D202" t="s">
        <v>632</v>
      </c>
      <c r="E202"/>
      <c r="F202"/>
      <c r="G202" s="61"/>
      <c r="H202" s="3" t="s">
        <v>1516</v>
      </c>
      <c r="I202" s="3" t="s">
        <v>1519</v>
      </c>
      <c r="M202" s="56"/>
    </row>
    <row r="203" spans="1:13" s="15" customFormat="1">
      <c r="A203" s="66"/>
      <c r="B203" s="66"/>
      <c r="C203" s="47" t="s">
        <v>812</v>
      </c>
      <c r="D203" t="s">
        <v>632</v>
      </c>
      <c r="E203"/>
      <c r="F203"/>
      <c r="G203" s="61"/>
      <c r="M203" s="56"/>
    </row>
    <row r="204" spans="1:13" s="15" customFormat="1">
      <c r="A204" s="66"/>
      <c r="B204" s="66"/>
      <c r="C204" s="47" t="s">
        <v>813</v>
      </c>
      <c r="D204" t="s">
        <v>632</v>
      </c>
      <c r="E204"/>
      <c r="F204"/>
      <c r="G204" s="61"/>
      <c r="M204" s="56"/>
    </row>
    <row r="205" spans="1:13" s="15" customFormat="1">
      <c r="A205" s="66"/>
      <c r="B205" s="66"/>
      <c r="C205" s="47" t="s">
        <v>814</v>
      </c>
      <c r="D205" t="s">
        <v>632</v>
      </c>
      <c r="E205"/>
      <c r="F205"/>
      <c r="G205" s="61"/>
      <c r="M205" s="56"/>
    </row>
    <row r="206" spans="1:13" s="15" customFormat="1">
      <c r="A206" s="66"/>
      <c r="B206" s="66"/>
      <c r="C206" s="47" t="s">
        <v>815</v>
      </c>
      <c r="D206" t="s">
        <v>632</v>
      </c>
      <c r="E206"/>
      <c r="F206"/>
      <c r="G206" s="61"/>
      <c r="H206" s="3" t="s">
        <v>1517</v>
      </c>
      <c r="I206" s="3" t="s">
        <v>550</v>
      </c>
      <c r="M206" s="56"/>
    </row>
    <row r="207" spans="1:13" s="15" customFormat="1">
      <c r="A207" s="66"/>
      <c r="B207" s="66"/>
      <c r="C207" s="47" t="s">
        <v>816</v>
      </c>
      <c r="D207" t="s">
        <v>632</v>
      </c>
      <c r="E207"/>
      <c r="F207"/>
      <c r="G207" s="61"/>
      <c r="H207" s="3" t="s">
        <v>1518</v>
      </c>
      <c r="I207" s="3" t="s">
        <v>1519</v>
      </c>
      <c r="M207" s="56"/>
    </row>
    <row r="208" spans="1:13" s="15" customFormat="1">
      <c r="A208" s="66"/>
      <c r="B208" s="66"/>
      <c r="C208" s="47" t="s">
        <v>817</v>
      </c>
      <c r="D208" t="s">
        <v>632</v>
      </c>
      <c r="E208"/>
      <c r="F208"/>
      <c r="G208" s="61"/>
      <c r="M208" s="56"/>
    </row>
    <row r="209" spans="1:13" s="15" customFormat="1">
      <c r="A209" s="66"/>
      <c r="B209" s="66"/>
      <c r="C209" s="47" t="s">
        <v>818</v>
      </c>
      <c r="D209" t="s">
        <v>632</v>
      </c>
      <c r="E209"/>
      <c r="F209"/>
      <c r="G209" s="61"/>
      <c r="M209" s="56"/>
    </row>
    <row r="210" spans="1:13" s="15" customFormat="1">
      <c r="A210" s="66"/>
      <c r="B210" s="66"/>
      <c r="C210" s="47" t="s">
        <v>819</v>
      </c>
      <c r="D210" t="s">
        <v>632</v>
      </c>
      <c r="E210"/>
      <c r="F210"/>
      <c r="G210" s="61"/>
      <c r="M210" s="56"/>
    </row>
    <row r="211" spans="1:13" s="15" customFormat="1">
      <c r="A211" s="66"/>
      <c r="B211" s="66"/>
      <c r="C211" s="47" t="s">
        <v>820</v>
      </c>
      <c r="D211" t="s">
        <v>632</v>
      </c>
      <c r="E211"/>
      <c r="F211"/>
      <c r="G211" s="61"/>
      <c r="H211" s="3" t="s">
        <v>1512</v>
      </c>
      <c r="I211" s="3" t="s">
        <v>620</v>
      </c>
      <c r="M211" s="56"/>
    </row>
    <row r="212" spans="1:13">
      <c r="A212" s="66"/>
      <c r="B212" s="66"/>
      <c r="C212" s="47" t="s">
        <v>821</v>
      </c>
      <c r="D212" t="s">
        <v>632</v>
      </c>
      <c r="F212"/>
      <c r="H212" s="3" t="s">
        <v>1513</v>
      </c>
      <c r="I212" s="3" t="s">
        <v>1520</v>
      </c>
      <c r="M212" s="56"/>
    </row>
    <row r="213" spans="1:13">
      <c r="A213" s="66"/>
      <c r="B213" s="66"/>
      <c r="C213" s="47" t="s">
        <v>822</v>
      </c>
      <c r="D213" t="s">
        <v>632</v>
      </c>
      <c r="F213"/>
      <c r="H213" s="3"/>
      <c r="I213" s="3"/>
      <c r="M213" s="56"/>
    </row>
    <row r="214" spans="1:13">
      <c r="A214" s="66"/>
      <c r="B214" s="66"/>
      <c r="C214" s="47" t="s">
        <v>823</v>
      </c>
      <c r="D214" t="s">
        <v>632</v>
      </c>
      <c r="F214"/>
      <c r="H214" s="3"/>
      <c r="I214" s="3"/>
      <c r="M214" s="56"/>
    </row>
    <row r="215" spans="1:13">
      <c r="A215" s="66"/>
      <c r="B215" s="66"/>
      <c r="C215" s="47" t="s">
        <v>824</v>
      </c>
      <c r="D215" t="s">
        <v>632</v>
      </c>
      <c r="F215"/>
      <c r="H215" s="3"/>
      <c r="I215" s="3"/>
      <c r="M215" s="56"/>
    </row>
    <row r="216" spans="1:13">
      <c r="A216" s="66"/>
      <c r="B216" s="66"/>
      <c r="C216" s="47" t="s">
        <v>825</v>
      </c>
      <c r="D216" t="s">
        <v>632</v>
      </c>
      <c r="F216"/>
      <c r="H216" s="3" t="s">
        <v>1515</v>
      </c>
      <c r="I216" s="3" t="s">
        <v>620</v>
      </c>
      <c r="M216" s="56"/>
    </row>
    <row r="217" spans="1:13">
      <c r="A217" s="66"/>
      <c r="B217" s="66"/>
      <c r="C217" s="47" t="s">
        <v>826</v>
      </c>
      <c r="D217" t="s">
        <v>632</v>
      </c>
      <c r="F217"/>
      <c r="H217" s="3" t="s">
        <v>1516</v>
      </c>
      <c r="I217" s="3" t="s">
        <v>1520</v>
      </c>
      <c r="M217" s="56"/>
    </row>
    <row r="218" spans="1:13">
      <c r="A218" s="66"/>
      <c r="B218" s="66"/>
      <c r="C218" s="47" t="s">
        <v>827</v>
      </c>
      <c r="D218" t="s">
        <v>632</v>
      </c>
      <c r="F218"/>
      <c r="H218" s="3"/>
      <c r="I218" s="3"/>
      <c r="M218" s="56"/>
    </row>
    <row r="219" spans="1:13">
      <c r="A219" s="66"/>
      <c r="B219" s="66"/>
      <c r="C219" s="47" t="s">
        <v>828</v>
      </c>
      <c r="D219" t="s">
        <v>632</v>
      </c>
      <c r="F219"/>
      <c r="H219" s="3"/>
      <c r="I219" s="3"/>
      <c r="M219" s="56"/>
    </row>
    <row r="220" spans="1:13">
      <c r="A220" s="66"/>
      <c r="B220" s="66"/>
      <c r="C220" s="47" t="s">
        <v>829</v>
      </c>
      <c r="D220" t="s">
        <v>632</v>
      </c>
      <c r="F220"/>
      <c r="H220" s="3"/>
      <c r="I220" s="3"/>
      <c r="M220" s="56"/>
    </row>
    <row r="221" spans="1:13">
      <c r="A221" s="66"/>
      <c r="B221" s="66"/>
      <c r="C221" s="47" t="s">
        <v>830</v>
      </c>
      <c r="D221" t="s">
        <v>632</v>
      </c>
      <c r="F221"/>
      <c r="H221" s="3" t="s">
        <v>1517</v>
      </c>
      <c r="I221" s="3" t="s">
        <v>620</v>
      </c>
      <c r="M221" s="56"/>
    </row>
    <row r="222" spans="1:13">
      <c r="A222" s="66"/>
      <c r="B222" s="66"/>
      <c r="C222" s="47" t="s">
        <v>831</v>
      </c>
      <c r="D222" t="s">
        <v>632</v>
      </c>
      <c r="F222"/>
      <c r="H222" s="3" t="s">
        <v>1518</v>
      </c>
      <c r="I222" s="3" t="s">
        <v>1520</v>
      </c>
      <c r="M222" s="56"/>
    </row>
    <row r="223" spans="1:13">
      <c r="A223" s="66"/>
      <c r="B223" s="66"/>
      <c r="C223" s="47" t="s">
        <v>832</v>
      </c>
      <c r="D223" t="s">
        <v>632</v>
      </c>
      <c r="F223"/>
      <c r="H223" s="3"/>
      <c r="I223" s="3"/>
      <c r="M223" s="56"/>
    </row>
    <row r="224" spans="1:13">
      <c r="A224" s="66"/>
      <c r="B224" s="66"/>
      <c r="C224" s="47" t="s">
        <v>833</v>
      </c>
      <c r="D224" t="s">
        <v>632</v>
      </c>
      <c r="F224"/>
      <c r="H224" s="3"/>
      <c r="I224" s="3"/>
      <c r="M224" s="56"/>
    </row>
    <row r="225" spans="1:13">
      <c r="A225" s="66"/>
      <c r="B225" s="66"/>
      <c r="C225" s="47" t="s">
        <v>834</v>
      </c>
      <c r="D225" t="s">
        <v>632</v>
      </c>
      <c r="F225"/>
      <c r="H225" s="3"/>
      <c r="I225" s="3"/>
      <c r="M225" s="56"/>
    </row>
    <row r="226" spans="1:13">
      <c r="A226" s="66"/>
      <c r="B226" s="66"/>
      <c r="C226" s="47" t="s">
        <v>835</v>
      </c>
      <c r="D226" t="s">
        <v>543</v>
      </c>
      <c r="F226">
        <v>1</v>
      </c>
      <c r="G226" s="61">
        <v>79.1875</v>
      </c>
      <c r="H226" s="3" t="s">
        <v>609</v>
      </c>
      <c r="I226" s="3" t="s">
        <v>545</v>
      </c>
      <c r="J226" s="15" t="s">
        <v>546</v>
      </c>
      <c r="K226" s="15" t="s">
        <v>547</v>
      </c>
      <c r="L226" s="15" t="s">
        <v>546</v>
      </c>
      <c r="M226" s="56"/>
    </row>
    <row r="227" spans="1:13">
      <c r="A227" s="66"/>
      <c r="B227" s="66"/>
      <c r="C227" s="47" t="s">
        <v>836</v>
      </c>
      <c r="D227" t="s">
        <v>569</v>
      </c>
      <c r="F227"/>
      <c r="H227" s="3" t="s">
        <v>609</v>
      </c>
      <c r="I227" s="3" t="s">
        <v>545</v>
      </c>
      <c r="K227" s="15" t="s">
        <v>547</v>
      </c>
      <c r="M227" s="56"/>
    </row>
    <row r="228" spans="1:13">
      <c r="A228" s="66"/>
      <c r="B228" s="66"/>
      <c r="C228" s="47" t="s">
        <v>837</v>
      </c>
      <c r="D228" t="s">
        <v>543</v>
      </c>
      <c r="F228">
        <v>1</v>
      </c>
      <c r="G228" s="61">
        <v>78.494699999999995</v>
      </c>
      <c r="H228" s="3">
        <v>0.85</v>
      </c>
      <c r="I228" s="3" t="s">
        <v>609</v>
      </c>
      <c r="J228" s="15" t="s">
        <v>546</v>
      </c>
      <c r="K228" s="15" t="s">
        <v>547</v>
      </c>
      <c r="L228" s="15" t="s">
        <v>546</v>
      </c>
      <c r="M228" s="56"/>
    </row>
    <row r="229" spans="1:13">
      <c r="A229" s="66"/>
      <c r="B229" s="66"/>
      <c r="C229" s="47" t="s">
        <v>838</v>
      </c>
      <c r="D229" t="s">
        <v>569</v>
      </c>
      <c r="F229"/>
      <c r="H229" s="3">
        <v>0.85</v>
      </c>
      <c r="I229" s="3" t="s">
        <v>609</v>
      </c>
      <c r="K229" s="15" t="s">
        <v>547</v>
      </c>
      <c r="M229" s="56"/>
    </row>
    <row r="230" spans="1:13">
      <c r="A230" s="66"/>
      <c r="B230" s="66"/>
      <c r="C230" s="47" t="s">
        <v>839</v>
      </c>
      <c r="D230" t="s">
        <v>561</v>
      </c>
      <c r="F230">
        <v>1</v>
      </c>
      <c r="G230" s="61">
        <v>159.625</v>
      </c>
      <c r="H230" s="3">
        <v>0</v>
      </c>
      <c r="I230" s="3" t="s">
        <v>609</v>
      </c>
      <c r="K230" s="15" t="s">
        <v>547</v>
      </c>
      <c r="M230" s="56"/>
    </row>
    <row r="231" spans="1:13" s="54" customFormat="1">
      <c r="A231" s="64"/>
      <c r="B231" s="64"/>
      <c r="C231" s="48" t="s">
        <v>840</v>
      </c>
      <c r="F231" s="84"/>
      <c r="G231" s="85"/>
      <c r="H231" s="91"/>
      <c r="I231" s="91"/>
      <c r="J231" s="86"/>
      <c r="K231" s="86"/>
      <c r="L231" s="86"/>
      <c r="M231" s="57"/>
    </row>
    <row r="235" spans="1:13">
      <c r="A235" s="63" t="s">
        <v>957</v>
      </c>
      <c r="B235" s="63" t="s">
        <v>957</v>
      </c>
      <c r="C235" s="162" t="s">
        <v>1521</v>
      </c>
      <c r="D235" s="89" t="s">
        <v>1522</v>
      </c>
      <c r="E235" s="53"/>
      <c r="F235" s="53"/>
      <c r="G235" s="53"/>
      <c r="H235" s="88"/>
      <c r="I235" s="88"/>
      <c r="J235" s="53"/>
      <c r="K235" s="53"/>
      <c r="L235" s="83"/>
      <c r="M235" s="55"/>
    </row>
    <row r="236" spans="1:13">
      <c r="A236" s="66"/>
      <c r="B236" s="52"/>
      <c r="C236" s="90" t="s">
        <v>958</v>
      </c>
      <c r="D236" s="90" t="s">
        <v>639</v>
      </c>
      <c r="F236"/>
      <c r="H236" s="3" t="s">
        <v>959</v>
      </c>
      <c r="I236" s="3" t="s">
        <v>552</v>
      </c>
      <c r="K236" s="15" t="s">
        <v>547</v>
      </c>
      <c r="M236" s="56"/>
    </row>
    <row r="237" spans="1:13">
      <c r="A237" s="66"/>
      <c r="B237" s="66"/>
      <c r="C237" s="47" t="s">
        <v>960</v>
      </c>
      <c r="D237" s="90" t="s">
        <v>543</v>
      </c>
      <c r="F237">
        <v>11</v>
      </c>
      <c r="G237" s="61">
        <f>31.5*F237+44</f>
        <v>390.5</v>
      </c>
      <c r="H237" s="3" t="s">
        <v>961</v>
      </c>
      <c r="I237" s="3" t="s">
        <v>552</v>
      </c>
      <c r="K237" s="15" t="s">
        <v>547</v>
      </c>
      <c r="M237" s="56"/>
    </row>
    <row r="238" spans="1:13">
      <c r="A238" s="64"/>
      <c r="B238" s="64"/>
      <c r="C238" s="48" t="s">
        <v>841</v>
      </c>
      <c r="D238" s="117" t="s">
        <v>639</v>
      </c>
      <c r="E238" s="54"/>
      <c r="F238" s="54"/>
      <c r="G238" s="85"/>
      <c r="H238" s="91" t="s">
        <v>961</v>
      </c>
      <c r="I238" s="91" t="s">
        <v>552</v>
      </c>
      <c r="J238" s="86"/>
      <c r="K238" s="86" t="s">
        <v>547</v>
      </c>
      <c r="L238" s="86"/>
      <c r="M238" s="57"/>
    </row>
    <row r="240" spans="1:13">
      <c r="A240" s="63" t="s">
        <v>369</v>
      </c>
      <c r="B240" s="63" t="s">
        <v>962</v>
      </c>
      <c r="C240" s="13" t="s">
        <v>843</v>
      </c>
      <c r="D240" s="53" t="s">
        <v>543</v>
      </c>
      <c r="E240" s="53"/>
      <c r="F240" s="53">
        <v>1</v>
      </c>
      <c r="G240" s="82">
        <v>73.101399999999998</v>
      </c>
      <c r="H240" s="88" t="s">
        <v>844</v>
      </c>
      <c r="I240" s="88" t="s">
        <v>545</v>
      </c>
      <c r="J240" s="83" t="s">
        <v>546</v>
      </c>
      <c r="K240" s="83" t="s">
        <v>547</v>
      </c>
      <c r="L240" s="83" t="s">
        <v>546</v>
      </c>
      <c r="M240" s="55"/>
    </row>
    <row r="241" spans="1:13">
      <c r="A241" s="66"/>
      <c r="B241" s="66"/>
      <c r="C241" s="47" t="s">
        <v>845</v>
      </c>
      <c r="D241" t="s">
        <v>569</v>
      </c>
      <c r="F241"/>
      <c r="H241" s="3" t="s">
        <v>844</v>
      </c>
      <c r="I241" s="3" t="s">
        <v>545</v>
      </c>
      <c r="K241" s="15" t="s">
        <v>547</v>
      </c>
      <c r="M241" s="56"/>
    </row>
    <row r="242" spans="1:13">
      <c r="A242" s="66"/>
      <c r="B242" s="66"/>
      <c r="C242" s="47" t="s">
        <v>846</v>
      </c>
      <c r="D242" t="s">
        <v>543</v>
      </c>
      <c r="F242">
        <v>1</v>
      </c>
      <c r="G242" s="61">
        <v>71.224900000000005</v>
      </c>
      <c r="H242" s="3" t="s">
        <v>847</v>
      </c>
      <c r="I242" s="3" t="s">
        <v>552</v>
      </c>
      <c r="J242" s="15" t="s">
        <v>546</v>
      </c>
      <c r="K242" s="15" t="s">
        <v>547</v>
      </c>
      <c r="L242" s="15" t="s">
        <v>546</v>
      </c>
      <c r="M242" s="56"/>
    </row>
    <row r="243" spans="1:13">
      <c r="A243" s="66"/>
      <c r="B243" s="66"/>
      <c r="C243" s="47" t="s">
        <v>848</v>
      </c>
      <c r="D243" t="s">
        <v>569</v>
      </c>
      <c r="F243"/>
      <c r="H243" s="3" t="s">
        <v>847</v>
      </c>
      <c r="I243" s="3" t="s">
        <v>552</v>
      </c>
      <c r="K243" s="15" t="s">
        <v>547</v>
      </c>
      <c r="M243" s="56"/>
    </row>
    <row r="244" spans="1:13">
      <c r="A244" s="66"/>
      <c r="B244" s="66"/>
      <c r="C244" s="47" t="s">
        <v>849</v>
      </c>
      <c r="D244" t="s">
        <v>543</v>
      </c>
      <c r="F244">
        <v>1</v>
      </c>
      <c r="G244" s="61">
        <v>72.438599999999994</v>
      </c>
      <c r="H244" s="3" t="s">
        <v>850</v>
      </c>
      <c r="I244" s="3" t="s">
        <v>620</v>
      </c>
      <c r="J244" s="15" t="s">
        <v>546</v>
      </c>
      <c r="K244" s="15" t="s">
        <v>547</v>
      </c>
      <c r="L244" s="15" t="s">
        <v>546</v>
      </c>
      <c r="M244" s="56"/>
    </row>
    <row r="245" spans="1:13">
      <c r="A245" s="66"/>
      <c r="B245" s="66"/>
      <c r="C245" s="47" t="s">
        <v>851</v>
      </c>
      <c r="D245" t="s">
        <v>569</v>
      </c>
      <c r="F245"/>
      <c r="H245" s="3" t="s">
        <v>850</v>
      </c>
      <c r="I245" s="3" t="s">
        <v>620</v>
      </c>
      <c r="K245" s="15" t="s">
        <v>547</v>
      </c>
      <c r="M245" s="56"/>
    </row>
    <row r="246" spans="1:13">
      <c r="A246" s="66"/>
      <c r="B246" s="66"/>
      <c r="C246" s="47" t="s">
        <v>852</v>
      </c>
      <c r="D246" t="s">
        <v>632</v>
      </c>
      <c r="F246"/>
      <c r="H246" s="3"/>
      <c r="I246" s="3"/>
      <c r="M246" s="56"/>
    </row>
    <row r="247" spans="1:13">
      <c r="A247" s="66"/>
      <c r="B247" s="66"/>
      <c r="C247" s="47" t="s">
        <v>853</v>
      </c>
      <c r="D247" t="s">
        <v>543</v>
      </c>
      <c r="F247">
        <v>1</v>
      </c>
      <c r="G247" s="61">
        <v>71.872900000000001</v>
      </c>
      <c r="H247" s="3" t="s">
        <v>850</v>
      </c>
      <c r="I247" s="3" t="s">
        <v>552</v>
      </c>
      <c r="J247" s="15" t="s">
        <v>546</v>
      </c>
      <c r="K247" s="15" t="s">
        <v>547</v>
      </c>
      <c r="L247" s="15" t="s">
        <v>546</v>
      </c>
      <c r="M247" s="56"/>
    </row>
    <row r="248" spans="1:13">
      <c r="A248" s="66"/>
      <c r="B248" s="66"/>
      <c r="C248" s="47" t="s">
        <v>854</v>
      </c>
      <c r="D248" t="s">
        <v>569</v>
      </c>
      <c r="F248"/>
      <c r="H248" s="3" t="s">
        <v>850</v>
      </c>
      <c r="I248" s="3" t="s">
        <v>552</v>
      </c>
      <c r="K248" s="15" t="s">
        <v>547</v>
      </c>
      <c r="M248" s="56"/>
    </row>
    <row r="249" spans="1:13">
      <c r="A249" s="64"/>
      <c r="B249" s="64"/>
      <c r="C249" s="48" t="s">
        <v>855</v>
      </c>
      <c r="D249" s="54" t="s">
        <v>632</v>
      </c>
      <c r="E249" s="54"/>
      <c r="F249" s="54"/>
      <c r="G249" s="85"/>
      <c r="H249" s="91"/>
      <c r="I249" s="91"/>
      <c r="J249" s="86"/>
      <c r="K249" s="86"/>
      <c r="L249" s="86"/>
      <c r="M249" s="57"/>
    </row>
    <row r="250" spans="1:13">
      <c r="G250" s="61">
        <f>SUM(G240:G249)</f>
        <v>288.63780000000003</v>
      </c>
    </row>
    <row r="251" spans="1:13">
      <c r="A251" s="63" t="s">
        <v>360</v>
      </c>
      <c r="B251" s="63" t="s">
        <v>963</v>
      </c>
      <c r="C251" s="53" t="s">
        <v>964</v>
      </c>
      <c r="D251" s="53" t="s">
        <v>561</v>
      </c>
      <c r="E251" s="53"/>
      <c r="F251" s="53">
        <v>1</v>
      </c>
      <c r="G251" s="82">
        <v>199.934</v>
      </c>
      <c r="H251" s="88">
        <v>0</v>
      </c>
      <c r="I251" s="88" t="s">
        <v>965</v>
      </c>
      <c r="J251" s="83"/>
      <c r="K251" s="83" t="s">
        <v>547</v>
      </c>
      <c r="L251" s="83"/>
      <c r="M251" s="55" t="s">
        <v>547</v>
      </c>
    </row>
    <row r="252" spans="1:13">
      <c r="A252" s="52"/>
      <c r="B252" s="66"/>
      <c r="C252" t="s">
        <v>966</v>
      </c>
      <c r="D252"/>
      <c r="F252"/>
      <c r="H252" s="3"/>
      <c r="I252" s="3"/>
      <c r="M252" s="56"/>
    </row>
    <row r="253" spans="1:13">
      <c r="A253" s="52"/>
      <c r="B253" s="66"/>
      <c r="C253" t="s">
        <v>967</v>
      </c>
      <c r="D253"/>
      <c r="F253"/>
      <c r="H253" s="3"/>
      <c r="I253" s="3"/>
      <c r="M253" s="56"/>
    </row>
    <row r="254" spans="1:13">
      <c r="A254" s="52"/>
      <c r="B254" s="66"/>
      <c r="C254" t="s">
        <v>968</v>
      </c>
      <c r="D254" t="s">
        <v>561</v>
      </c>
      <c r="F254" s="1">
        <v>1</v>
      </c>
      <c r="G254" s="61">
        <v>92.910899999999998</v>
      </c>
      <c r="H254" s="3">
        <v>-0.1</v>
      </c>
      <c r="I254" s="3" t="s">
        <v>965</v>
      </c>
      <c r="K254" s="15" t="s">
        <v>547</v>
      </c>
      <c r="M254" s="56" t="s">
        <v>547</v>
      </c>
    </row>
    <row r="255" spans="1:13">
      <c r="A255" s="52"/>
      <c r="B255" s="66"/>
      <c r="C255" t="s">
        <v>969</v>
      </c>
      <c r="D255" t="s">
        <v>561</v>
      </c>
      <c r="F255" s="1">
        <v>1</v>
      </c>
      <c r="G255" s="61">
        <v>60.077300000000001</v>
      </c>
      <c r="H255" s="3" t="s">
        <v>965</v>
      </c>
      <c r="I255" s="3" t="s">
        <v>547</v>
      </c>
      <c r="K255" s="15" t="s">
        <v>547</v>
      </c>
      <c r="M255" s="56" t="s">
        <v>547</v>
      </c>
    </row>
    <row r="256" spans="1:13">
      <c r="A256" s="52"/>
      <c r="B256" s="66"/>
      <c r="C256" t="s">
        <v>970</v>
      </c>
      <c r="D256" t="s">
        <v>569</v>
      </c>
      <c r="F256"/>
      <c r="H256" s="3" t="s">
        <v>965</v>
      </c>
      <c r="I256" s="3" t="s">
        <v>545</v>
      </c>
      <c r="K256" s="15" t="s">
        <v>547</v>
      </c>
      <c r="M256" s="56"/>
    </row>
    <row r="257" spans="1:13">
      <c r="A257" s="52"/>
      <c r="B257" s="66"/>
      <c r="C257" t="s">
        <v>608</v>
      </c>
      <c r="D257" t="s">
        <v>569</v>
      </c>
      <c r="F257"/>
      <c r="H257" s="3" t="s">
        <v>609</v>
      </c>
      <c r="I257" s="3" t="s">
        <v>545</v>
      </c>
      <c r="K257" s="15" t="s">
        <v>547</v>
      </c>
      <c r="M257" s="56"/>
    </row>
    <row r="258" spans="1:13">
      <c r="A258" s="52"/>
      <c r="B258" s="66"/>
      <c r="C258" t="s">
        <v>971</v>
      </c>
      <c r="D258" t="s">
        <v>543</v>
      </c>
      <c r="F258" s="1">
        <v>2</v>
      </c>
      <c r="G258" s="61">
        <v>167.572</v>
      </c>
      <c r="H258" s="3" t="s">
        <v>972</v>
      </c>
      <c r="I258" s="3" t="s">
        <v>965</v>
      </c>
      <c r="J258" s="15" t="s">
        <v>546</v>
      </c>
      <c r="K258" s="15" t="s">
        <v>547</v>
      </c>
      <c r="L258" s="15" t="s">
        <v>546</v>
      </c>
      <c r="M258" s="56" t="s">
        <v>547</v>
      </c>
    </row>
    <row r="259" spans="1:13">
      <c r="A259" s="52"/>
      <c r="B259" s="66"/>
      <c r="C259" t="s">
        <v>973</v>
      </c>
      <c r="D259" t="s">
        <v>569</v>
      </c>
      <c r="F259"/>
      <c r="H259" s="3" t="s">
        <v>965</v>
      </c>
      <c r="I259" s="3" t="s">
        <v>965</v>
      </c>
      <c r="K259" s="15" t="s">
        <v>547</v>
      </c>
      <c r="M259" s="56"/>
    </row>
    <row r="260" spans="1:13">
      <c r="A260" s="52"/>
      <c r="B260" s="66"/>
      <c r="C260" t="s">
        <v>974</v>
      </c>
      <c r="D260" t="s">
        <v>569</v>
      </c>
      <c r="F260"/>
      <c r="H260" s="3" t="s">
        <v>609</v>
      </c>
      <c r="I260" s="3" t="s">
        <v>965</v>
      </c>
      <c r="K260" s="15" t="s">
        <v>547</v>
      </c>
      <c r="M260" s="56"/>
    </row>
    <row r="261" spans="1:13">
      <c r="A261" s="52"/>
      <c r="B261" s="66"/>
      <c r="C261" t="s">
        <v>975</v>
      </c>
      <c r="D261" t="s">
        <v>543</v>
      </c>
      <c r="F261" s="1">
        <v>2</v>
      </c>
      <c r="G261" s="61">
        <v>169.511</v>
      </c>
      <c r="H261" s="3" t="s">
        <v>976</v>
      </c>
      <c r="I261" s="3" t="s">
        <v>965</v>
      </c>
      <c r="J261" s="15" t="s">
        <v>546</v>
      </c>
      <c r="K261" s="15" t="s">
        <v>547</v>
      </c>
      <c r="L261" s="15" t="s">
        <v>546</v>
      </c>
      <c r="M261" s="56" t="s">
        <v>547</v>
      </c>
    </row>
    <row r="262" spans="1:13">
      <c r="A262" s="52"/>
      <c r="B262" s="66"/>
      <c r="C262" t="s">
        <v>977</v>
      </c>
      <c r="D262" t="s">
        <v>569</v>
      </c>
      <c r="F262"/>
      <c r="H262" s="3" t="s">
        <v>611</v>
      </c>
      <c r="I262" s="3" t="s">
        <v>965</v>
      </c>
      <c r="K262" s="15" t="s">
        <v>547</v>
      </c>
      <c r="M262" s="56"/>
    </row>
    <row r="263" spans="1:13">
      <c r="A263" s="52"/>
      <c r="B263" s="66"/>
      <c r="C263" t="s">
        <v>978</v>
      </c>
      <c r="D263" t="s">
        <v>569</v>
      </c>
      <c r="F263"/>
      <c r="H263" s="3" t="s">
        <v>576</v>
      </c>
      <c r="I263" s="3" t="s">
        <v>965</v>
      </c>
      <c r="K263" s="15" t="s">
        <v>547</v>
      </c>
      <c r="M263" s="56"/>
    </row>
    <row r="264" spans="1:13">
      <c r="A264" s="52"/>
      <c r="B264" s="66"/>
      <c r="C264" t="s">
        <v>979</v>
      </c>
      <c r="D264" t="s">
        <v>543</v>
      </c>
      <c r="F264" s="1">
        <v>2</v>
      </c>
      <c r="G264" s="61">
        <v>167.82900000000001</v>
      </c>
      <c r="H264" s="3" t="s">
        <v>972</v>
      </c>
      <c r="I264" s="3" t="s">
        <v>611</v>
      </c>
      <c r="J264" s="15" t="s">
        <v>546</v>
      </c>
      <c r="K264" s="15" t="s">
        <v>547</v>
      </c>
      <c r="L264" s="15" t="s">
        <v>546</v>
      </c>
      <c r="M264" s="56" t="s">
        <v>547</v>
      </c>
    </row>
    <row r="265" spans="1:13">
      <c r="A265" s="52"/>
      <c r="B265" s="66"/>
      <c r="C265" t="s">
        <v>980</v>
      </c>
      <c r="D265" t="s">
        <v>569</v>
      </c>
      <c r="F265"/>
      <c r="H265" s="3" t="s">
        <v>965</v>
      </c>
      <c r="I265" s="3" t="s">
        <v>611</v>
      </c>
      <c r="K265" s="15" t="s">
        <v>547</v>
      </c>
      <c r="M265" s="56"/>
    </row>
    <row r="266" spans="1:13">
      <c r="A266" s="52"/>
      <c r="B266" s="66"/>
      <c r="C266" t="s">
        <v>981</v>
      </c>
      <c r="D266" t="s">
        <v>569</v>
      </c>
      <c r="F266"/>
      <c r="H266" s="3" t="s">
        <v>609</v>
      </c>
      <c r="I266" s="3" t="s">
        <v>611</v>
      </c>
      <c r="K266" s="15" t="s">
        <v>547</v>
      </c>
      <c r="M266" s="56"/>
    </row>
    <row r="267" spans="1:13">
      <c r="A267" s="52"/>
      <c r="B267" s="66"/>
      <c r="C267" t="s">
        <v>982</v>
      </c>
      <c r="D267" t="s">
        <v>632</v>
      </c>
      <c r="F267"/>
      <c r="H267" s="3"/>
      <c r="I267" s="3"/>
      <c r="M267" s="56"/>
    </row>
    <row r="268" spans="1:13">
      <c r="A268" s="115"/>
      <c r="B268" s="64"/>
      <c r="C268" s="54" t="s">
        <v>983</v>
      </c>
      <c r="D268" s="54" t="s">
        <v>632</v>
      </c>
      <c r="E268" s="54"/>
      <c r="F268" s="54"/>
      <c r="G268" s="85"/>
      <c r="H268" s="91"/>
      <c r="I268" s="91"/>
      <c r="J268" s="86"/>
      <c r="K268" s="86"/>
      <c r="L268" s="86"/>
      <c r="M268" s="57"/>
    </row>
    <row r="270" spans="1:13">
      <c r="A270" s="63" t="s">
        <v>360</v>
      </c>
      <c r="B270" s="63" t="s">
        <v>984</v>
      </c>
      <c r="C270" s="13" t="s">
        <v>985</v>
      </c>
      <c r="D270" s="53" t="s">
        <v>543</v>
      </c>
      <c r="E270" s="53"/>
      <c r="F270" s="53">
        <v>1</v>
      </c>
      <c r="G270" s="82">
        <v>73.101399999999998</v>
      </c>
      <c r="H270" s="88" t="s">
        <v>986</v>
      </c>
      <c r="I270" s="88" t="s">
        <v>545</v>
      </c>
      <c r="J270" s="83" t="s">
        <v>546</v>
      </c>
      <c r="K270" s="83" t="s">
        <v>547</v>
      </c>
      <c r="L270" s="83" t="s">
        <v>546</v>
      </c>
      <c r="M270" s="55" t="s">
        <v>547</v>
      </c>
    </row>
    <row r="271" spans="1:13">
      <c r="A271" s="66"/>
      <c r="B271" s="66"/>
      <c r="C271" s="47" t="s">
        <v>987</v>
      </c>
      <c r="D271" t="s">
        <v>569</v>
      </c>
      <c r="F271"/>
      <c r="H271" s="3" t="s">
        <v>986</v>
      </c>
      <c r="I271" s="3" t="s">
        <v>545</v>
      </c>
      <c r="K271" s="15" t="s">
        <v>547</v>
      </c>
      <c r="M271" s="56"/>
    </row>
    <row r="272" spans="1:13">
      <c r="A272" s="66"/>
      <c r="B272" s="66"/>
      <c r="C272" s="47" t="s">
        <v>988</v>
      </c>
      <c r="D272" t="s">
        <v>543</v>
      </c>
      <c r="F272">
        <v>1</v>
      </c>
      <c r="G272" s="61">
        <v>71.224900000000005</v>
      </c>
      <c r="H272" s="3" t="s">
        <v>989</v>
      </c>
      <c r="I272" s="3" t="s">
        <v>965</v>
      </c>
      <c r="J272" s="15" t="s">
        <v>546</v>
      </c>
      <c r="K272" s="15" t="s">
        <v>547</v>
      </c>
      <c r="L272" s="15" t="s">
        <v>546</v>
      </c>
      <c r="M272" s="56" t="s">
        <v>547</v>
      </c>
    </row>
    <row r="273" spans="1:13">
      <c r="A273" s="66"/>
      <c r="B273" s="66"/>
      <c r="C273" s="47" t="s">
        <v>990</v>
      </c>
      <c r="D273" t="s">
        <v>569</v>
      </c>
      <c r="F273"/>
      <c r="H273" s="3" t="s">
        <v>989</v>
      </c>
      <c r="I273" s="3" t="s">
        <v>965</v>
      </c>
      <c r="K273" s="15" t="s">
        <v>547</v>
      </c>
      <c r="M273" s="56"/>
    </row>
    <row r="274" spans="1:13">
      <c r="A274" s="66"/>
      <c r="B274" s="66"/>
      <c r="C274" s="47" t="s">
        <v>991</v>
      </c>
      <c r="D274" t="s">
        <v>543</v>
      </c>
      <c r="F274">
        <v>1</v>
      </c>
      <c r="G274" s="61">
        <v>72.438599999999994</v>
      </c>
      <c r="H274" s="3" t="s">
        <v>986</v>
      </c>
      <c r="I274" s="3" t="s">
        <v>611</v>
      </c>
      <c r="J274" s="15" t="s">
        <v>546</v>
      </c>
      <c r="K274" s="15" t="s">
        <v>547</v>
      </c>
      <c r="L274" s="15" t="s">
        <v>546</v>
      </c>
      <c r="M274" s="56" t="s">
        <v>547</v>
      </c>
    </row>
    <row r="275" spans="1:13">
      <c r="A275" s="66"/>
      <c r="B275" s="66"/>
      <c r="C275" s="47" t="s">
        <v>992</v>
      </c>
      <c r="D275" t="s">
        <v>569</v>
      </c>
      <c r="F275"/>
      <c r="H275" s="3" t="s">
        <v>986</v>
      </c>
      <c r="I275" s="3" t="s">
        <v>611</v>
      </c>
      <c r="K275" s="15" t="s">
        <v>547</v>
      </c>
      <c r="M275" s="56"/>
    </row>
    <row r="276" spans="1:13">
      <c r="A276" s="66"/>
      <c r="B276" s="66"/>
      <c r="C276" s="47" t="s">
        <v>993</v>
      </c>
      <c r="D276" t="s">
        <v>632</v>
      </c>
      <c r="F276"/>
      <c r="H276" s="3"/>
      <c r="I276" s="3"/>
      <c r="M276" s="56"/>
    </row>
    <row r="277" spans="1:13">
      <c r="A277" s="66"/>
      <c r="B277" s="66"/>
      <c r="C277" s="47" t="s">
        <v>994</v>
      </c>
      <c r="D277" t="s">
        <v>543</v>
      </c>
      <c r="F277">
        <v>1</v>
      </c>
      <c r="G277" s="61">
        <v>71.872900000000001</v>
      </c>
      <c r="H277" s="3" t="s">
        <v>986</v>
      </c>
      <c r="I277" s="3" t="s">
        <v>965</v>
      </c>
      <c r="J277" s="15" t="s">
        <v>546</v>
      </c>
      <c r="K277" s="15" t="s">
        <v>547</v>
      </c>
      <c r="L277" s="15" t="s">
        <v>546</v>
      </c>
      <c r="M277" s="56" t="s">
        <v>547</v>
      </c>
    </row>
    <row r="278" spans="1:13">
      <c r="A278" s="64"/>
      <c r="B278" s="64"/>
      <c r="C278" s="48" t="s">
        <v>995</v>
      </c>
      <c r="D278" s="54" t="s">
        <v>569</v>
      </c>
      <c r="E278" s="54"/>
      <c r="F278" s="54"/>
      <c r="G278" s="85"/>
      <c r="H278" s="91" t="s">
        <v>986</v>
      </c>
      <c r="I278" s="91" t="s">
        <v>965</v>
      </c>
      <c r="J278" s="86"/>
      <c r="K278" s="86" t="s">
        <v>547</v>
      </c>
      <c r="L278" s="86"/>
      <c r="M278" s="57"/>
    </row>
    <row r="279" spans="1:13">
      <c r="G279" s="61">
        <f>SUM(G270:G278)</f>
        <v>288.63780000000003</v>
      </c>
    </row>
    <row r="280" spans="1:13">
      <c r="A280" s="63" t="s">
        <v>360</v>
      </c>
      <c r="B280" s="63" t="s">
        <v>367</v>
      </c>
      <c r="C280" s="53" t="s">
        <v>856</v>
      </c>
      <c r="D280" s="53" t="s">
        <v>561</v>
      </c>
      <c r="E280" s="53"/>
      <c r="F280" s="53">
        <v>1</v>
      </c>
      <c r="G280" s="82">
        <v>199.934</v>
      </c>
      <c r="H280" s="88">
        <v>0</v>
      </c>
      <c r="I280" s="88" t="s">
        <v>554</v>
      </c>
      <c r="J280" s="83"/>
      <c r="K280" s="83" t="s">
        <v>547</v>
      </c>
      <c r="L280" s="83"/>
      <c r="M280" s="55" t="s">
        <v>547</v>
      </c>
    </row>
    <row r="281" spans="1:13">
      <c r="A281" s="66"/>
      <c r="B281" s="66"/>
      <c r="C281" t="s">
        <v>857</v>
      </c>
      <c r="D281"/>
      <c r="F281"/>
      <c r="H281" s="3"/>
      <c r="I281" s="3"/>
      <c r="M281" s="56"/>
    </row>
    <row r="282" spans="1:13">
      <c r="A282" s="66"/>
      <c r="B282" s="66"/>
      <c r="C282" t="s">
        <v>858</v>
      </c>
      <c r="D282"/>
      <c r="F282"/>
      <c r="H282" s="3"/>
      <c r="I282" s="3"/>
      <c r="M282" s="56"/>
    </row>
    <row r="283" spans="1:13">
      <c r="A283" s="66"/>
      <c r="B283" s="66"/>
      <c r="C283" t="s">
        <v>859</v>
      </c>
      <c r="D283" t="s">
        <v>561</v>
      </c>
      <c r="F283" s="1">
        <v>1</v>
      </c>
      <c r="G283" s="61">
        <v>92.910899999999998</v>
      </c>
      <c r="H283" s="3">
        <v>-0.1</v>
      </c>
      <c r="I283" s="3" t="s">
        <v>554</v>
      </c>
      <c r="K283" s="15" t="s">
        <v>547</v>
      </c>
      <c r="M283" s="56" t="s">
        <v>547</v>
      </c>
    </row>
    <row r="284" spans="1:13">
      <c r="A284" s="66"/>
      <c r="B284" s="66"/>
      <c r="C284" t="s">
        <v>860</v>
      </c>
      <c r="D284" t="s">
        <v>561</v>
      </c>
      <c r="F284" s="1">
        <v>1</v>
      </c>
      <c r="G284" s="61">
        <v>60.077300000000001</v>
      </c>
      <c r="H284" s="3" t="s">
        <v>554</v>
      </c>
      <c r="I284" s="3" t="s">
        <v>547</v>
      </c>
      <c r="K284" s="15" t="s">
        <v>547</v>
      </c>
      <c r="M284" s="56" t="s">
        <v>547</v>
      </c>
    </row>
    <row r="285" spans="1:13">
      <c r="A285" s="66"/>
      <c r="B285" s="66"/>
      <c r="C285" t="s">
        <v>579</v>
      </c>
      <c r="D285" t="s">
        <v>569</v>
      </c>
      <c r="F285"/>
      <c r="H285" s="3" t="s">
        <v>554</v>
      </c>
      <c r="I285" s="3" t="s">
        <v>545</v>
      </c>
      <c r="K285" s="15" t="s">
        <v>547</v>
      </c>
      <c r="M285" s="56"/>
    </row>
    <row r="286" spans="1:13">
      <c r="A286" s="66"/>
      <c r="B286" s="66"/>
      <c r="C286" t="s">
        <v>863</v>
      </c>
      <c r="D286" t="s">
        <v>569</v>
      </c>
      <c r="F286"/>
      <c r="H286" s="3" t="s">
        <v>864</v>
      </c>
      <c r="I286" s="3" t="s">
        <v>545</v>
      </c>
      <c r="K286" s="15" t="s">
        <v>547</v>
      </c>
      <c r="M286" s="56"/>
    </row>
    <row r="287" spans="1:13">
      <c r="A287" s="66"/>
      <c r="B287" s="66"/>
      <c r="C287" t="s">
        <v>865</v>
      </c>
      <c r="D287" t="s">
        <v>543</v>
      </c>
      <c r="F287" s="1">
        <f>1.5/0.05+1</f>
        <v>31</v>
      </c>
      <c r="G287" s="61">
        <f>31.5*F287+44</f>
        <v>1020.5</v>
      </c>
      <c r="H287" s="3" t="s">
        <v>916</v>
      </c>
      <c r="I287" s="3" t="s">
        <v>554</v>
      </c>
      <c r="J287" s="15" t="s">
        <v>546</v>
      </c>
      <c r="K287" s="15" t="s">
        <v>547</v>
      </c>
      <c r="L287" s="15" t="s">
        <v>546</v>
      </c>
      <c r="M287" s="56" t="s">
        <v>547</v>
      </c>
    </row>
    <row r="288" spans="1:13">
      <c r="A288" s="66"/>
      <c r="B288" s="66"/>
      <c r="C288" t="s">
        <v>867</v>
      </c>
      <c r="D288" t="s">
        <v>569</v>
      </c>
      <c r="F288"/>
      <c r="H288" s="3">
        <v>1.1000000000000001</v>
      </c>
      <c r="I288" s="3" t="s">
        <v>554</v>
      </c>
      <c r="K288" s="15" t="s">
        <v>547</v>
      </c>
      <c r="M288" s="56"/>
    </row>
    <row r="289" spans="1:13">
      <c r="A289" s="66"/>
      <c r="B289" s="66"/>
      <c r="C289" t="s">
        <v>868</v>
      </c>
      <c r="D289" t="s">
        <v>569</v>
      </c>
      <c r="F289"/>
      <c r="H289" s="3">
        <v>1</v>
      </c>
      <c r="I289" s="3" t="s">
        <v>554</v>
      </c>
      <c r="K289" s="15" t="s">
        <v>547</v>
      </c>
      <c r="M289" s="56"/>
    </row>
    <row r="290" spans="1:13">
      <c r="A290" s="66"/>
      <c r="B290" s="66"/>
      <c r="C290" t="s">
        <v>871</v>
      </c>
      <c r="D290" t="s">
        <v>569</v>
      </c>
      <c r="F290"/>
      <c r="H290" s="3">
        <v>0.65</v>
      </c>
      <c r="I290" s="3" t="s">
        <v>554</v>
      </c>
      <c r="K290" s="15" t="s">
        <v>547</v>
      </c>
      <c r="M290" s="56"/>
    </row>
    <row r="291" spans="1:13">
      <c r="A291" s="66"/>
      <c r="B291" s="66"/>
      <c r="C291" t="s">
        <v>872</v>
      </c>
      <c r="D291" t="s">
        <v>569</v>
      </c>
      <c r="F291"/>
      <c r="H291" s="3">
        <v>0.55000000000000004</v>
      </c>
      <c r="I291" s="3" t="s">
        <v>554</v>
      </c>
      <c r="K291" s="15" t="s">
        <v>547</v>
      </c>
      <c r="M291" s="56"/>
    </row>
    <row r="292" spans="1:13">
      <c r="A292" s="66"/>
      <c r="B292" s="66"/>
      <c r="C292" t="s">
        <v>873</v>
      </c>
      <c r="D292" t="s">
        <v>543</v>
      </c>
      <c r="F292" s="1">
        <v>2</v>
      </c>
      <c r="G292" s="61">
        <v>167.82900000000001</v>
      </c>
      <c r="H292" s="3" t="s">
        <v>866</v>
      </c>
      <c r="I292" s="3" t="s">
        <v>552</v>
      </c>
      <c r="J292" s="15" t="s">
        <v>546</v>
      </c>
      <c r="K292" s="15" t="s">
        <v>547</v>
      </c>
      <c r="L292" s="15" t="s">
        <v>546</v>
      </c>
      <c r="M292" s="56" t="s">
        <v>547</v>
      </c>
    </row>
    <row r="293" spans="1:13">
      <c r="A293" s="66"/>
      <c r="B293" s="66"/>
      <c r="C293" t="s">
        <v>874</v>
      </c>
      <c r="D293" t="s">
        <v>569</v>
      </c>
      <c r="F293"/>
      <c r="H293" s="3">
        <v>1.1000000000000001</v>
      </c>
      <c r="I293" s="3" t="s">
        <v>552</v>
      </c>
      <c r="K293" s="15" t="s">
        <v>547</v>
      </c>
      <c r="M293" s="56"/>
    </row>
    <row r="294" spans="1:13">
      <c r="A294" s="66"/>
      <c r="B294" s="66"/>
      <c r="C294" t="s">
        <v>875</v>
      </c>
      <c r="D294" t="s">
        <v>569</v>
      </c>
      <c r="F294"/>
      <c r="H294" s="3">
        <v>1</v>
      </c>
      <c r="I294" s="3" t="s">
        <v>552</v>
      </c>
      <c r="K294" s="15" t="s">
        <v>547</v>
      </c>
      <c r="M294" s="56"/>
    </row>
    <row r="295" spans="1:13">
      <c r="A295" s="66"/>
      <c r="B295" s="66"/>
      <c r="C295" t="s">
        <v>876</v>
      </c>
      <c r="D295" t="s">
        <v>632</v>
      </c>
      <c r="F295"/>
      <c r="H295" s="3"/>
      <c r="I295" s="3"/>
      <c r="M295" s="56"/>
    </row>
    <row r="296" spans="1:13">
      <c r="A296" s="66"/>
      <c r="B296" s="66"/>
      <c r="C296" t="s">
        <v>877</v>
      </c>
      <c r="D296" t="s">
        <v>632</v>
      </c>
      <c r="F296"/>
      <c r="H296" s="3"/>
      <c r="I296" s="3"/>
      <c r="M296" s="56"/>
    </row>
    <row r="297" spans="1:13">
      <c r="A297" s="66"/>
      <c r="B297" s="66"/>
      <c r="C297" t="s">
        <v>996</v>
      </c>
      <c r="D297" t="s">
        <v>639</v>
      </c>
      <c r="F297"/>
      <c r="H297" s="3" t="s">
        <v>918</v>
      </c>
      <c r="I297" s="3" t="s">
        <v>554</v>
      </c>
      <c r="K297" s="15" t="s">
        <v>547</v>
      </c>
      <c r="M297" s="56"/>
    </row>
    <row r="298" spans="1:13">
      <c r="A298" s="66"/>
      <c r="B298" s="66"/>
      <c r="C298" t="s">
        <v>997</v>
      </c>
      <c r="D298" t="s">
        <v>543</v>
      </c>
      <c r="F298">
        <v>11</v>
      </c>
      <c r="G298" s="61">
        <f>31.5*F298+44</f>
        <v>390.5</v>
      </c>
      <c r="H298" s="3" t="s">
        <v>941</v>
      </c>
      <c r="I298" s="3" t="s">
        <v>554</v>
      </c>
      <c r="J298" s="15" t="s">
        <v>546</v>
      </c>
      <c r="K298" s="15" t="s">
        <v>547</v>
      </c>
      <c r="L298" s="15" t="s">
        <v>546</v>
      </c>
      <c r="M298" s="56" t="s">
        <v>547</v>
      </c>
    </row>
    <row r="299" spans="1:13">
      <c r="A299" s="66"/>
      <c r="B299" s="66"/>
      <c r="C299" t="s">
        <v>879</v>
      </c>
      <c r="D299" t="s">
        <v>639</v>
      </c>
      <c r="F299"/>
      <c r="H299" s="3" t="s">
        <v>941</v>
      </c>
      <c r="I299" s="3" t="s">
        <v>554</v>
      </c>
      <c r="K299" s="15" t="s">
        <v>547</v>
      </c>
      <c r="M299" s="56"/>
    </row>
    <row r="300" spans="1:13">
      <c r="A300" s="66"/>
      <c r="B300" s="66"/>
      <c r="C300" t="s">
        <v>998</v>
      </c>
      <c r="D300" t="s">
        <v>639</v>
      </c>
      <c r="F300"/>
      <c r="H300" s="3" t="s">
        <v>918</v>
      </c>
      <c r="I300" s="3" t="s">
        <v>554</v>
      </c>
      <c r="K300" s="15" t="s">
        <v>547</v>
      </c>
      <c r="M300" s="56"/>
    </row>
    <row r="301" spans="1:13">
      <c r="A301" s="66"/>
      <c r="B301" s="66"/>
      <c r="C301" t="s">
        <v>999</v>
      </c>
      <c r="D301" t="s">
        <v>543</v>
      </c>
      <c r="F301">
        <v>11</v>
      </c>
      <c r="G301" s="61">
        <f>31.5*F301+44</f>
        <v>390.5</v>
      </c>
      <c r="H301" s="3" t="s">
        <v>920</v>
      </c>
      <c r="I301" s="3" t="s">
        <v>554</v>
      </c>
      <c r="K301" s="15" t="s">
        <v>547</v>
      </c>
      <c r="M301" s="56"/>
    </row>
    <row r="302" spans="1:13">
      <c r="A302" s="66"/>
      <c r="B302" s="66"/>
      <c r="C302" t="s">
        <v>881</v>
      </c>
      <c r="D302" t="s">
        <v>639</v>
      </c>
      <c r="F302"/>
      <c r="H302" s="3" t="s">
        <v>920</v>
      </c>
      <c r="I302" s="3" t="s">
        <v>554</v>
      </c>
      <c r="K302" s="15" t="s">
        <v>547</v>
      </c>
      <c r="M302" s="56"/>
    </row>
    <row r="303" spans="1:13">
      <c r="A303" s="66"/>
      <c r="B303" s="66"/>
      <c r="C303" t="s">
        <v>1000</v>
      </c>
      <c r="D303" t="s">
        <v>639</v>
      </c>
      <c r="F303"/>
      <c r="H303" s="3" t="s">
        <v>918</v>
      </c>
      <c r="I303" s="3" t="s">
        <v>554</v>
      </c>
      <c r="K303" s="15" t="s">
        <v>547</v>
      </c>
      <c r="M303" s="56"/>
    </row>
    <row r="304" spans="1:13">
      <c r="A304" s="66"/>
      <c r="B304" s="66"/>
      <c r="C304" t="s">
        <v>1001</v>
      </c>
      <c r="D304" t="s">
        <v>543</v>
      </c>
      <c r="F304">
        <v>11</v>
      </c>
      <c r="G304" s="61">
        <f>31.5*F304+44</f>
        <v>390.5</v>
      </c>
      <c r="H304" s="3" t="s">
        <v>920</v>
      </c>
      <c r="I304" s="3" t="s">
        <v>554</v>
      </c>
      <c r="K304" s="15" t="s">
        <v>547</v>
      </c>
      <c r="M304" s="56"/>
    </row>
    <row r="305" spans="1:13">
      <c r="A305" s="66"/>
      <c r="B305" s="66"/>
      <c r="C305" t="s">
        <v>880</v>
      </c>
      <c r="D305" t="s">
        <v>639</v>
      </c>
      <c r="F305"/>
      <c r="H305" s="3" t="s">
        <v>920</v>
      </c>
      <c r="I305" s="3" t="s">
        <v>554</v>
      </c>
      <c r="K305" s="15" t="s">
        <v>547</v>
      </c>
      <c r="M305" s="56"/>
    </row>
    <row r="306" spans="1:13">
      <c r="A306" s="66"/>
      <c r="B306" s="66"/>
      <c r="C306" t="s">
        <v>882</v>
      </c>
      <c r="D306" t="s">
        <v>632</v>
      </c>
      <c r="F306"/>
      <c r="H306" s="3"/>
      <c r="I306" s="3"/>
      <c r="M306" s="56"/>
    </row>
    <row r="307" spans="1:13">
      <c r="A307" s="66"/>
      <c r="B307" s="66"/>
      <c r="C307" t="s">
        <v>883</v>
      </c>
      <c r="D307" t="s">
        <v>632</v>
      </c>
      <c r="F307"/>
      <c r="H307" s="3"/>
      <c r="I307" s="3"/>
      <c r="M307" s="56"/>
    </row>
    <row r="308" spans="1:13">
      <c r="A308" s="66"/>
      <c r="B308" s="66"/>
      <c r="C308" t="s">
        <v>884</v>
      </c>
      <c r="D308" t="s">
        <v>632</v>
      </c>
      <c r="F308"/>
      <c r="H308" s="3"/>
      <c r="I308" s="3"/>
      <c r="M308" s="56"/>
    </row>
    <row r="309" spans="1:13">
      <c r="A309" s="66"/>
      <c r="B309" s="66"/>
      <c r="C309" t="s">
        <v>1002</v>
      </c>
      <c r="D309" t="s">
        <v>569</v>
      </c>
      <c r="F309"/>
      <c r="H309" s="3" t="s">
        <v>924</v>
      </c>
      <c r="I309" s="3" t="s">
        <v>554</v>
      </c>
      <c r="K309" s="15" t="s">
        <v>547</v>
      </c>
      <c r="M309" s="56"/>
    </row>
    <row r="310" spans="1:13">
      <c r="A310" s="66"/>
      <c r="B310" s="66"/>
      <c r="C310" t="s">
        <v>1003</v>
      </c>
      <c r="D310" t="s">
        <v>569</v>
      </c>
      <c r="F310"/>
      <c r="H310" s="3" t="s">
        <v>926</v>
      </c>
      <c r="I310" s="3" t="s">
        <v>554</v>
      </c>
      <c r="K310" s="15" t="s">
        <v>547</v>
      </c>
      <c r="M310" s="56"/>
    </row>
    <row r="311" spans="1:13">
      <c r="A311" s="66"/>
      <c r="B311" s="66"/>
      <c r="C311" t="s">
        <v>1004</v>
      </c>
      <c r="D311" t="s">
        <v>569</v>
      </c>
      <c r="F311"/>
      <c r="H311" s="3" t="s">
        <v>928</v>
      </c>
      <c r="I311" s="3" t="s">
        <v>554</v>
      </c>
      <c r="K311" s="15" t="s">
        <v>547</v>
      </c>
      <c r="M311" s="56"/>
    </row>
    <row r="312" spans="1:13">
      <c r="A312" s="66"/>
      <c r="B312" s="66"/>
      <c r="C312" t="s">
        <v>1005</v>
      </c>
      <c r="D312" t="s">
        <v>569</v>
      </c>
      <c r="F312"/>
      <c r="H312" s="3" t="s">
        <v>930</v>
      </c>
      <c r="I312" s="3" t="s">
        <v>554</v>
      </c>
      <c r="K312" s="15" t="s">
        <v>547</v>
      </c>
      <c r="M312" s="56"/>
    </row>
    <row r="313" spans="1:13">
      <c r="A313" s="66"/>
      <c r="B313" s="66"/>
      <c r="C313" t="s">
        <v>1006</v>
      </c>
      <c r="D313" t="s">
        <v>569</v>
      </c>
      <c r="F313"/>
      <c r="H313" s="3" t="s">
        <v>932</v>
      </c>
      <c r="I313" s="3" t="s">
        <v>554</v>
      </c>
      <c r="K313" s="15" t="s">
        <v>547</v>
      </c>
      <c r="M313" s="56"/>
    </row>
    <row r="314" spans="1:13">
      <c r="A314" s="66"/>
      <c r="B314" s="66"/>
      <c r="C314" t="s">
        <v>1007</v>
      </c>
      <c r="D314" t="s">
        <v>632</v>
      </c>
      <c r="F314"/>
      <c r="H314" s="3"/>
      <c r="I314" s="3"/>
      <c r="M314" s="56"/>
    </row>
    <row r="315" spans="1:13">
      <c r="A315" s="66"/>
      <c r="B315" s="66"/>
      <c r="C315" t="s">
        <v>1008</v>
      </c>
      <c r="D315" t="s">
        <v>632</v>
      </c>
      <c r="F315"/>
      <c r="H315" s="3"/>
      <c r="I315" s="3"/>
      <c r="M315" s="56"/>
    </row>
    <row r="316" spans="1:13">
      <c r="A316" s="66"/>
      <c r="B316" s="66"/>
      <c r="C316" t="s">
        <v>1009</v>
      </c>
      <c r="D316" t="s">
        <v>632</v>
      </c>
      <c r="F316"/>
      <c r="H316" s="3"/>
      <c r="I316" s="3"/>
      <c r="M316" s="56"/>
    </row>
    <row r="317" spans="1:13">
      <c r="A317" s="66"/>
      <c r="B317" s="66"/>
      <c r="C317" t="s">
        <v>1010</v>
      </c>
      <c r="D317" t="s">
        <v>585</v>
      </c>
      <c r="F317"/>
      <c r="H317" s="3" t="s">
        <v>916</v>
      </c>
      <c r="I317" s="3" t="s">
        <v>554</v>
      </c>
      <c r="K317" s="15" t="s">
        <v>547</v>
      </c>
      <c r="M317" s="56"/>
    </row>
    <row r="318" spans="1:13">
      <c r="A318" s="64"/>
      <c r="B318" s="64"/>
      <c r="C318" s="54" t="s">
        <v>1011</v>
      </c>
      <c r="D318" s="54"/>
      <c r="E318" s="54"/>
      <c r="F318" s="54"/>
      <c r="G318" s="85"/>
      <c r="H318" s="91"/>
      <c r="I318" s="91"/>
      <c r="J318" s="86"/>
      <c r="K318" s="86"/>
      <c r="L318" s="86"/>
      <c r="M318" s="57"/>
    </row>
    <row r="320" spans="1:13">
      <c r="A320" s="306" t="s">
        <v>360</v>
      </c>
      <c r="B320" s="278" t="s">
        <v>1012</v>
      </c>
      <c r="C320" s="53" t="s">
        <v>729</v>
      </c>
      <c r="D320" s="53" t="s">
        <v>543</v>
      </c>
      <c r="E320" s="53"/>
      <c r="F320" s="81">
        <v>2</v>
      </c>
      <c r="G320" s="82">
        <v>102.636</v>
      </c>
      <c r="H320" s="88" t="s">
        <v>722</v>
      </c>
      <c r="I320" s="88" t="s">
        <v>554</v>
      </c>
      <c r="J320" s="83" t="s">
        <v>546</v>
      </c>
      <c r="K320" s="83" t="s">
        <v>547</v>
      </c>
      <c r="L320" s="83" t="s">
        <v>546</v>
      </c>
      <c r="M320" s="55" t="s">
        <v>547</v>
      </c>
    </row>
    <row r="321" spans="1:13">
      <c r="A321" s="310"/>
      <c r="B321" s="279"/>
      <c r="C321" t="s">
        <v>730</v>
      </c>
      <c r="D321" t="s">
        <v>543</v>
      </c>
      <c r="F321" s="1">
        <v>1</v>
      </c>
      <c r="G321" s="61">
        <v>74.065200000000004</v>
      </c>
      <c r="H321" s="3" t="s">
        <v>718</v>
      </c>
      <c r="I321" s="3" t="s">
        <v>554</v>
      </c>
      <c r="J321" s="15" t="s">
        <v>546</v>
      </c>
      <c r="K321" s="15" t="s">
        <v>547</v>
      </c>
      <c r="L321" s="15" t="s">
        <v>546</v>
      </c>
      <c r="M321" s="56" t="s">
        <v>547</v>
      </c>
    </row>
    <row r="322" spans="1:13">
      <c r="A322" s="310"/>
      <c r="B322" s="279"/>
      <c r="C322" t="s">
        <v>731</v>
      </c>
      <c r="D322" t="s">
        <v>569</v>
      </c>
      <c r="F322"/>
      <c r="H322" s="3" t="s">
        <v>725</v>
      </c>
      <c r="I322" s="3" t="s">
        <v>554</v>
      </c>
      <c r="M322" s="56"/>
    </row>
    <row r="323" spans="1:13">
      <c r="A323" s="310"/>
      <c r="B323" s="279"/>
      <c r="C323" t="s">
        <v>732</v>
      </c>
      <c r="D323" t="s">
        <v>569</v>
      </c>
      <c r="F323"/>
      <c r="H323" s="3" t="s">
        <v>727</v>
      </c>
      <c r="I323" s="3" t="s">
        <v>554</v>
      </c>
      <c r="M323" s="56"/>
    </row>
    <row r="324" spans="1:13" s="54" customFormat="1">
      <c r="A324" s="310"/>
      <c r="B324" s="279"/>
      <c r="C324" s="54" t="s">
        <v>733</v>
      </c>
      <c r="D324" s="54" t="s">
        <v>569</v>
      </c>
      <c r="G324" s="85"/>
      <c r="H324" s="91" t="s">
        <v>718</v>
      </c>
      <c r="I324" s="91" t="s">
        <v>554</v>
      </c>
      <c r="J324" s="86"/>
      <c r="K324" s="86"/>
      <c r="L324" s="86"/>
      <c r="M324" s="57"/>
    </row>
    <row r="325" spans="1:13">
      <c r="A325" s="310"/>
      <c r="B325" s="279"/>
      <c r="C325" s="53" t="s">
        <v>885</v>
      </c>
      <c r="D325" s="53" t="s">
        <v>543</v>
      </c>
      <c r="E325" s="53"/>
      <c r="F325" s="81">
        <v>2</v>
      </c>
      <c r="G325" s="82">
        <v>103.395</v>
      </c>
      <c r="H325" s="88" t="s">
        <v>886</v>
      </c>
      <c r="I325" s="88" t="s">
        <v>554</v>
      </c>
      <c r="J325" s="83" t="s">
        <v>546</v>
      </c>
      <c r="K325" s="83" t="s">
        <v>547</v>
      </c>
      <c r="L325" s="83" t="s">
        <v>546</v>
      </c>
      <c r="M325" s="55" t="s">
        <v>547</v>
      </c>
    </row>
    <row r="326" spans="1:13">
      <c r="A326" s="310"/>
      <c r="B326" s="279"/>
      <c r="C326" t="s">
        <v>887</v>
      </c>
      <c r="D326" t="s">
        <v>543</v>
      </c>
      <c r="F326" s="1">
        <v>2</v>
      </c>
      <c r="G326" s="61">
        <v>105.57</v>
      </c>
      <c r="H326" s="3" t="s">
        <v>888</v>
      </c>
      <c r="I326" s="3" t="s">
        <v>554</v>
      </c>
      <c r="J326" s="15" t="s">
        <v>546</v>
      </c>
      <c r="K326" s="15" t="s">
        <v>547</v>
      </c>
      <c r="L326" s="15" t="s">
        <v>546</v>
      </c>
      <c r="M326" s="56" t="s">
        <v>547</v>
      </c>
    </row>
    <row r="327" spans="1:13">
      <c r="A327" s="310"/>
      <c r="B327" s="279"/>
      <c r="C327" t="s">
        <v>889</v>
      </c>
      <c r="D327" t="s">
        <v>569</v>
      </c>
      <c r="F327"/>
      <c r="H327" s="3" t="s">
        <v>890</v>
      </c>
      <c r="I327" s="3" t="s">
        <v>554</v>
      </c>
      <c r="K327" s="15" t="s">
        <v>547</v>
      </c>
      <c r="M327" s="56"/>
    </row>
    <row r="328" spans="1:13">
      <c r="A328" s="310"/>
      <c r="B328" s="279"/>
      <c r="C328" t="s">
        <v>891</v>
      </c>
      <c r="D328" t="s">
        <v>569</v>
      </c>
      <c r="F328"/>
      <c r="H328" s="3" t="s">
        <v>892</v>
      </c>
      <c r="I328" s="3" t="s">
        <v>554</v>
      </c>
      <c r="K328" s="15" t="s">
        <v>547</v>
      </c>
      <c r="M328" s="56"/>
    </row>
    <row r="329" spans="1:13">
      <c r="A329" s="310"/>
      <c r="B329" s="279"/>
      <c r="C329" t="s">
        <v>893</v>
      </c>
      <c r="D329" t="s">
        <v>569</v>
      </c>
      <c r="F329"/>
      <c r="H329" s="3" t="s">
        <v>894</v>
      </c>
      <c r="I329" s="3" t="s">
        <v>554</v>
      </c>
      <c r="K329" s="15" t="s">
        <v>547</v>
      </c>
      <c r="M329" s="56"/>
    </row>
    <row r="330" spans="1:13">
      <c r="A330" s="307"/>
      <c r="B330" s="280"/>
      <c r="C330" s="54" t="s">
        <v>895</v>
      </c>
      <c r="D330" s="54" t="s">
        <v>569</v>
      </c>
      <c r="E330" s="54"/>
      <c r="F330" s="54"/>
      <c r="G330" s="85"/>
      <c r="H330" s="91" t="s">
        <v>896</v>
      </c>
      <c r="I330" s="91" t="s">
        <v>554</v>
      </c>
      <c r="J330" s="86"/>
      <c r="K330" s="86" t="s">
        <v>547</v>
      </c>
      <c r="L330" s="86"/>
      <c r="M330" s="57"/>
    </row>
    <row r="332" spans="1:13">
      <c r="A332" s="63" t="s">
        <v>370</v>
      </c>
      <c r="B332" s="63" t="s">
        <v>370</v>
      </c>
      <c r="C332" s="13" t="s">
        <v>900</v>
      </c>
      <c r="D332" s="53" t="s">
        <v>543</v>
      </c>
      <c r="E332" s="53"/>
      <c r="F332" s="53">
        <v>1</v>
      </c>
      <c r="G332" s="82">
        <v>73.277100000000004</v>
      </c>
      <c r="H332" s="88" t="s">
        <v>901</v>
      </c>
      <c r="I332" s="88" t="s">
        <v>545</v>
      </c>
      <c r="J332" s="83" t="s">
        <v>546</v>
      </c>
      <c r="K332" s="83" t="s">
        <v>547</v>
      </c>
      <c r="L332" s="83" t="s">
        <v>546</v>
      </c>
      <c r="M332" s="55" t="s">
        <v>547</v>
      </c>
    </row>
    <row r="333" spans="1:13">
      <c r="A333" s="66"/>
      <c r="B333" s="66"/>
      <c r="C333" s="47" t="s">
        <v>902</v>
      </c>
      <c r="D333" t="s">
        <v>569</v>
      </c>
      <c r="F333"/>
      <c r="H333" s="3" t="s">
        <v>901</v>
      </c>
      <c r="I333" s="3" t="s">
        <v>545</v>
      </c>
      <c r="K333" s="15" t="s">
        <v>547</v>
      </c>
      <c r="M333" s="56"/>
    </row>
    <row r="334" spans="1:13">
      <c r="A334" s="66"/>
      <c r="B334" s="66"/>
      <c r="C334" s="47" t="s">
        <v>903</v>
      </c>
      <c r="D334" t="s">
        <v>543</v>
      </c>
      <c r="F334">
        <v>1</v>
      </c>
      <c r="G334" s="61">
        <v>71.831599999999995</v>
      </c>
      <c r="H334" s="3" t="s">
        <v>850</v>
      </c>
      <c r="I334" s="3" t="s">
        <v>554</v>
      </c>
      <c r="J334" s="15" t="s">
        <v>546</v>
      </c>
      <c r="K334" s="15" t="s">
        <v>547</v>
      </c>
      <c r="L334" s="15" t="s">
        <v>546</v>
      </c>
      <c r="M334" s="56" t="s">
        <v>547</v>
      </c>
    </row>
    <row r="335" spans="1:13">
      <c r="A335" s="66"/>
      <c r="B335" s="66"/>
      <c r="C335" s="47" t="s">
        <v>904</v>
      </c>
      <c r="D335" t="s">
        <v>569</v>
      </c>
      <c r="F335"/>
      <c r="H335" s="3" t="s">
        <v>850</v>
      </c>
      <c r="I335" s="3" t="s">
        <v>554</v>
      </c>
      <c r="K335" s="15" t="s">
        <v>547</v>
      </c>
      <c r="M335" s="56"/>
    </row>
    <row r="336" spans="1:13">
      <c r="A336" s="66"/>
      <c r="B336" s="66"/>
      <c r="C336" s="47" t="s">
        <v>905</v>
      </c>
      <c r="D336" t="s">
        <v>543</v>
      </c>
      <c r="F336">
        <v>1</v>
      </c>
      <c r="G336" s="61">
        <v>71.896799999999999</v>
      </c>
      <c r="H336" s="3" t="s">
        <v>906</v>
      </c>
      <c r="I336" s="3" t="s">
        <v>552</v>
      </c>
      <c r="J336" s="15" t="s">
        <v>546</v>
      </c>
      <c r="K336" s="15" t="s">
        <v>547</v>
      </c>
      <c r="L336" s="15" t="s">
        <v>546</v>
      </c>
      <c r="M336" s="56" t="s">
        <v>547</v>
      </c>
    </row>
    <row r="337" spans="1:13">
      <c r="A337" s="66"/>
      <c r="B337" s="66"/>
      <c r="C337" s="47" t="s">
        <v>907</v>
      </c>
      <c r="D337" t="s">
        <v>569</v>
      </c>
      <c r="F337"/>
      <c r="H337" s="3" t="s">
        <v>906</v>
      </c>
      <c r="I337" s="3" t="s">
        <v>552</v>
      </c>
      <c r="K337" s="15" t="s">
        <v>547</v>
      </c>
      <c r="M337" s="56"/>
    </row>
    <row r="338" spans="1:13">
      <c r="A338" s="66"/>
      <c r="B338" s="66"/>
      <c r="C338" s="47" t="s">
        <v>908</v>
      </c>
      <c r="D338" t="s">
        <v>632</v>
      </c>
      <c r="F338"/>
      <c r="H338" s="3"/>
      <c r="I338" s="3"/>
      <c r="M338" s="56"/>
    </row>
    <row r="339" spans="1:13">
      <c r="A339" s="66"/>
      <c r="B339" s="66"/>
      <c r="C339" s="47" t="s">
        <v>909</v>
      </c>
      <c r="D339" t="s">
        <v>543</v>
      </c>
      <c r="F339">
        <v>1</v>
      </c>
      <c r="G339" s="61">
        <v>71.729200000000006</v>
      </c>
      <c r="H339" s="3" t="s">
        <v>906</v>
      </c>
      <c r="I339" s="3" t="s">
        <v>554</v>
      </c>
      <c r="J339" s="15" t="s">
        <v>546</v>
      </c>
      <c r="K339" s="15" t="s">
        <v>547</v>
      </c>
      <c r="L339" s="15" t="s">
        <v>546</v>
      </c>
      <c r="M339" s="56" t="s">
        <v>547</v>
      </c>
    </row>
    <row r="340" spans="1:13">
      <c r="A340" s="64"/>
      <c r="B340" s="64"/>
      <c r="C340" s="48" t="s">
        <v>910</v>
      </c>
      <c r="D340" s="54" t="s">
        <v>569</v>
      </c>
      <c r="E340" s="54"/>
      <c r="F340" s="54"/>
      <c r="G340" s="85"/>
      <c r="H340" s="91" t="s">
        <v>906</v>
      </c>
      <c r="I340" s="91" t="s">
        <v>554</v>
      </c>
      <c r="J340" s="86"/>
      <c r="K340" s="86" t="s">
        <v>547</v>
      </c>
      <c r="L340" s="86"/>
      <c r="M340" s="57"/>
    </row>
    <row r="341" spans="1:13">
      <c r="G341" s="61">
        <f>SUM(G332:G340)</f>
        <v>288.73469999999998</v>
      </c>
    </row>
    <row r="342" spans="1:13">
      <c r="A342" s="87" t="s">
        <v>911</v>
      </c>
      <c r="B342" s="63" t="s">
        <v>911</v>
      </c>
      <c r="C342" s="53" t="s">
        <v>856</v>
      </c>
      <c r="D342" s="53" t="s">
        <v>561</v>
      </c>
      <c r="E342" s="53"/>
      <c r="F342" s="53">
        <v>1</v>
      </c>
      <c r="G342" s="82">
        <v>199.934</v>
      </c>
      <c r="H342" s="88">
        <v>0</v>
      </c>
      <c r="I342" s="88" t="s">
        <v>554</v>
      </c>
      <c r="J342" s="83"/>
      <c r="K342" s="83" t="s">
        <v>547</v>
      </c>
      <c r="L342" s="83"/>
      <c r="M342" s="55"/>
    </row>
    <row r="343" spans="1:13">
      <c r="A343" s="52"/>
      <c r="B343" s="66"/>
      <c r="C343" t="s">
        <v>857</v>
      </c>
      <c r="D343"/>
      <c r="F343"/>
      <c r="H343" s="3"/>
      <c r="I343" s="3"/>
      <c r="M343" s="56"/>
    </row>
    <row r="344" spans="1:13">
      <c r="A344" s="52"/>
      <c r="B344" s="66"/>
      <c r="C344" t="s">
        <v>858</v>
      </c>
      <c r="D344"/>
      <c r="F344"/>
      <c r="H344" s="3"/>
      <c r="I344" s="3"/>
      <c r="M344" s="56"/>
    </row>
    <row r="345" spans="1:13">
      <c r="A345" s="52"/>
      <c r="B345" s="66"/>
      <c r="C345" t="s">
        <v>859</v>
      </c>
      <c r="D345" t="s">
        <v>561</v>
      </c>
      <c r="F345" s="1">
        <v>1</v>
      </c>
      <c r="G345" s="61">
        <v>92.910899999999998</v>
      </c>
      <c r="H345" s="3">
        <v>-0.1</v>
      </c>
      <c r="I345" s="3" t="s">
        <v>554</v>
      </c>
      <c r="K345" s="15" t="s">
        <v>547</v>
      </c>
      <c r="M345" s="56"/>
    </row>
    <row r="346" spans="1:13">
      <c r="A346" s="52"/>
      <c r="B346" s="66"/>
      <c r="C346" t="s">
        <v>860</v>
      </c>
      <c r="D346" t="s">
        <v>561</v>
      </c>
      <c r="F346" s="1">
        <v>1</v>
      </c>
      <c r="G346" s="61">
        <v>60.077300000000001</v>
      </c>
      <c r="H346" s="3" t="s">
        <v>554</v>
      </c>
      <c r="I346" s="3" t="s">
        <v>547</v>
      </c>
      <c r="K346" s="15" t="s">
        <v>547</v>
      </c>
      <c r="M346" s="56"/>
    </row>
    <row r="347" spans="1:13">
      <c r="A347" s="52"/>
      <c r="B347" s="66"/>
      <c r="C347" t="s">
        <v>861</v>
      </c>
      <c r="D347" t="s">
        <v>543</v>
      </c>
      <c r="F347" s="1">
        <v>2</v>
      </c>
      <c r="G347" s="61">
        <v>174.477</v>
      </c>
      <c r="H347" s="3" t="s">
        <v>862</v>
      </c>
      <c r="I347" s="3" t="s">
        <v>545</v>
      </c>
      <c r="J347" s="15" t="s">
        <v>546</v>
      </c>
      <c r="K347" s="15" t="s">
        <v>547</v>
      </c>
      <c r="L347" s="15" t="s">
        <v>546</v>
      </c>
      <c r="M347" s="56"/>
    </row>
    <row r="348" spans="1:13">
      <c r="A348" s="52"/>
      <c r="B348" s="66"/>
      <c r="C348" t="s">
        <v>579</v>
      </c>
      <c r="D348" t="s">
        <v>569</v>
      </c>
      <c r="F348"/>
      <c r="H348" s="3" t="s">
        <v>554</v>
      </c>
      <c r="I348" s="3" t="s">
        <v>545</v>
      </c>
      <c r="K348" s="15" t="s">
        <v>547</v>
      </c>
      <c r="M348" s="56"/>
    </row>
    <row r="349" spans="1:13">
      <c r="A349" s="52"/>
      <c r="B349" s="66"/>
      <c r="C349" t="s">
        <v>863</v>
      </c>
      <c r="D349" t="s">
        <v>569</v>
      </c>
      <c r="F349"/>
      <c r="H349" s="3" t="s">
        <v>864</v>
      </c>
      <c r="I349" s="3" t="s">
        <v>545</v>
      </c>
      <c r="K349" s="15" t="s">
        <v>547</v>
      </c>
      <c r="M349" s="56"/>
    </row>
    <row r="350" spans="1:13">
      <c r="A350" s="52"/>
      <c r="B350" s="66"/>
      <c r="C350" t="s">
        <v>865</v>
      </c>
      <c r="D350" t="s">
        <v>543</v>
      </c>
      <c r="F350" s="1">
        <v>2</v>
      </c>
      <c r="G350" s="61">
        <v>167.572</v>
      </c>
      <c r="H350" s="3" t="s">
        <v>862</v>
      </c>
      <c r="I350" s="3" t="s">
        <v>554</v>
      </c>
      <c r="J350" s="15" t="s">
        <v>546</v>
      </c>
      <c r="K350" s="15" t="s">
        <v>547</v>
      </c>
      <c r="L350" s="15" t="s">
        <v>546</v>
      </c>
      <c r="M350" s="56"/>
    </row>
    <row r="351" spans="1:13">
      <c r="A351" s="52"/>
      <c r="B351" s="66"/>
      <c r="C351" t="s">
        <v>867</v>
      </c>
      <c r="D351" t="s">
        <v>569</v>
      </c>
      <c r="F351"/>
      <c r="H351" s="3" t="s">
        <v>554</v>
      </c>
      <c r="I351" s="3" t="s">
        <v>554</v>
      </c>
      <c r="K351" s="15" t="s">
        <v>547</v>
      </c>
      <c r="M351" s="56"/>
    </row>
    <row r="352" spans="1:13">
      <c r="A352" s="52"/>
      <c r="B352" s="66"/>
      <c r="C352" t="s">
        <v>868</v>
      </c>
      <c r="D352" t="s">
        <v>569</v>
      </c>
      <c r="F352"/>
      <c r="H352" s="3" t="s">
        <v>864</v>
      </c>
      <c r="I352" s="3" t="s">
        <v>554</v>
      </c>
      <c r="K352" s="15" t="s">
        <v>547</v>
      </c>
      <c r="M352" s="56"/>
    </row>
    <row r="353" spans="1:13">
      <c r="A353" s="52"/>
      <c r="B353" s="66"/>
      <c r="C353" t="s">
        <v>869</v>
      </c>
      <c r="D353" t="s">
        <v>543</v>
      </c>
      <c r="F353" s="1">
        <v>2</v>
      </c>
      <c r="G353" s="61">
        <v>169.511</v>
      </c>
      <c r="H353" s="3" t="s">
        <v>1013</v>
      </c>
      <c r="I353" s="3" t="s">
        <v>554</v>
      </c>
      <c r="J353" s="15" t="s">
        <v>546</v>
      </c>
      <c r="K353" s="15" t="s">
        <v>547</v>
      </c>
      <c r="L353" s="15" t="s">
        <v>546</v>
      </c>
      <c r="M353" s="56"/>
    </row>
    <row r="354" spans="1:13">
      <c r="A354" s="52"/>
      <c r="B354" s="66"/>
      <c r="C354" t="s">
        <v>871</v>
      </c>
      <c r="D354" t="s">
        <v>569</v>
      </c>
      <c r="F354"/>
      <c r="H354" s="3" t="s">
        <v>552</v>
      </c>
      <c r="I354" s="3" t="s">
        <v>554</v>
      </c>
      <c r="K354" s="15" t="s">
        <v>547</v>
      </c>
      <c r="M354" s="56"/>
    </row>
    <row r="355" spans="1:13">
      <c r="A355" s="52"/>
      <c r="B355" s="66"/>
      <c r="C355" t="s">
        <v>872</v>
      </c>
      <c r="D355" t="s">
        <v>569</v>
      </c>
      <c r="F355"/>
      <c r="H355" s="3" t="s">
        <v>611</v>
      </c>
      <c r="I355" s="3" t="s">
        <v>554</v>
      </c>
      <c r="K355" s="15" t="s">
        <v>547</v>
      </c>
      <c r="M355" s="56"/>
    </row>
    <row r="356" spans="1:13">
      <c r="A356" s="52"/>
      <c r="B356" s="66"/>
      <c r="C356" t="s">
        <v>873</v>
      </c>
      <c r="D356" t="s">
        <v>543</v>
      </c>
      <c r="F356" s="1">
        <v>2</v>
      </c>
      <c r="G356" s="61">
        <v>167.82900000000001</v>
      </c>
      <c r="H356" s="3" t="s">
        <v>862</v>
      </c>
      <c r="I356" s="3" t="s">
        <v>552</v>
      </c>
      <c r="J356" s="15" t="s">
        <v>546</v>
      </c>
      <c r="K356" s="15" t="s">
        <v>547</v>
      </c>
      <c r="L356" s="15" t="s">
        <v>546</v>
      </c>
      <c r="M356" s="56"/>
    </row>
    <row r="357" spans="1:13">
      <c r="A357" s="52"/>
      <c r="B357" s="66"/>
      <c r="C357" t="s">
        <v>874</v>
      </c>
      <c r="D357" t="s">
        <v>569</v>
      </c>
      <c r="F357"/>
      <c r="H357" s="3" t="s">
        <v>554</v>
      </c>
      <c r="I357" s="3" t="s">
        <v>552</v>
      </c>
      <c r="K357" s="15" t="s">
        <v>547</v>
      </c>
      <c r="M357" s="56"/>
    </row>
    <row r="358" spans="1:13">
      <c r="A358" s="52"/>
      <c r="B358" s="66"/>
      <c r="C358" t="s">
        <v>875</v>
      </c>
      <c r="D358" t="s">
        <v>569</v>
      </c>
      <c r="F358"/>
      <c r="H358" s="3" t="s">
        <v>864</v>
      </c>
      <c r="I358" s="3" t="s">
        <v>552</v>
      </c>
      <c r="K358" s="15" t="s">
        <v>547</v>
      </c>
      <c r="M358" s="56"/>
    </row>
    <row r="359" spans="1:13">
      <c r="A359" s="52"/>
      <c r="B359" s="66"/>
      <c r="C359" t="s">
        <v>876</v>
      </c>
      <c r="D359" t="s">
        <v>632</v>
      </c>
      <c r="F359"/>
      <c r="H359" s="3"/>
      <c r="I359" s="3"/>
      <c r="M359" s="56"/>
    </row>
    <row r="360" spans="1:13">
      <c r="A360" s="52"/>
      <c r="B360" s="66"/>
      <c r="C360" t="s">
        <v>877</v>
      </c>
      <c r="D360" t="s">
        <v>632</v>
      </c>
      <c r="F360"/>
      <c r="H360" s="3"/>
      <c r="I360" s="3"/>
      <c r="M360" s="56"/>
    </row>
    <row r="361" spans="1:13">
      <c r="A361" s="52"/>
      <c r="B361" s="66"/>
      <c r="C361" t="s">
        <v>912</v>
      </c>
      <c r="D361" t="s">
        <v>543</v>
      </c>
      <c r="F361">
        <f>0.3/0.05+1</f>
        <v>6.9999999999999991</v>
      </c>
      <c r="G361" s="61">
        <v>4134.37</v>
      </c>
      <c r="H361" s="3" t="s">
        <v>913</v>
      </c>
      <c r="I361" s="3" t="s">
        <v>554</v>
      </c>
      <c r="J361" s="15" t="s">
        <v>546</v>
      </c>
      <c r="K361" s="15" t="s">
        <v>547</v>
      </c>
      <c r="L361" s="15" t="s">
        <v>546</v>
      </c>
      <c r="M361" s="56"/>
    </row>
    <row r="362" spans="1:13">
      <c r="A362" s="52"/>
      <c r="B362" s="66"/>
      <c r="C362" t="s">
        <v>879</v>
      </c>
      <c r="D362" t="s">
        <v>639</v>
      </c>
      <c r="F362"/>
      <c r="H362" s="3" t="s">
        <v>913</v>
      </c>
      <c r="I362" s="3" t="s">
        <v>554</v>
      </c>
      <c r="K362" s="15" t="s">
        <v>547</v>
      </c>
      <c r="M362" s="56"/>
    </row>
    <row r="363" spans="1:13">
      <c r="A363" s="115"/>
      <c r="B363" s="64"/>
      <c r="C363" s="54" t="s">
        <v>882</v>
      </c>
      <c r="D363" s="54" t="s">
        <v>632</v>
      </c>
      <c r="E363" s="54"/>
      <c r="F363" s="54"/>
      <c r="G363" s="85"/>
      <c r="H363" s="91"/>
      <c r="I363" s="91"/>
      <c r="J363" s="86"/>
      <c r="K363" s="86"/>
      <c r="L363" s="86"/>
      <c r="M363" s="57"/>
    </row>
    <row r="365" spans="1:13">
      <c r="A365" s="163" t="s">
        <v>1523</v>
      </c>
      <c r="B365" s="163" t="s">
        <v>1523</v>
      </c>
      <c r="C365" s="165" t="s">
        <v>642</v>
      </c>
      <c r="D365" s="88"/>
      <c r="E365" s="53"/>
      <c r="F365" s="88"/>
      <c r="G365" s="82"/>
      <c r="H365" s="83" t="s">
        <v>1524</v>
      </c>
      <c r="I365" s="83"/>
      <c r="J365" s="83"/>
      <c r="K365" s="83"/>
      <c r="L365" s="83"/>
      <c r="M365" s="55"/>
    </row>
    <row r="366" spans="1:13">
      <c r="A366" s="164"/>
      <c r="B366" s="164"/>
      <c r="C366" s="166" t="s">
        <v>1525</v>
      </c>
      <c r="H366" s="83" t="s">
        <v>1524</v>
      </c>
      <c r="M366" s="56"/>
    </row>
    <row r="367" spans="1:13">
      <c r="A367" s="164"/>
      <c r="B367" s="164"/>
      <c r="C367" s="166" t="s">
        <v>1360</v>
      </c>
      <c r="M367" s="56"/>
    </row>
    <row r="368" spans="1:13">
      <c r="A368" s="164"/>
      <c r="B368" s="164"/>
      <c r="C368" s="166" t="s">
        <v>1363</v>
      </c>
      <c r="M368" s="56"/>
    </row>
    <row r="369" spans="1:13">
      <c r="A369" s="164"/>
      <c r="B369" s="164"/>
      <c r="C369" s="166" t="s">
        <v>1349</v>
      </c>
      <c r="M369" s="56"/>
    </row>
    <row r="370" spans="1:13">
      <c r="A370" s="164"/>
      <c r="B370" s="164"/>
      <c r="C370" s="166" t="s">
        <v>1526</v>
      </c>
      <c r="M370" s="56"/>
    </row>
    <row r="371" spans="1:13">
      <c r="A371" s="281"/>
      <c r="B371" s="164"/>
      <c r="C371" s="166" t="s">
        <v>1396</v>
      </c>
      <c r="M371" s="56"/>
    </row>
    <row r="372" spans="1:13">
      <c r="A372" s="281"/>
      <c r="B372" s="164"/>
      <c r="C372" s="166" t="s">
        <v>1398</v>
      </c>
      <c r="M372" s="56"/>
    </row>
    <row r="373" spans="1:13">
      <c r="A373" s="281"/>
      <c r="B373" s="164"/>
      <c r="C373" s="166" t="s">
        <v>1412</v>
      </c>
      <c r="M373" s="56"/>
    </row>
    <row r="374" spans="1:13">
      <c r="A374" s="281"/>
      <c r="B374" s="282"/>
      <c r="C374" s="167" t="s">
        <v>1413</v>
      </c>
      <c r="D374" s="91"/>
      <c r="E374" s="54"/>
      <c r="F374" s="91"/>
      <c r="G374" s="85"/>
      <c r="H374" s="86"/>
      <c r="I374" s="86"/>
      <c r="J374" s="86"/>
      <c r="K374" s="86"/>
      <c r="L374" s="86"/>
      <c r="M374" s="57"/>
    </row>
    <row r="375" spans="1:13">
      <c r="A375" s="281"/>
      <c r="B375" s="282"/>
    </row>
    <row r="376" spans="1:13">
      <c r="A376" s="281"/>
      <c r="B376" s="282"/>
      <c r="C376" s="89" t="s">
        <v>593</v>
      </c>
      <c r="D376" s="88"/>
      <c r="E376" s="53"/>
      <c r="F376" s="88"/>
      <c r="G376" s="82"/>
      <c r="H376" s="83"/>
      <c r="I376" s="83"/>
      <c r="J376" s="83"/>
      <c r="K376" s="83"/>
      <c r="L376" s="83"/>
      <c r="M376" s="55"/>
    </row>
    <row r="377" spans="1:13">
      <c r="A377" s="281"/>
      <c r="B377" s="282"/>
      <c r="C377" s="90" t="s">
        <v>594</v>
      </c>
      <c r="M377" s="56"/>
    </row>
    <row r="378" spans="1:13">
      <c r="A378" s="281"/>
      <c r="B378" s="282"/>
      <c r="C378" s="90" t="s">
        <v>595</v>
      </c>
      <c r="M378" s="56"/>
    </row>
    <row r="379" spans="1:13">
      <c r="A379" s="281"/>
      <c r="B379" s="283"/>
      <c r="C379" s="117" t="s">
        <v>667</v>
      </c>
      <c r="D379" s="91"/>
      <c r="E379" s="54"/>
      <c r="F379" s="91"/>
      <c r="G379" s="85"/>
      <c r="H379" s="86"/>
      <c r="I379" s="86"/>
      <c r="J379" s="86"/>
      <c r="K379" s="86"/>
      <c r="L379" s="86"/>
      <c r="M379" s="57"/>
    </row>
    <row r="380" spans="1:13">
      <c r="G380" s="61">
        <v>3500</v>
      </c>
    </row>
    <row r="381" spans="1:13" ht="15" thickBot="1"/>
    <row r="382" spans="1:13">
      <c r="A382" s="89"/>
      <c r="B382" s="173" t="s">
        <v>1527</v>
      </c>
      <c r="C382" s="174" t="s">
        <v>1528</v>
      </c>
      <c r="D382" s="88"/>
      <c r="E382" s="53"/>
      <c r="F382" s="88"/>
      <c r="G382" s="82"/>
      <c r="H382" s="83"/>
      <c r="I382" s="83"/>
      <c r="J382" s="83"/>
      <c r="K382" s="83"/>
      <c r="L382" s="83"/>
      <c r="M382" s="55"/>
    </row>
    <row r="383" spans="1:13">
      <c r="A383" s="90"/>
      <c r="B383" s="175"/>
      <c r="C383" s="176" t="s">
        <v>933</v>
      </c>
      <c r="M383" s="56"/>
    </row>
    <row r="384" spans="1:13">
      <c r="A384" s="90"/>
      <c r="B384" s="175"/>
      <c r="C384" s="176" t="s">
        <v>605</v>
      </c>
      <c r="M384" s="56"/>
    </row>
    <row r="385" spans="1:13">
      <c r="A385" s="90"/>
      <c r="B385" s="175"/>
      <c r="C385" s="176" t="s">
        <v>1360</v>
      </c>
      <c r="M385" s="56"/>
    </row>
    <row r="386" spans="1:13">
      <c r="A386" s="90"/>
      <c r="B386" s="175"/>
      <c r="C386" s="176" t="s">
        <v>970</v>
      </c>
      <c r="M386" s="56"/>
    </row>
    <row r="387" spans="1:13">
      <c r="A387" s="90"/>
      <c r="B387" s="175"/>
      <c r="C387" s="176" t="s">
        <v>1529</v>
      </c>
      <c r="M387" s="56"/>
    </row>
    <row r="388" spans="1:13">
      <c r="A388" s="90"/>
      <c r="B388" s="175"/>
      <c r="C388" s="176" t="s">
        <v>579</v>
      </c>
      <c r="M388" s="56"/>
    </row>
    <row r="389" spans="1:13" ht="15" thickBot="1">
      <c r="A389" s="90"/>
      <c r="B389" s="175"/>
      <c r="C389" s="177" t="s">
        <v>1349</v>
      </c>
      <c r="M389" s="56"/>
    </row>
    <row r="390" spans="1:13">
      <c r="A390" s="90"/>
      <c r="B390" s="175"/>
      <c r="C390" s="176" t="s">
        <v>593</v>
      </c>
      <c r="M390" s="56"/>
    </row>
    <row r="391" spans="1:13">
      <c r="A391" s="90"/>
      <c r="B391" s="175"/>
      <c r="C391" s="176" t="s">
        <v>594</v>
      </c>
      <c r="M391" s="56"/>
    </row>
    <row r="392" spans="1:13">
      <c r="A392" s="90"/>
      <c r="B392" s="175"/>
      <c r="C392" s="176" t="s">
        <v>595</v>
      </c>
      <c r="M392" s="56"/>
    </row>
    <row r="393" spans="1:13">
      <c r="A393" s="90"/>
      <c r="B393" s="175"/>
      <c r="C393" s="176" t="s">
        <v>613</v>
      </c>
      <c r="M393" s="56"/>
    </row>
    <row r="394" spans="1:13">
      <c r="A394" s="90"/>
      <c r="B394" s="175"/>
      <c r="C394" s="176" t="s">
        <v>1363</v>
      </c>
      <c r="M394" s="56"/>
    </row>
    <row r="395" spans="1:13">
      <c r="A395" s="90"/>
      <c r="B395" s="175"/>
      <c r="C395" s="176" t="s">
        <v>1375</v>
      </c>
      <c r="M395" s="56"/>
    </row>
    <row r="396" spans="1:13">
      <c r="A396" s="90"/>
      <c r="B396" s="175"/>
      <c r="C396" s="176" t="s">
        <v>631</v>
      </c>
      <c r="M396" s="56"/>
    </row>
    <row r="397" spans="1:13">
      <c r="A397" s="90"/>
      <c r="B397" s="175"/>
      <c r="C397" s="176" t="s">
        <v>654</v>
      </c>
      <c r="M397" s="56"/>
    </row>
    <row r="398" spans="1:13">
      <c r="A398" s="90"/>
      <c r="B398" s="175"/>
      <c r="C398" s="176" t="s">
        <v>951</v>
      </c>
      <c r="M398" s="56"/>
    </row>
    <row r="399" spans="1:13">
      <c r="A399" s="90"/>
      <c r="B399" s="175"/>
      <c r="C399" s="176" t="s">
        <v>667</v>
      </c>
      <c r="M399" s="56"/>
    </row>
    <row r="400" spans="1:13">
      <c r="A400" s="90"/>
      <c r="B400" s="175"/>
      <c r="C400" s="176" t="s">
        <v>693</v>
      </c>
      <c r="M400" s="56"/>
    </row>
    <row r="401" spans="1:13">
      <c r="A401" s="90"/>
      <c r="B401" s="175"/>
      <c r="C401" s="176" t="s">
        <v>1396</v>
      </c>
      <c r="M401" s="56"/>
    </row>
    <row r="402" spans="1:13">
      <c r="A402" s="90"/>
      <c r="B402" s="175"/>
      <c r="C402" s="176" t="s">
        <v>695</v>
      </c>
      <c r="M402" s="56"/>
    </row>
    <row r="403" spans="1:13">
      <c r="A403" s="90"/>
      <c r="B403" s="175"/>
      <c r="C403" s="176" t="s">
        <v>1398</v>
      </c>
      <c r="M403" s="56"/>
    </row>
    <row r="404" spans="1:13">
      <c r="A404" s="90"/>
      <c r="B404" s="175"/>
      <c r="C404" s="176" t="s">
        <v>697</v>
      </c>
      <c r="M404" s="56"/>
    </row>
    <row r="405" spans="1:13">
      <c r="A405" s="90"/>
      <c r="B405" s="175"/>
      <c r="C405" s="176" t="s">
        <v>1400</v>
      </c>
      <c r="M405" s="56"/>
    </row>
    <row r="406" spans="1:13">
      <c r="A406" s="90"/>
      <c r="B406" s="175"/>
      <c r="C406" s="176" t="s">
        <v>699</v>
      </c>
      <c r="M406" s="56"/>
    </row>
    <row r="407" spans="1:13">
      <c r="A407" s="90"/>
      <c r="B407" s="175"/>
      <c r="C407" s="176" t="s">
        <v>1530</v>
      </c>
      <c r="M407" s="56"/>
    </row>
    <row r="408" spans="1:13">
      <c r="A408" s="90"/>
      <c r="B408" s="175"/>
      <c r="C408" s="176" t="s">
        <v>701</v>
      </c>
      <c r="M408" s="56"/>
    </row>
    <row r="409" spans="1:13">
      <c r="A409" s="90"/>
      <c r="B409" s="175"/>
      <c r="C409" s="176" t="s">
        <v>1531</v>
      </c>
      <c r="M409" s="56"/>
    </row>
    <row r="410" spans="1:13">
      <c r="A410" s="90"/>
      <c r="B410" s="175"/>
      <c r="C410" s="176" t="s">
        <v>703</v>
      </c>
      <c r="M410" s="56"/>
    </row>
    <row r="411" spans="1:13">
      <c r="A411" s="90"/>
      <c r="B411" s="175"/>
      <c r="C411" s="176" t="s">
        <v>1532</v>
      </c>
      <c r="M411" s="56"/>
    </row>
    <row r="412" spans="1:13">
      <c r="A412" s="90"/>
      <c r="B412" s="175"/>
      <c r="C412" s="176" t="s">
        <v>705</v>
      </c>
      <c r="M412" s="56"/>
    </row>
    <row r="413" spans="1:13">
      <c r="A413" s="90"/>
      <c r="B413" s="175"/>
      <c r="C413" s="176" t="s">
        <v>1533</v>
      </c>
      <c r="M413" s="56"/>
    </row>
    <row r="414" spans="1:13" ht="15" thickBot="1">
      <c r="A414" s="90"/>
      <c r="B414" s="175"/>
      <c r="C414" s="176" t="s">
        <v>707</v>
      </c>
      <c r="M414" s="56"/>
    </row>
    <row r="415" spans="1:13">
      <c r="A415" s="90"/>
      <c r="B415" s="175"/>
      <c r="C415" s="174" t="s">
        <v>1534</v>
      </c>
      <c r="M415" s="56"/>
    </row>
    <row r="416" spans="1:13">
      <c r="A416" s="90"/>
      <c r="B416" s="175"/>
      <c r="C416" s="176" t="s">
        <v>726</v>
      </c>
      <c r="M416" s="56"/>
    </row>
    <row r="417" spans="1:13">
      <c r="A417" s="90"/>
      <c r="B417" s="175"/>
      <c r="C417" s="176" t="s">
        <v>1535</v>
      </c>
      <c r="M417" s="56"/>
    </row>
    <row r="418" spans="1:13">
      <c r="A418" s="90"/>
      <c r="B418" s="175"/>
      <c r="C418" s="176" t="s">
        <v>1536</v>
      </c>
      <c r="M418" s="56"/>
    </row>
    <row r="419" spans="1:13">
      <c r="A419" s="90"/>
      <c r="B419" s="175"/>
      <c r="C419" s="176" t="s">
        <v>1537</v>
      </c>
      <c r="M419" s="56"/>
    </row>
    <row r="420" spans="1:13">
      <c r="A420" s="90"/>
      <c r="B420" s="175"/>
      <c r="C420" s="176" t="s">
        <v>1538</v>
      </c>
      <c r="M420" s="56"/>
    </row>
    <row r="421" spans="1:13">
      <c r="A421" s="90"/>
      <c r="B421" s="175"/>
      <c r="C421" s="176" t="s">
        <v>1539</v>
      </c>
      <c r="M421" s="56"/>
    </row>
    <row r="422" spans="1:13" ht="15" thickBot="1">
      <c r="A422" s="90"/>
      <c r="B422" s="175"/>
      <c r="C422" s="177" t="s">
        <v>1540</v>
      </c>
      <c r="M422" s="56"/>
    </row>
    <row r="423" spans="1:13" ht="15" thickBot="1">
      <c r="A423" s="90"/>
      <c r="C423"/>
      <c r="G423" s="61">
        <v>5100</v>
      </c>
      <c r="M423" s="56"/>
    </row>
    <row r="424" spans="1:13">
      <c r="A424" s="90"/>
      <c r="B424" s="311" t="s">
        <v>1541</v>
      </c>
      <c r="C424" s="174" t="s">
        <v>1542</v>
      </c>
      <c r="M424" s="56"/>
    </row>
    <row r="425" spans="1:13">
      <c r="A425" s="117"/>
      <c r="B425" s="312"/>
      <c r="C425" s="176" t="s">
        <v>1543</v>
      </c>
      <c r="D425" s="91"/>
      <c r="E425" s="54"/>
      <c r="F425" s="91"/>
      <c r="G425" s="85"/>
      <c r="H425" s="86"/>
      <c r="I425" s="86"/>
      <c r="J425" s="86"/>
      <c r="K425" s="86"/>
      <c r="L425" s="86"/>
      <c r="M425" s="57"/>
    </row>
    <row r="426" spans="1:13">
      <c r="B426" s="312"/>
      <c r="C426" s="176" t="s">
        <v>1544</v>
      </c>
    </row>
    <row r="427" spans="1:13">
      <c r="B427" s="312"/>
      <c r="C427" s="176" t="s">
        <v>1545</v>
      </c>
    </row>
    <row r="428" spans="1:13" ht="15" thickBot="1">
      <c r="B428" s="313"/>
      <c r="C428" s="177" t="s">
        <v>1546</v>
      </c>
    </row>
    <row r="429" spans="1:13" ht="15" thickBot="1">
      <c r="C429"/>
    </row>
    <row r="430" spans="1:13">
      <c r="B430" s="311" t="s">
        <v>1547</v>
      </c>
      <c r="C430" s="176" t="s">
        <v>1548</v>
      </c>
    </row>
    <row r="431" spans="1:13">
      <c r="B431" s="312"/>
      <c r="C431" s="176" t="s">
        <v>1549</v>
      </c>
    </row>
    <row r="432" spans="1:13" ht="15" thickBot="1">
      <c r="B432" s="313"/>
      <c r="C432" s="177" t="s">
        <v>1550</v>
      </c>
    </row>
    <row r="433" spans="2:7" ht="15" thickBot="1">
      <c r="C433"/>
    </row>
    <row r="434" spans="2:7">
      <c r="B434" s="311" t="s">
        <v>1551</v>
      </c>
      <c r="C434" s="174" t="s">
        <v>1552</v>
      </c>
    </row>
    <row r="435" spans="2:7">
      <c r="B435" s="312"/>
      <c r="C435" s="176" t="s">
        <v>1553</v>
      </c>
    </row>
    <row r="436" spans="2:7" ht="15" thickBot="1">
      <c r="B436" s="313"/>
      <c r="C436" s="177" t="s">
        <v>1554</v>
      </c>
    </row>
    <row r="437" spans="2:7" ht="15" thickBot="1">
      <c r="C437"/>
    </row>
    <row r="438" spans="2:7">
      <c r="B438" s="311" t="s">
        <v>1555</v>
      </c>
      <c r="C438" s="174" t="s">
        <v>1556</v>
      </c>
    </row>
    <row r="439" spans="2:7" ht="15" thickBot="1">
      <c r="B439" s="313"/>
      <c r="C439" s="177" t="s">
        <v>1557</v>
      </c>
    </row>
    <row r="440" spans="2:7" ht="15" thickBot="1">
      <c r="C440"/>
      <c r="G440" s="61" t="s">
        <v>1558</v>
      </c>
    </row>
    <row r="441" spans="2:7">
      <c r="B441" s="311" t="s">
        <v>1559</v>
      </c>
      <c r="C441" s="174" t="s">
        <v>1560</v>
      </c>
    </row>
    <row r="442" spans="2:7" ht="15" thickBot="1">
      <c r="B442" s="313"/>
      <c r="C442" s="177" t="s">
        <v>1561</v>
      </c>
    </row>
    <row r="443" spans="2:7" ht="15" thickBot="1">
      <c r="C443"/>
    </row>
    <row r="444" spans="2:7">
      <c r="B444" s="178" t="s">
        <v>1562</v>
      </c>
      <c r="C444" s="174" t="s">
        <v>1563</v>
      </c>
    </row>
    <row r="445" spans="2:7">
      <c r="B445" s="179"/>
      <c r="C445" s="176" t="s">
        <v>1564</v>
      </c>
    </row>
    <row r="446" spans="2:7">
      <c r="B446" s="179"/>
      <c r="C446" s="176" t="s">
        <v>1565</v>
      </c>
    </row>
    <row r="447" spans="2:7">
      <c r="B447" s="179"/>
      <c r="C447" s="176" t="s">
        <v>1566</v>
      </c>
    </row>
    <row r="448" spans="2:7">
      <c r="B448" s="179"/>
      <c r="C448" s="180" t="s">
        <v>1567</v>
      </c>
    </row>
    <row r="449" spans="2:3">
      <c r="B449" s="179"/>
      <c r="C449" s="180" t="s">
        <v>1568</v>
      </c>
    </row>
    <row r="450" spans="2:3">
      <c r="B450" s="179"/>
      <c r="C450" s="180" t="s">
        <v>1569</v>
      </c>
    </row>
    <row r="451" spans="2:3">
      <c r="B451" s="179"/>
      <c r="C451" s="180" t="s">
        <v>1570</v>
      </c>
    </row>
    <row r="452" spans="2:3">
      <c r="B452" s="179"/>
      <c r="C452" s="176" t="s">
        <v>1571</v>
      </c>
    </row>
    <row r="453" spans="2:3" ht="15" thickBot="1">
      <c r="B453" s="181"/>
      <c r="C453" s="177" t="s">
        <v>1572</v>
      </c>
    </row>
    <row r="454" spans="2:3" ht="15" thickBot="1">
      <c r="C454"/>
    </row>
    <row r="455" spans="2:3">
      <c r="B455" s="311" t="s">
        <v>1573</v>
      </c>
      <c r="C455" s="174" t="s">
        <v>1574</v>
      </c>
    </row>
    <row r="456" spans="2:3" ht="15" thickBot="1">
      <c r="B456" s="313"/>
      <c r="C456" s="177" t="s">
        <v>1575</v>
      </c>
    </row>
    <row r="457" spans="2:3" ht="15" thickBot="1">
      <c r="C457"/>
    </row>
    <row r="458" spans="2:3">
      <c r="B458" s="311" t="s">
        <v>1576</v>
      </c>
      <c r="C458" s="174" t="s">
        <v>1577</v>
      </c>
    </row>
    <row r="459" spans="2:3" ht="15" thickBot="1">
      <c r="B459" s="313"/>
      <c r="C459" s="177" t="s">
        <v>1578</v>
      </c>
    </row>
    <row r="460" spans="2:3" ht="15" thickBot="1">
      <c r="C460"/>
    </row>
    <row r="461" spans="2:3">
      <c r="B461" s="311" t="s">
        <v>1579</v>
      </c>
      <c r="C461" s="174" t="s">
        <v>1580</v>
      </c>
    </row>
    <row r="462" spans="2:3" ht="15" thickBot="1">
      <c r="B462" s="313"/>
      <c r="C462" s="177" t="s">
        <v>1581</v>
      </c>
    </row>
    <row r="463" spans="2:3" ht="15" thickBot="1">
      <c r="C463"/>
    </row>
    <row r="464" spans="2:3">
      <c r="B464" s="311" t="s">
        <v>1582</v>
      </c>
      <c r="C464" s="174" t="s">
        <v>964</v>
      </c>
    </row>
    <row r="465" spans="2:3">
      <c r="B465" s="312"/>
      <c r="C465" s="176" t="s">
        <v>966</v>
      </c>
    </row>
    <row r="466" spans="2:3">
      <c r="B466" s="312"/>
      <c r="C466" s="176" t="s">
        <v>967</v>
      </c>
    </row>
    <row r="467" spans="2:3">
      <c r="B467" s="312"/>
      <c r="C467" s="176" t="s">
        <v>982</v>
      </c>
    </row>
    <row r="468" spans="2:3" ht="15" thickBot="1">
      <c r="B468" s="313"/>
      <c r="C468" s="177" t="s">
        <v>1583</v>
      </c>
    </row>
    <row r="469" spans="2:3" ht="15" thickBot="1">
      <c r="C469"/>
    </row>
    <row r="470" spans="2:3">
      <c r="B470" s="311" t="s">
        <v>1584</v>
      </c>
      <c r="C470" s="174" t="s">
        <v>1585</v>
      </c>
    </row>
    <row r="471" spans="2:3" ht="15" thickBot="1">
      <c r="B471" s="313"/>
      <c r="C471" s="177" t="s">
        <v>1586</v>
      </c>
    </row>
    <row r="472" spans="2:3" ht="15" thickBot="1">
      <c r="C472"/>
    </row>
    <row r="473" spans="2:3">
      <c r="B473" s="311" t="s">
        <v>1587</v>
      </c>
      <c r="C473" s="174" t="s">
        <v>1588</v>
      </c>
    </row>
    <row r="474" spans="2:3" ht="15" thickBot="1">
      <c r="B474" s="313"/>
      <c r="C474" s="177" t="s">
        <v>1589</v>
      </c>
    </row>
    <row r="475" spans="2:3" ht="15" thickBot="1">
      <c r="C475"/>
    </row>
    <row r="476" spans="2:3">
      <c r="B476" s="311" t="s">
        <v>1590</v>
      </c>
      <c r="C476" s="182" t="s">
        <v>1591</v>
      </c>
    </row>
    <row r="477" spans="2:3">
      <c r="B477" s="312"/>
      <c r="C477" s="180" t="s">
        <v>1592</v>
      </c>
    </row>
    <row r="478" spans="2:3">
      <c r="B478" s="312"/>
      <c r="C478" s="176" t="s">
        <v>1593</v>
      </c>
    </row>
    <row r="479" spans="2:3" ht="15" thickBot="1">
      <c r="B479" s="313"/>
      <c r="C479" s="177" t="s">
        <v>1594</v>
      </c>
    </row>
    <row r="480" spans="2:3" ht="15" thickBot="1">
      <c r="C480"/>
    </row>
    <row r="481" spans="2:3">
      <c r="B481" s="314" t="s">
        <v>1595</v>
      </c>
      <c r="C481" s="174" t="s">
        <v>856</v>
      </c>
    </row>
    <row r="482" spans="2:3">
      <c r="B482" s="315"/>
      <c r="C482" s="176" t="s">
        <v>857</v>
      </c>
    </row>
    <row r="483" spans="2:3" ht="15" thickBot="1">
      <c r="B483" s="315"/>
      <c r="C483" s="176" t="s">
        <v>858</v>
      </c>
    </row>
    <row r="484" spans="2:3">
      <c r="B484" s="315"/>
      <c r="C484" s="174" t="s">
        <v>876</v>
      </c>
    </row>
    <row r="485" spans="2:3" ht="15" thickBot="1">
      <c r="B485" s="315"/>
      <c r="C485" s="177" t="s">
        <v>1466</v>
      </c>
    </row>
    <row r="486" spans="2:3">
      <c r="C486"/>
    </row>
    <row r="487" spans="2:3">
      <c r="C487"/>
    </row>
    <row r="488" spans="2:3">
      <c r="C488"/>
    </row>
    <row r="489" spans="2:3" ht="15" thickBot="1">
      <c r="C489"/>
    </row>
    <row r="490" spans="2:3">
      <c r="B490" s="311" t="s">
        <v>1596</v>
      </c>
      <c r="C490" s="174" t="s">
        <v>1597</v>
      </c>
    </row>
    <row r="491" spans="2:3" ht="15" thickBot="1">
      <c r="B491" s="313"/>
      <c r="C491" s="177" t="s">
        <v>1598</v>
      </c>
    </row>
    <row r="492" spans="2:3" ht="15" thickBot="1">
      <c r="C492"/>
    </row>
    <row r="493" spans="2:3">
      <c r="B493" s="311" t="s">
        <v>1599</v>
      </c>
      <c r="C493" s="174" t="s">
        <v>1597</v>
      </c>
    </row>
    <row r="494" spans="2:3" ht="15" thickBot="1">
      <c r="B494" s="313"/>
      <c r="C494" s="177" t="s">
        <v>1598</v>
      </c>
    </row>
    <row r="495" spans="2:3" ht="15" thickBot="1">
      <c r="C495"/>
    </row>
    <row r="496" spans="2:3">
      <c r="B496" s="311" t="s">
        <v>1600</v>
      </c>
      <c r="C496" s="174" t="s">
        <v>1601</v>
      </c>
    </row>
    <row r="497" spans="2:3" ht="15" thickBot="1">
      <c r="B497" s="313"/>
      <c r="C497" s="177" t="s">
        <v>1602</v>
      </c>
    </row>
  </sheetData>
  <autoFilter ref="A1:M363" xr:uid="{D1BD0F84-301E-4C1F-9F5F-D6FE45716E44}"/>
  <mergeCells count="20">
    <mergeCell ref="B476:B479"/>
    <mergeCell ref="B481:B485"/>
    <mergeCell ref="B490:B491"/>
    <mergeCell ref="B493:B494"/>
    <mergeCell ref="B496:B497"/>
    <mergeCell ref="B458:B459"/>
    <mergeCell ref="B461:B462"/>
    <mergeCell ref="B464:B468"/>
    <mergeCell ref="B470:B471"/>
    <mergeCell ref="B473:B474"/>
    <mergeCell ref="B430:B432"/>
    <mergeCell ref="B434:B436"/>
    <mergeCell ref="B438:B439"/>
    <mergeCell ref="B441:B442"/>
    <mergeCell ref="B455:B456"/>
    <mergeCell ref="B320:B330"/>
    <mergeCell ref="A320:A330"/>
    <mergeCell ref="B374:B379"/>
    <mergeCell ref="A371:A379"/>
    <mergeCell ref="B424:B428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C2C8-8D95-40CA-9AE2-B175CF5C84BF}">
  <dimension ref="A1:I87"/>
  <sheetViews>
    <sheetView topLeftCell="A58" workbookViewId="0">
      <selection activeCell="B6" sqref="B6"/>
    </sheetView>
  </sheetViews>
  <sheetFormatPr defaultRowHeight="14.25"/>
  <cols>
    <col min="1" max="1" width="33.5703125" customWidth="1"/>
    <col min="2" max="2" width="39.42578125" customWidth="1"/>
    <col min="3" max="4" width="57.85546875" customWidth="1"/>
    <col min="5" max="5" width="24.42578125" customWidth="1"/>
  </cols>
  <sheetData>
    <row r="1" spans="1:9">
      <c r="A1" t="s">
        <v>1603</v>
      </c>
      <c r="B1" t="s">
        <v>1604</v>
      </c>
    </row>
    <row r="2" spans="1:9">
      <c r="B2" t="s">
        <v>1605</v>
      </c>
      <c r="C2" t="s">
        <v>1606</v>
      </c>
    </row>
    <row r="3" spans="1:9">
      <c r="A3" t="s">
        <v>361</v>
      </c>
      <c r="B3" t="s">
        <v>361</v>
      </c>
      <c r="C3" t="s">
        <v>361</v>
      </c>
      <c r="D3" t="str">
        <f>C3&amp;","</f>
        <v>KEY_LOGIC_TOPEX,</v>
      </c>
      <c r="I3" s="19" t="s">
        <v>362</v>
      </c>
    </row>
    <row r="4" spans="1:9">
      <c r="A4" t="s">
        <v>362</v>
      </c>
      <c r="B4" s="169" t="s">
        <v>362</v>
      </c>
      <c r="C4" s="169" t="s">
        <v>362</v>
      </c>
      <c r="D4" t="str">
        <f t="shared" ref="D4:D54" si="0">C4&amp;","</f>
        <v>KEY_LOGIC_DEFECT,</v>
      </c>
      <c r="E4" s="169" t="s">
        <v>1607</v>
      </c>
      <c r="I4" s="19" t="s">
        <v>1608</v>
      </c>
    </row>
    <row r="5" spans="1:9">
      <c r="A5" t="s">
        <v>1608</v>
      </c>
      <c r="B5" s="169" t="s">
        <v>1608</v>
      </c>
      <c r="C5" s="169" t="s">
        <v>1608</v>
      </c>
      <c r="D5" t="str">
        <f t="shared" si="0"/>
        <v>KEY_LOGIC_WORKING_S,</v>
      </c>
      <c r="I5" s="19" t="s">
        <v>1609</v>
      </c>
    </row>
    <row r="6" spans="1:9">
      <c r="A6" t="s">
        <v>1609</v>
      </c>
      <c r="B6" s="169" t="s">
        <v>1610</v>
      </c>
      <c r="C6" s="169" t="s">
        <v>1610</v>
      </c>
      <c r="D6" t="str">
        <f t="shared" si="0"/>
        <v>KEY_LOGIC_WORKING_D,</v>
      </c>
      <c r="I6" s="19" t="s">
        <v>1611</v>
      </c>
    </row>
    <row r="7" spans="1:9">
      <c r="A7" t="s">
        <v>1611</v>
      </c>
      <c r="B7" s="169" t="s">
        <v>1609</v>
      </c>
      <c r="C7" s="169" t="s">
        <v>1609</v>
      </c>
      <c r="D7" t="str">
        <f t="shared" si="0"/>
        <v>KEY_LOGIC_LINEAR_S,</v>
      </c>
      <c r="I7" s="19" t="s">
        <v>1612</v>
      </c>
    </row>
    <row r="8" spans="1:9">
      <c r="A8" t="s">
        <v>1612</v>
      </c>
      <c r="B8" s="169" t="s">
        <v>1613</v>
      </c>
      <c r="C8" s="169" t="s">
        <v>1613</v>
      </c>
      <c r="D8" t="str">
        <f t="shared" si="0"/>
        <v>KEY_LOGIC_LINEAR_D,</v>
      </c>
      <c r="I8" s="19" t="s">
        <v>1614</v>
      </c>
    </row>
    <row r="9" spans="1:9">
      <c r="A9" t="s">
        <v>1614</v>
      </c>
      <c r="B9" s="169" t="s">
        <v>1611</v>
      </c>
      <c r="C9" s="169" t="s">
        <v>1611</v>
      </c>
      <c r="D9" t="str">
        <f t="shared" si="0"/>
        <v>KEY_LOGIC_0.65V_S,</v>
      </c>
      <c r="I9" s="19" t="s">
        <v>1615</v>
      </c>
    </row>
    <row r="10" spans="1:9">
      <c r="A10" t="s">
        <v>1615</v>
      </c>
      <c r="B10" s="169" t="s">
        <v>1616</v>
      </c>
      <c r="C10" s="169" t="s">
        <v>1616</v>
      </c>
      <c r="D10" t="str">
        <f t="shared" si="0"/>
        <v>KEY_LOGIC_0.65V_D,</v>
      </c>
      <c r="I10" s="19" t="s">
        <v>1617</v>
      </c>
    </row>
    <row r="11" spans="1:9">
      <c r="A11" t="s">
        <v>1618</v>
      </c>
      <c r="B11" s="169" t="s">
        <v>1612</v>
      </c>
      <c r="C11" s="169" t="s">
        <v>1612</v>
      </c>
      <c r="D11" t="str">
        <f t="shared" si="0"/>
        <v>KEY_LOGIC_ID+VT_0.65V_S,</v>
      </c>
      <c r="I11" s="19" t="s">
        <v>1619</v>
      </c>
    </row>
    <row r="12" spans="1:9">
      <c r="A12" t="s">
        <v>1620</v>
      </c>
      <c r="B12" s="169" t="s">
        <v>1621</v>
      </c>
      <c r="C12" s="169" t="s">
        <v>1621</v>
      </c>
      <c r="D12" t="str">
        <f t="shared" si="0"/>
        <v>KEY_LOGIC_ID+VT_0.65V_D,</v>
      </c>
      <c r="I12" s="19" t="s">
        <v>1622</v>
      </c>
    </row>
    <row r="13" spans="1:9">
      <c r="A13" t="s">
        <v>1623</v>
      </c>
      <c r="B13" s="169" t="s">
        <v>1614</v>
      </c>
      <c r="C13" s="169" t="s">
        <v>1614</v>
      </c>
      <c r="D13" t="str">
        <f t="shared" si="0"/>
        <v>KEY_LOGIC_X_0.65V_S,</v>
      </c>
    </row>
    <row r="14" spans="1:9">
      <c r="A14" t="s">
        <v>1624</v>
      </c>
      <c r="B14" s="169" t="s">
        <v>1625</v>
      </c>
      <c r="C14" s="169" t="s">
        <v>1625</v>
      </c>
      <c r="D14" t="str">
        <f t="shared" si="0"/>
        <v>KEY_LOGIC_X_0.65V_D,</v>
      </c>
      <c r="E14" t="str">
        <f>CONCATENATE("KEY_LOGIC_TOPEX,","KEY_LOGIC_DEFECT,","KEY_LOGIC_WORKING_S,","KEY_LOGIC_WORKING_D,","KEY_LOGIC_LINEAR_S,","KEY_LOGIC_LINEAR_D,","KEY_LOGIC_0.65V_S,","KEY_LOGIC_0.65V_D,","KEY_LOGIC_ID+VT_0.65V_S,","KEY_LOGIC_ID+VT_0.65V_D,","KEY_LOGIC_X_0.65V_S,","KEY_LOGIC_X_0.65V_D,","KEY_LOGIC_GM_RO_S,","KEY_LOGIC_GM_RO_D,","KEY_LOGIC_BASIC_S,","KEY_LOGIC_BASIC_D,","KEY_LOGIC_SLIM_S,","KEY_LOGIC_SLIM_D,","KEY_LOGIC_VGNA_S,","KEY_LOGIC_VGNA_D,","KEY_LOGIC_VGNA_LLE_S,","KEY_LOGIC_VGNA_LLE_D,","KEY_LOGIC_VGNA_LVT_S,","KEY_LOGIC_VGNA_LVT_D,","KEY_LOGIC_VGNA_S_X78A,","KEY_LOGIC_VGNA_D_X78A,","KEY_LOGIC_VGNA_LLE_SLIM_S,","KEY_LOGIC_VGNA_LLE_SLIM_D,","KEY_LOGIC_AUTOBIAS_0.65V_LLE_S,","KEY_LOGIC_AUTOBIAS_0.65V_LLE_D,","KEY_LOGIC_AUTOBIAS_0.65V_LVT_S,","KEY_LOGIC_AUTOBIAS_0.65V_LVT_D,","KEY_LOGIC_AUTOBIAS_0.65V_S,","KEY_LOGIC_AUTOBIAS_0.65V_D,","KEY_LOGIC_AUTOBIAS_0.65V_S_X78A,","KEY_LOGIC_AUTOBIAS_0.65V_D_X78A,","KEY_LOGIC_AUTOBIAS_0.65V_LLE_SLIM_S,","KEY_LOGIC_AUTOBIAS_0.65V_LLE_SLIM_D,","KEY_LOGIC_LINEAR_FD_S,","KEY_LOGIC_0.65V_FD_S,","KEY_LOGIC_ID+VT_0.65V_FD_S,","KEY_LOGIC_VGNA_FD_S,","KEY_LOGIC_VGNA_LLE_FD_S,","KEY_LOGIC_VGNA_LVT_FD_S,","KEY_LOGIC_VGNA_LLE_SLIM_FD_S,","KEY_LOGIC_AUTOBIAS_0.65V_FD_S,","KEY_LOGIC_AUTOBIAS_0.65V_LLE_FD_S,","KEY_LOGIC_AUTOBIAS_0.65V_LVT_FD_S,","KEY_LOGIC_AUTOBIAS_0.65V_LLE_SLIM_FD_S,","KEY_LOGIC_0.95V_TRIM_S,","KEY_LOGIC_0.95V_TRIM_D,","KEY_LOGIC_0.95V_TRIM_FD_S,","KEY_LOGIC_AUTOBIAS_0.95V_LLE_S,","KEY_LOGIC_AUTOBIAS_0.95V_LLE_D,","KEY_LOGIC_AUTOBIAS_0.95V_LVT_S,","KEY_LOGIC_AUTOBIAS_0.95V_LVT_D,","KEY_LOGIC_AUTOBIAS_0.95V_S,","KEY_LOGIC_AUTOBIAS_0.95V_D,","KEY_LOGIC_AUTOBIAS_0.95V_S_X78A,","KEY_LOGIC_AUTOBIAS_0.95V_D_X78A,","KEY_LOGIC_AUTOBIAS_0.95V_LLE_SLIM_S,","KEY_LOGIC_AUTOBIAS_0.95V_LLE_SLIM_D,","KEY_LOGIC_AUTOBIAS_0.95V_FD_S,","KEY_LOGIC_AUTOBIAS_0.95V_LLE_FD_S,","KEY_LOGIC_AUTOBIAS_0.95V_LVT_FD_S,","KEY_LOGIC_AUTOBIAS_0.95V_LLE_SLIM_FD_S,","KEY_LOGIC_1.1V_S,","KEY_LOGIC_1.1V_D,","KEY_LOGIC_ID+VT_1.1V_S,","KEY_LOGIC_ID+VT_1.1V_D,","KEY_LOGIC_1.1V_TRIM_S,","KEY_LOGIC_1.1V_TRIM_D,","KEY_LOGIC_AUTOBIAS_1.1V_LLE_S,","KEY_LOGIC_AUTOBIAS_1.1V_LLE_D,","KEY_LOGIC_AUTOBIAS_1.1V_LVT_S,","KEY_LOGIC_AUTOBIAS_1.1V_LVT_D,","KEY_LOGIC_AUTOBIAS_1.1V_S,","KEY_LOGIC_AUTOBIAS_1.1V_D,","KEY_LOGIC_AUTOBIAS_1.1V_S_X78A,","KEY_LOGIC_AUTOBIAS_1.1V_D_X78A,","KEY_LOGIC_AUTOBIAS_1.1V_FD_S,","KEY_LOGIC_AUTOBIAS_1.1V_LLE_FD_S,","KEY_LOGIC_AUTOBIAS_1.1V_LVT_FD_S,","KEY_LOGIC_SUITE_S,","KEY_LOGIC_SUITE_D")</f>
        <v>KEY_LOGIC_TOPEX,KEY_LOGIC_DEFECT,KEY_LOGIC_WORKING_S,KEY_LOGIC_WORKING_D,KEY_LOGIC_LINEAR_S,KEY_LOGIC_LINEAR_D,KEY_LOGIC_0.65V_S,KEY_LOGIC_0.65V_D,KEY_LOGIC_ID+VT_0.65V_S,KEY_LOGIC_ID+VT_0.65V_D,KEY_LOGIC_X_0.65V_S,KEY_LOGIC_X_0.65V_D,KEY_LOGIC_GM_RO_S,KEY_LOGIC_GM_RO_D,KEY_LOGIC_BASIC_S,KEY_LOGIC_BASIC_D,KEY_LOGIC_SLIM_S,KEY_LOGIC_SLIM_D,KEY_LOGIC_VGNA_S,KEY_LOGIC_VGNA_D,KEY_LOGIC_VGNA_LLE_S,KEY_LOGIC_VGNA_LLE_D,KEY_LOGIC_VGNA_LVT_S,KEY_LOGIC_VGNA_LVT_D,KEY_LOGIC_VGNA_S_X78A,KEY_LOGIC_VGNA_D_X78A,KEY_LOGIC_VGNA_LLE_SLIM_S,KEY_LOGIC_VGNA_LLE_SLIM_D,KEY_LOGIC_AUTOBIAS_0.65V_LLE_S,KEY_LOGIC_AUTOBIAS_0.65V_LLE_D,KEY_LOGIC_AUTOBIAS_0.65V_LVT_S,KEY_LOGIC_AUTOBIAS_0.65V_LVT_D,KEY_LOGIC_AUTOBIAS_0.65V_S,KEY_LOGIC_AUTOBIAS_0.65V_D,KEY_LOGIC_AUTOBIAS_0.65V_S_X78A,KEY_LOGIC_AUTOBIAS_0.65V_D_X78A,KEY_LOGIC_AUTOBIAS_0.65V_LLE_SLIM_S,KEY_LOGIC_AUTOBIAS_0.65V_LLE_SLIM_D,KEY_LOGIC_LINEAR_FD_S,KEY_LOGIC_0.65V_FD_S,KEY_LOGIC_ID+VT_0.65V_FD_S,KEY_LOGIC_VGNA_FD_S,KEY_LOGIC_VGNA_LLE_FD_S,KEY_LOGIC_VGNA_LVT_FD_S,KEY_LOGIC_VGNA_LLE_SLIM_FD_S,KEY_LOGIC_AUTOBIAS_0.65V_FD_S,KEY_LOGIC_AUTOBIAS_0.65V_LLE_FD_S,KEY_LOGIC_AUTOBIAS_0.65V_LVT_FD_S,KEY_LOGIC_AUTOBIAS_0.65V_LLE_SLIM_FD_S,KEY_LOGIC_0.95V_TRIM_S,KEY_LOGIC_0.95V_TRIM_D,KEY_LOGIC_0.95V_TRIM_FD_S,KEY_LOGIC_AUTOBIAS_0.95V_LLE_S,KEY_LOGIC_AUTOBIAS_0.95V_LLE_D,KEY_LOGIC_AUTOBIAS_0.95V_LVT_S,KEY_LOGIC_AUTOBIAS_0.95V_LVT_D,KEY_LOGIC_AUTOBIAS_0.95V_S,KEY_LOGIC_AUTOBIAS_0.95V_D,KEY_LOGIC_AUTOBIAS_0.95V_S_X78A,KEY_LOGIC_AUTOBIAS_0.95V_D_X78A,KEY_LOGIC_AUTOBIAS_0.95V_LLE_SLIM_S,KEY_LOGIC_AUTOBIAS_0.95V_LLE_SLIM_D,KEY_LOGIC_AUTOBIAS_0.95V_FD_S,KEY_LOGIC_AUTOBIAS_0.95V_LLE_FD_S,KEY_LOGIC_AUTOBIAS_0.95V_LVT_FD_S,KEY_LOGIC_AUTOBIAS_0.95V_LLE_SLIM_FD_S,KEY_LOGIC_1.1V_S,KEY_LOGIC_1.1V_D,KEY_LOGIC_ID+VT_1.1V_S,KEY_LOGIC_ID+VT_1.1V_D,KEY_LOGIC_1.1V_TRIM_S,KEY_LOGIC_1.1V_TRIM_D,KEY_LOGIC_AUTOBIAS_1.1V_LLE_S,KEY_LOGIC_AUTOBIAS_1.1V_LLE_D,KEY_LOGIC_AUTOBIAS_1.1V_LVT_S,KEY_LOGIC_AUTOBIAS_1.1V_LVT_D,KEY_LOGIC_AUTOBIAS_1.1V_S,KEY_LOGIC_AUTOBIAS_1.1V_D,KEY_LOGIC_AUTOBIAS_1.1V_S_X78A,KEY_LOGIC_AUTOBIAS_1.1V_D_X78A,KEY_LOGIC_AUTOBIAS_1.1V_FD_S,KEY_LOGIC_AUTOBIAS_1.1V_LLE_FD_S,KEY_LOGIC_AUTOBIAS_1.1V_LVT_FD_S,KEY_LOGIC_SUITE_S,KEY_LOGIC_SUITE_D</v>
      </c>
    </row>
    <row r="15" spans="1:9">
      <c r="A15" t="s">
        <v>1626</v>
      </c>
      <c r="B15" s="169" t="s">
        <v>1615</v>
      </c>
      <c r="C15" s="169" t="s">
        <v>1615</v>
      </c>
      <c r="D15" t="str">
        <f t="shared" si="0"/>
        <v>KEY_LOGIC_GM_RO_S,</v>
      </c>
      <c r="E15" t="s">
        <v>1627</v>
      </c>
    </row>
    <row r="16" spans="1:9">
      <c r="A16" t="s">
        <v>1628</v>
      </c>
      <c r="B16" s="169" t="s">
        <v>1629</v>
      </c>
      <c r="C16" s="169" t="s">
        <v>1629</v>
      </c>
      <c r="D16" t="str">
        <f t="shared" si="0"/>
        <v>KEY_LOGIC_GM_RO_D,</v>
      </c>
    </row>
    <row r="17" spans="1:4">
      <c r="A17" t="s">
        <v>1630</v>
      </c>
      <c r="B17" t="s">
        <v>1631</v>
      </c>
      <c r="C17" t="s">
        <v>1631</v>
      </c>
      <c r="D17" t="str">
        <f t="shared" si="0"/>
        <v>KEY_LOGIC_BASIC_S,</v>
      </c>
    </row>
    <row r="18" spans="1:4">
      <c r="A18" t="s">
        <v>1632</v>
      </c>
      <c r="B18" t="s">
        <v>1633</v>
      </c>
      <c r="C18" t="s">
        <v>1633</v>
      </c>
      <c r="D18" t="str">
        <f t="shared" si="0"/>
        <v>KEY_LOGIC_BASIC_D,</v>
      </c>
    </row>
    <row r="19" spans="1:4">
      <c r="A19" t="s">
        <v>1634</v>
      </c>
      <c r="B19" t="s">
        <v>1635</v>
      </c>
      <c r="C19" t="s">
        <v>1635</v>
      </c>
      <c r="D19" t="str">
        <f t="shared" si="0"/>
        <v>KEY_LOGIC_SLIM_S,</v>
      </c>
    </row>
    <row r="20" spans="1:4">
      <c r="A20" t="s">
        <v>1617</v>
      </c>
      <c r="B20" s="168" t="s">
        <v>1636</v>
      </c>
      <c r="C20" s="168" t="s">
        <v>1636</v>
      </c>
      <c r="D20" t="str">
        <f t="shared" si="0"/>
        <v>KEY_LOGIC_SLIM_D,</v>
      </c>
    </row>
    <row r="21" spans="1:4">
      <c r="A21" t="s">
        <v>1637</v>
      </c>
      <c r="B21" t="s">
        <v>1618</v>
      </c>
      <c r="C21" t="s">
        <v>1618</v>
      </c>
      <c r="D21" t="str">
        <f t="shared" si="0"/>
        <v>KEY_LOGIC_VGNA_S,</v>
      </c>
    </row>
    <row r="22" spans="1:4">
      <c r="A22" t="s">
        <v>1638</v>
      </c>
      <c r="B22" t="s">
        <v>1639</v>
      </c>
      <c r="C22" t="s">
        <v>1639</v>
      </c>
      <c r="D22" t="str">
        <f t="shared" si="0"/>
        <v>KEY_LOGIC_VGNA_D,</v>
      </c>
    </row>
    <row r="23" spans="1:4">
      <c r="A23" t="s">
        <v>1640</v>
      </c>
      <c r="B23" t="s">
        <v>1620</v>
      </c>
      <c r="C23" t="s">
        <v>1641</v>
      </c>
      <c r="D23" t="str">
        <f t="shared" si="0"/>
        <v>KEY_LOGIC_VGNA_LLE_S,</v>
      </c>
    </row>
    <row r="24" spans="1:4">
      <c r="A24" t="s">
        <v>1619</v>
      </c>
      <c r="B24" t="s">
        <v>1642</v>
      </c>
      <c r="C24" t="s">
        <v>1643</v>
      </c>
      <c r="D24" t="str">
        <f t="shared" si="0"/>
        <v>KEY_LOGIC_VGNA_LLE_D,</v>
      </c>
    </row>
    <row r="25" spans="1:4">
      <c r="A25" t="s">
        <v>1622</v>
      </c>
      <c r="B25" t="s">
        <v>1644</v>
      </c>
      <c r="C25" t="s">
        <v>1645</v>
      </c>
      <c r="D25" t="str">
        <f t="shared" si="0"/>
        <v>KEY_LOGIC_VGNA_LVT_S,</v>
      </c>
    </row>
    <row r="26" spans="1:4">
      <c r="A26" t="s">
        <v>1646</v>
      </c>
      <c r="B26" t="s">
        <v>1647</v>
      </c>
      <c r="C26" t="s">
        <v>1648</v>
      </c>
      <c r="D26" t="str">
        <f t="shared" si="0"/>
        <v>KEY_LOGIC_VGNA_LVT_D,</v>
      </c>
    </row>
    <row r="27" spans="1:4">
      <c r="A27" t="s">
        <v>1649</v>
      </c>
      <c r="B27" t="s">
        <v>1623</v>
      </c>
      <c r="C27" t="s">
        <v>1620</v>
      </c>
      <c r="D27" t="str">
        <f t="shared" si="0"/>
        <v>KEY_LOGIC_VGNA_S_X78A,</v>
      </c>
    </row>
    <row r="28" spans="1:4">
      <c r="A28" t="s">
        <v>1650</v>
      </c>
      <c r="B28" t="s">
        <v>1651</v>
      </c>
      <c r="C28" t="s">
        <v>1642</v>
      </c>
      <c r="D28" t="str">
        <f t="shared" si="0"/>
        <v>KEY_LOGIC_VGNA_D_X78A,</v>
      </c>
    </row>
    <row r="29" spans="1:4">
      <c r="A29" t="s">
        <v>1652</v>
      </c>
      <c r="B29" t="s">
        <v>1624</v>
      </c>
      <c r="C29" t="s">
        <v>1644</v>
      </c>
      <c r="D29" t="str">
        <f t="shared" si="0"/>
        <v>KEY_LOGIC_VGNA_LLE_SLIM_S,</v>
      </c>
    </row>
    <row r="30" spans="1:4">
      <c r="A30" t="s">
        <v>1610</v>
      </c>
      <c r="B30" t="s">
        <v>1653</v>
      </c>
      <c r="C30" t="s">
        <v>1647</v>
      </c>
      <c r="D30" t="str">
        <f t="shared" si="0"/>
        <v>KEY_LOGIC_VGNA_LLE_SLIM_D,</v>
      </c>
    </row>
    <row r="31" spans="1:4">
      <c r="A31" t="s">
        <v>1613</v>
      </c>
      <c r="B31" t="s">
        <v>1654</v>
      </c>
      <c r="C31" t="s">
        <v>1655</v>
      </c>
      <c r="D31" t="str">
        <f t="shared" si="0"/>
        <v>KEY_LOGIC_AUTOBIAS_0.65V_LLE_S,</v>
      </c>
    </row>
    <row r="32" spans="1:4">
      <c r="A32" t="s">
        <v>1616</v>
      </c>
      <c r="B32" s="168" t="s">
        <v>1656</v>
      </c>
      <c r="C32" t="s">
        <v>1657</v>
      </c>
      <c r="D32" t="str">
        <f t="shared" si="0"/>
        <v>KEY_LOGIC_AUTOBIAS_0.65V_LLE_D,</v>
      </c>
    </row>
    <row r="33" spans="1:4">
      <c r="A33" t="s">
        <v>1621</v>
      </c>
      <c r="B33" t="s">
        <v>1626</v>
      </c>
      <c r="C33" t="s">
        <v>1658</v>
      </c>
      <c r="D33" t="str">
        <f t="shared" si="0"/>
        <v>KEY_LOGIC_AUTOBIAS_0.65V_LVT_S,</v>
      </c>
    </row>
    <row r="34" spans="1:4">
      <c r="A34" t="s">
        <v>1625</v>
      </c>
      <c r="B34" t="s">
        <v>1659</v>
      </c>
      <c r="C34" t="s">
        <v>1660</v>
      </c>
      <c r="D34" t="str">
        <f t="shared" si="0"/>
        <v>KEY_LOGIC_AUTOBIAS_0.65V_LVT_D,</v>
      </c>
    </row>
    <row r="35" spans="1:4">
      <c r="A35" t="s">
        <v>1629</v>
      </c>
      <c r="B35" t="s">
        <v>1628</v>
      </c>
      <c r="C35" t="s">
        <v>1623</v>
      </c>
      <c r="D35" t="str">
        <f t="shared" si="0"/>
        <v>KEY_LOGIC_AUTOBIAS_0.65V_S,</v>
      </c>
    </row>
    <row r="36" spans="1:4">
      <c r="A36" t="s">
        <v>1639</v>
      </c>
      <c r="B36" t="s">
        <v>1661</v>
      </c>
      <c r="C36" t="s">
        <v>1651</v>
      </c>
      <c r="D36" t="str">
        <f t="shared" si="0"/>
        <v>KEY_LOGIC_AUTOBIAS_0.65V_D,</v>
      </c>
    </row>
    <row r="37" spans="1:4">
      <c r="A37" t="s">
        <v>1642</v>
      </c>
      <c r="B37" t="s">
        <v>1630</v>
      </c>
      <c r="C37" t="s">
        <v>1624</v>
      </c>
      <c r="D37" t="str">
        <f t="shared" si="0"/>
        <v>KEY_LOGIC_AUTOBIAS_0.65V_S_X78A,</v>
      </c>
    </row>
    <row r="38" spans="1:4">
      <c r="A38" t="s">
        <v>1651</v>
      </c>
      <c r="B38" t="s">
        <v>1662</v>
      </c>
      <c r="C38" t="s">
        <v>1653</v>
      </c>
      <c r="D38" t="str">
        <f t="shared" si="0"/>
        <v>KEY_LOGIC_AUTOBIAS_0.65V_D_X78A,</v>
      </c>
    </row>
    <row r="39" spans="1:4">
      <c r="A39" t="s">
        <v>1653</v>
      </c>
      <c r="B39" t="s">
        <v>1632</v>
      </c>
      <c r="C39" t="s">
        <v>1654</v>
      </c>
      <c r="D39" t="str">
        <f t="shared" si="0"/>
        <v>KEY_LOGIC_AUTOBIAS_0.65V_LLE_SLIM_S,</v>
      </c>
    </row>
    <row r="40" spans="1:4">
      <c r="A40" t="s">
        <v>1659</v>
      </c>
      <c r="B40" t="s">
        <v>1663</v>
      </c>
      <c r="C40" s="168" t="s">
        <v>1656</v>
      </c>
      <c r="D40" t="str">
        <f t="shared" si="0"/>
        <v>KEY_LOGIC_AUTOBIAS_0.65V_LLE_SLIM_D,</v>
      </c>
    </row>
    <row r="41" spans="1:4">
      <c r="A41" t="s">
        <v>1661</v>
      </c>
      <c r="B41" t="s">
        <v>1664</v>
      </c>
      <c r="C41" t="s">
        <v>1626</v>
      </c>
      <c r="D41" t="str">
        <f t="shared" si="0"/>
        <v>KEY_LOGIC_LINEAR_FD_S,</v>
      </c>
    </row>
    <row r="42" spans="1:4">
      <c r="A42" t="s">
        <v>1662</v>
      </c>
      <c r="B42" t="s">
        <v>1634</v>
      </c>
      <c r="C42" t="s">
        <v>1628</v>
      </c>
      <c r="D42" t="str">
        <f t="shared" si="0"/>
        <v>KEY_LOGIC_0.65V_FD_S,</v>
      </c>
    </row>
    <row r="43" spans="1:4">
      <c r="A43" t="s">
        <v>1663</v>
      </c>
      <c r="B43" t="s">
        <v>1665</v>
      </c>
      <c r="C43" t="s">
        <v>1630</v>
      </c>
      <c r="D43" t="str">
        <f t="shared" si="0"/>
        <v>KEY_LOGIC_ID+VT_0.65V_FD_S,</v>
      </c>
    </row>
    <row r="44" spans="1:4">
      <c r="A44" t="s">
        <v>1665</v>
      </c>
      <c r="B44" t="s">
        <v>1666</v>
      </c>
      <c r="C44" t="s">
        <v>1632</v>
      </c>
      <c r="D44" t="str">
        <f t="shared" si="0"/>
        <v>KEY_LOGIC_VGNA_FD_S,</v>
      </c>
    </row>
    <row r="45" spans="1:4">
      <c r="A45" t="s">
        <v>1667</v>
      </c>
      <c r="B45" s="169" t="s">
        <v>1617</v>
      </c>
      <c r="C45" t="s">
        <v>1668</v>
      </c>
      <c r="D45" t="str">
        <f t="shared" si="0"/>
        <v>KEY_LOGIC_VGNA_LLE_FD_S,</v>
      </c>
    </row>
    <row r="46" spans="1:4">
      <c r="A46" t="s">
        <v>1669</v>
      </c>
      <c r="B46" s="169" t="s">
        <v>1667</v>
      </c>
      <c r="C46" t="s">
        <v>1670</v>
      </c>
      <c r="D46" t="str">
        <f t="shared" si="0"/>
        <v>KEY_LOGIC_VGNA_LVT_FD_S,</v>
      </c>
    </row>
    <row r="47" spans="1:4">
      <c r="A47" t="s">
        <v>1671</v>
      </c>
      <c r="B47" t="s">
        <v>1637</v>
      </c>
      <c r="C47" t="s">
        <v>1664</v>
      </c>
      <c r="D47" t="str">
        <f t="shared" si="0"/>
        <v>KEY_LOGIC_VGNA_LLE_SLIM_FD_S,</v>
      </c>
    </row>
    <row r="48" spans="1:4">
      <c r="A48" t="s">
        <v>1672</v>
      </c>
      <c r="B48" t="s">
        <v>1669</v>
      </c>
      <c r="C48" t="s">
        <v>1634</v>
      </c>
      <c r="D48" t="str">
        <f t="shared" si="0"/>
        <v>KEY_LOGIC_AUTOBIAS_0.65V_FD_S,</v>
      </c>
    </row>
    <row r="49" spans="1:4">
      <c r="A49" t="s">
        <v>1673</v>
      </c>
      <c r="B49" t="s">
        <v>1638</v>
      </c>
      <c r="C49" t="s">
        <v>1674</v>
      </c>
      <c r="D49" t="str">
        <f t="shared" si="0"/>
        <v>KEY_LOGIC_AUTOBIAS_0.65V_LLE_FD_S,</v>
      </c>
    </row>
    <row r="50" spans="1:4">
      <c r="A50" t="s">
        <v>1675</v>
      </c>
      <c r="B50" t="s">
        <v>1671</v>
      </c>
      <c r="C50" t="s">
        <v>1676</v>
      </c>
      <c r="D50" t="str">
        <f t="shared" si="0"/>
        <v>KEY_LOGIC_AUTOBIAS_0.65V_LVT_FD_S,</v>
      </c>
    </row>
    <row r="51" spans="1:4">
      <c r="A51" t="s">
        <v>1677</v>
      </c>
      <c r="B51" t="s">
        <v>1678</v>
      </c>
      <c r="C51" t="s">
        <v>1666</v>
      </c>
      <c r="D51" t="str">
        <f t="shared" si="0"/>
        <v>KEY_LOGIC_AUTOBIAS_0.65V_LLE_SLIM_FD_S,</v>
      </c>
    </row>
    <row r="52" spans="1:4">
      <c r="A52" t="s">
        <v>1679</v>
      </c>
      <c r="B52" t="s">
        <v>1680</v>
      </c>
      <c r="C52" s="169" t="s">
        <v>1617</v>
      </c>
      <c r="D52" t="str">
        <f t="shared" si="0"/>
        <v>KEY_LOGIC_0.95V_TRIM_S,</v>
      </c>
    </row>
    <row r="53" spans="1:4">
      <c r="A53" t="s">
        <v>1681</v>
      </c>
      <c r="B53" t="s">
        <v>1640</v>
      </c>
      <c r="C53" s="169" t="s">
        <v>1667</v>
      </c>
      <c r="D53" t="str">
        <f t="shared" si="0"/>
        <v>KEY_LOGIC_0.95V_TRIM_D,</v>
      </c>
    </row>
    <row r="54" spans="1:4">
      <c r="A54" t="s">
        <v>1682</v>
      </c>
      <c r="B54" t="s">
        <v>1672</v>
      </c>
      <c r="C54" t="s">
        <v>1683</v>
      </c>
      <c r="D54" t="str">
        <f t="shared" si="0"/>
        <v>KEY_LOGIC_0.95V_TRIM_FD_S,</v>
      </c>
    </row>
    <row r="55" spans="1:4">
      <c r="A55" t="s">
        <v>1684</v>
      </c>
      <c r="B55" t="s">
        <v>1685</v>
      </c>
      <c r="C55" t="s">
        <v>1686</v>
      </c>
      <c r="D55" t="str">
        <f t="shared" ref="D55:D86" si="1">C55&amp;","</f>
        <v>KEY_LOGIC_AUTOBIAS_0.95V_LLE_S,</v>
      </c>
    </row>
    <row r="56" spans="1:4">
      <c r="A56" t="s">
        <v>1687</v>
      </c>
      <c r="B56" s="169" t="s">
        <v>1619</v>
      </c>
      <c r="C56" t="s">
        <v>1688</v>
      </c>
      <c r="D56" t="str">
        <f t="shared" si="1"/>
        <v>KEY_LOGIC_AUTOBIAS_0.95V_LLE_D,</v>
      </c>
    </row>
    <row r="57" spans="1:4">
      <c r="A57" t="s">
        <v>1631</v>
      </c>
      <c r="B57" s="169" t="s">
        <v>1673</v>
      </c>
      <c r="C57" t="s">
        <v>1689</v>
      </c>
      <c r="D57" t="str">
        <f t="shared" si="1"/>
        <v>KEY_LOGIC_AUTOBIAS_0.95V_LVT_S,</v>
      </c>
    </row>
    <row r="58" spans="1:4">
      <c r="A58" t="s">
        <v>1635</v>
      </c>
      <c r="B58" s="169" t="s">
        <v>1622</v>
      </c>
      <c r="C58" t="s">
        <v>1690</v>
      </c>
      <c r="D58" t="str">
        <f t="shared" si="1"/>
        <v>KEY_LOGIC_AUTOBIAS_0.95V_LVT_D,</v>
      </c>
    </row>
    <row r="59" spans="1:4">
      <c r="A59" t="s">
        <v>1644</v>
      </c>
      <c r="B59" s="169" t="s">
        <v>1675</v>
      </c>
      <c r="C59" t="s">
        <v>1637</v>
      </c>
      <c r="D59" t="str">
        <f t="shared" si="1"/>
        <v>KEY_LOGIC_AUTOBIAS_0.95V_S,</v>
      </c>
    </row>
    <row r="60" spans="1:4">
      <c r="A60" t="s">
        <v>1654</v>
      </c>
      <c r="B60" t="s">
        <v>1646</v>
      </c>
      <c r="C60" t="s">
        <v>1669</v>
      </c>
      <c r="D60" t="str">
        <f t="shared" si="1"/>
        <v>KEY_LOGIC_AUTOBIAS_0.95V_D,</v>
      </c>
    </row>
    <row r="61" spans="1:4">
      <c r="A61" t="s">
        <v>1678</v>
      </c>
      <c r="B61" t="s">
        <v>1677</v>
      </c>
      <c r="C61" t="s">
        <v>1638</v>
      </c>
      <c r="D61" t="str">
        <f t="shared" si="1"/>
        <v>KEY_LOGIC_AUTOBIAS_0.95V_S_X78A,</v>
      </c>
    </row>
    <row r="62" spans="1:4">
      <c r="A62" t="s">
        <v>1633</v>
      </c>
      <c r="B62" t="s">
        <v>1649</v>
      </c>
      <c r="C62" t="s">
        <v>1671</v>
      </c>
      <c r="D62" t="str">
        <f t="shared" si="1"/>
        <v>KEY_LOGIC_AUTOBIAS_0.95V_D_X78A,</v>
      </c>
    </row>
    <row r="63" spans="1:4">
      <c r="A63" t="s">
        <v>1636</v>
      </c>
      <c r="B63" t="s">
        <v>1679</v>
      </c>
      <c r="C63" t="s">
        <v>1678</v>
      </c>
      <c r="D63" t="str">
        <f t="shared" si="1"/>
        <v>KEY_LOGIC_AUTOBIAS_0.95V_LLE_SLIM_S,</v>
      </c>
    </row>
    <row r="64" spans="1:4">
      <c r="A64" t="s">
        <v>1647</v>
      </c>
      <c r="B64" t="s">
        <v>1650</v>
      </c>
      <c r="C64" t="s">
        <v>1680</v>
      </c>
      <c r="D64" t="str">
        <f t="shared" si="1"/>
        <v>KEY_LOGIC_AUTOBIAS_0.95V_LLE_SLIM_D,</v>
      </c>
    </row>
    <row r="65" spans="1:4">
      <c r="A65" t="s">
        <v>1656</v>
      </c>
      <c r="B65" t="s">
        <v>1681</v>
      </c>
      <c r="C65" t="s">
        <v>1640</v>
      </c>
      <c r="D65" t="str">
        <f t="shared" si="1"/>
        <v>KEY_LOGIC_AUTOBIAS_0.95V_FD_S,</v>
      </c>
    </row>
    <row r="66" spans="1:4">
      <c r="A66" t="s">
        <v>1680</v>
      </c>
      <c r="B66" t="s">
        <v>1652</v>
      </c>
      <c r="C66" t="s">
        <v>1691</v>
      </c>
      <c r="D66" t="str">
        <f t="shared" si="1"/>
        <v>KEY_LOGIC_AUTOBIAS_0.95V_LLE_FD_S,</v>
      </c>
    </row>
    <row r="67" spans="1:4">
      <c r="A67" t="s">
        <v>1664</v>
      </c>
      <c r="B67" t="s">
        <v>1682</v>
      </c>
      <c r="C67" t="s">
        <v>1692</v>
      </c>
      <c r="D67" t="str">
        <f t="shared" si="1"/>
        <v>KEY_LOGIC_AUTOBIAS_0.95V_LVT_FD_S,</v>
      </c>
    </row>
    <row r="68" spans="1:4">
      <c r="A68" t="s">
        <v>1666</v>
      </c>
      <c r="B68" t="s">
        <v>1684</v>
      </c>
      <c r="C68" t="s">
        <v>1685</v>
      </c>
      <c r="D68" t="str">
        <f t="shared" si="1"/>
        <v>KEY_LOGIC_AUTOBIAS_0.95V_LLE_SLIM_FD_S,</v>
      </c>
    </row>
    <row r="69" spans="1:4">
      <c r="A69" t="s">
        <v>1685</v>
      </c>
      <c r="B69" t="s">
        <v>1687</v>
      </c>
      <c r="C69" s="169" t="s">
        <v>1619</v>
      </c>
      <c r="D69" t="str">
        <f t="shared" si="1"/>
        <v>KEY_LOGIC_1.1V_S,</v>
      </c>
    </row>
    <row r="70" spans="1:4">
      <c r="C70" s="169" t="s">
        <v>1673</v>
      </c>
      <c r="D70" t="str">
        <f t="shared" si="1"/>
        <v>KEY_LOGIC_1.1V_D,</v>
      </c>
    </row>
    <row r="71" spans="1:4">
      <c r="C71" s="169" t="s">
        <v>1622</v>
      </c>
      <c r="D71" t="str">
        <f t="shared" si="1"/>
        <v>KEY_LOGIC_ID+VT_1.1V_S,</v>
      </c>
    </row>
    <row r="72" spans="1:4">
      <c r="C72" s="169" t="s">
        <v>1675</v>
      </c>
      <c r="D72" t="str">
        <f t="shared" si="1"/>
        <v>KEY_LOGIC_ID+VT_1.1V_D,</v>
      </c>
    </row>
    <row r="73" spans="1:4">
      <c r="C73" t="s">
        <v>1646</v>
      </c>
      <c r="D73" t="str">
        <f t="shared" si="1"/>
        <v>KEY_LOGIC_1.1V_TRIM_S,</v>
      </c>
    </row>
    <row r="74" spans="1:4">
      <c r="C74" t="s">
        <v>1677</v>
      </c>
      <c r="D74" t="str">
        <f t="shared" si="1"/>
        <v>KEY_LOGIC_1.1V_TRIM_D,</v>
      </c>
    </row>
    <row r="75" spans="1:4">
      <c r="C75" t="s">
        <v>1693</v>
      </c>
      <c r="D75" t="str">
        <f t="shared" si="1"/>
        <v>KEY_LOGIC_AUTOBIAS_1.1V_LLE_S,</v>
      </c>
    </row>
    <row r="76" spans="1:4">
      <c r="C76" t="s">
        <v>1694</v>
      </c>
      <c r="D76" t="str">
        <f t="shared" si="1"/>
        <v>KEY_LOGIC_AUTOBIAS_1.1V_LLE_D,</v>
      </c>
    </row>
    <row r="77" spans="1:4">
      <c r="C77" t="s">
        <v>1695</v>
      </c>
      <c r="D77" t="str">
        <f t="shared" si="1"/>
        <v>KEY_LOGIC_AUTOBIAS_1.1V_LVT_S,</v>
      </c>
    </row>
    <row r="78" spans="1:4">
      <c r="C78" t="s">
        <v>1696</v>
      </c>
      <c r="D78" t="str">
        <f t="shared" si="1"/>
        <v>KEY_LOGIC_AUTOBIAS_1.1V_LVT_D,</v>
      </c>
    </row>
    <row r="79" spans="1:4">
      <c r="C79" t="s">
        <v>1649</v>
      </c>
      <c r="D79" t="str">
        <f t="shared" si="1"/>
        <v>KEY_LOGIC_AUTOBIAS_1.1V_S,</v>
      </c>
    </row>
    <row r="80" spans="1:4">
      <c r="C80" t="s">
        <v>1679</v>
      </c>
      <c r="D80" t="str">
        <f t="shared" si="1"/>
        <v>KEY_LOGIC_AUTOBIAS_1.1V_D,</v>
      </c>
    </row>
    <row r="81" spans="3:4">
      <c r="C81" t="s">
        <v>1650</v>
      </c>
      <c r="D81" t="str">
        <f t="shared" si="1"/>
        <v>KEY_LOGIC_AUTOBIAS_1.1V_S_X78A,</v>
      </c>
    </row>
    <row r="82" spans="3:4">
      <c r="C82" t="s">
        <v>1681</v>
      </c>
      <c r="D82" t="str">
        <f t="shared" si="1"/>
        <v>KEY_LOGIC_AUTOBIAS_1.1V_D_X78A,</v>
      </c>
    </row>
    <row r="83" spans="3:4">
      <c r="C83" t="s">
        <v>1652</v>
      </c>
      <c r="D83" t="str">
        <f t="shared" si="1"/>
        <v>KEY_LOGIC_AUTOBIAS_1.1V_FD_S,</v>
      </c>
    </row>
    <row r="84" spans="3:4">
      <c r="C84" t="s">
        <v>1697</v>
      </c>
      <c r="D84" t="str">
        <f t="shared" si="1"/>
        <v>KEY_LOGIC_AUTOBIAS_1.1V_LLE_FD_S,</v>
      </c>
    </row>
    <row r="85" spans="3:4">
      <c r="C85" t="s">
        <v>1698</v>
      </c>
      <c r="D85" t="str">
        <f t="shared" si="1"/>
        <v>KEY_LOGIC_AUTOBIAS_1.1V_LVT_FD_S,</v>
      </c>
    </row>
    <row r="86" spans="3:4">
      <c r="C86" t="s">
        <v>1684</v>
      </c>
      <c r="D86" t="str">
        <f t="shared" si="1"/>
        <v>KEY_LOGIC_SUITE_S,</v>
      </c>
    </row>
    <row r="87" spans="3:4">
      <c r="C87" t="s">
        <v>1687</v>
      </c>
      <c r="D87" t="str">
        <f>C87</f>
        <v>KEY_LOGIC_SUITE_D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7915-4203-4F2F-A9E7-D508A7E34B59}">
  <dimension ref="A1:L72"/>
  <sheetViews>
    <sheetView topLeftCell="D25" workbookViewId="0">
      <selection activeCell="C72" sqref="C72"/>
    </sheetView>
  </sheetViews>
  <sheetFormatPr defaultColWidth="8.85546875" defaultRowHeight="14.25"/>
  <cols>
    <col min="1" max="3" width="57.85546875" customWidth="1"/>
    <col min="4" max="5" width="24.42578125" customWidth="1"/>
    <col min="6" max="6" width="33.5703125" customWidth="1"/>
    <col min="7" max="11" width="32.42578125" customWidth="1"/>
  </cols>
  <sheetData>
    <row r="1" spans="1:12">
      <c r="A1" t="s">
        <v>1604</v>
      </c>
    </row>
    <row r="2" spans="1:12">
      <c r="A2" t="s">
        <v>1606</v>
      </c>
    </row>
    <row r="3" spans="1:12">
      <c r="A3" t="s">
        <v>361</v>
      </c>
      <c r="B3" t="s">
        <v>361</v>
      </c>
      <c r="C3" t="str">
        <f>B3&amp;","</f>
        <v>KEY_LOGIC_TOPEX,</v>
      </c>
      <c r="F3" t="s">
        <v>375</v>
      </c>
      <c r="I3" t="str">
        <f>F3</f>
        <v>MAT10P_LOGIC_TOPEX</v>
      </c>
      <c r="J3" t="str">
        <f>I3&amp;","</f>
        <v>MAT10P_LOGIC_TOPEX,</v>
      </c>
      <c r="L3" s="19" t="s">
        <v>362</v>
      </c>
    </row>
    <row r="4" spans="1:12">
      <c r="A4" s="169" t="s">
        <v>362</v>
      </c>
      <c r="B4" s="169" t="s">
        <v>362</v>
      </c>
      <c r="C4" t="str">
        <f t="shared" ref="C4:C51" si="0">B4&amp;","</f>
        <v>KEY_LOGIC_DEFECT,</v>
      </c>
      <c r="D4" s="169" t="s">
        <v>1607</v>
      </c>
      <c r="E4" s="169"/>
      <c r="F4" t="s">
        <v>1699</v>
      </c>
      <c r="I4" t="str">
        <f>F4</f>
        <v>MAT10P_LOGIC_DEFECT_NO_FILTER</v>
      </c>
      <c r="J4" t="str">
        <f>I4&amp;","</f>
        <v>MAT10P_LOGIC_DEFECT_NO_FILTER,</v>
      </c>
      <c r="L4" s="19" t="s">
        <v>1608</v>
      </c>
    </row>
    <row r="5" spans="1:12">
      <c r="A5" s="169" t="s">
        <v>1608</v>
      </c>
      <c r="B5" s="169" t="s">
        <v>1608</v>
      </c>
      <c r="C5" t="str">
        <f t="shared" si="0"/>
        <v>KEY_LOGIC_WORKING_S,</v>
      </c>
      <c r="F5" t="s">
        <v>1700</v>
      </c>
      <c r="G5" t="s">
        <v>1700</v>
      </c>
      <c r="I5" t="str">
        <f>G5&amp;H5</f>
        <v>MAT10P_LOGIC_WORKING_S_TTR</v>
      </c>
      <c r="J5" t="str">
        <f>LEFT(I5,FIND("_TTR",I5,1)-1)&amp;","</f>
        <v>MAT10P_LOGIC_WORKING_S,</v>
      </c>
      <c r="L5" s="19" t="s">
        <v>1609</v>
      </c>
    </row>
    <row r="6" spans="1:12">
      <c r="A6" s="169" t="s">
        <v>1610</v>
      </c>
      <c r="B6" s="169" t="s">
        <v>1610</v>
      </c>
      <c r="C6" t="str">
        <f t="shared" si="0"/>
        <v>KEY_LOGIC_WORKING_D,</v>
      </c>
      <c r="F6" t="s">
        <v>1701</v>
      </c>
      <c r="H6" t="s">
        <v>1702</v>
      </c>
      <c r="I6" t="str">
        <f t="shared" ref="I6:I69" si="1">G6&amp;H6</f>
        <v>MAT10P_LOGIC_WORKING_D_TTR</v>
      </c>
      <c r="J6" t="str">
        <f t="shared" ref="J6:J42" si="2">LEFT(I6,FIND("_TTR",I6,1)-1)&amp;","</f>
        <v>MAT10P_LOGIC_WORKING_D,</v>
      </c>
      <c r="L6" s="19" t="s">
        <v>1611</v>
      </c>
    </row>
    <row r="7" spans="1:12">
      <c r="A7" s="169" t="s">
        <v>1609</v>
      </c>
      <c r="B7" s="169" t="s">
        <v>1609</v>
      </c>
      <c r="C7" t="str">
        <f t="shared" si="0"/>
        <v>KEY_LOGIC_LINEAR_S,</v>
      </c>
      <c r="F7" t="s">
        <v>1703</v>
      </c>
      <c r="G7" t="s">
        <v>1701</v>
      </c>
      <c r="I7" t="str">
        <f t="shared" si="1"/>
        <v>MAT10P_LOGIC_LINEAR_S_TTR</v>
      </c>
      <c r="J7" t="str">
        <f t="shared" si="2"/>
        <v>MAT10P_LOGIC_LINEAR_S,</v>
      </c>
      <c r="L7" s="19" t="s">
        <v>1612</v>
      </c>
    </row>
    <row r="8" spans="1:12">
      <c r="A8" s="169" t="s">
        <v>1613</v>
      </c>
      <c r="B8" s="169" t="s">
        <v>1613</v>
      </c>
      <c r="C8" t="str">
        <f t="shared" si="0"/>
        <v>KEY_LOGIC_LINEAR_D,</v>
      </c>
      <c r="F8" t="s">
        <v>1704</v>
      </c>
      <c r="H8" t="s">
        <v>1705</v>
      </c>
      <c r="I8" t="str">
        <f t="shared" si="1"/>
        <v>MAT10P_LOGIC_LINEAR_D_TTR</v>
      </c>
      <c r="J8" t="str">
        <f t="shared" si="2"/>
        <v>MAT10P_LOGIC_LINEAR_D,</v>
      </c>
      <c r="L8" s="19" t="s">
        <v>1614</v>
      </c>
    </row>
    <row r="9" spans="1:12">
      <c r="A9" s="169" t="s">
        <v>1611</v>
      </c>
      <c r="B9" s="169" t="s">
        <v>1611</v>
      </c>
      <c r="C9" t="str">
        <f t="shared" si="0"/>
        <v>KEY_LOGIC_0.65V_S,</v>
      </c>
      <c r="F9" t="s">
        <v>1706</v>
      </c>
      <c r="G9" t="s">
        <v>1703</v>
      </c>
      <c r="I9" t="str">
        <f t="shared" si="1"/>
        <v>MAT10P_LOGIC_0.65V_S_TTR</v>
      </c>
      <c r="J9" t="str">
        <f t="shared" si="2"/>
        <v>MAT10P_LOGIC_0.65V_S,</v>
      </c>
      <c r="L9" s="19" t="s">
        <v>1615</v>
      </c>
    </row>
    <row r="10" spans="1:12">
      <c r="A10" s="169" t="s">
        <v>1616</v>
      </c>
      <c r="B10" s="169" t="s">
        <v>1616</v>
      </c>
      <c r="C10" t="str">
        <f t="shared" si="0"/>
        <v>KEY_LOGIC_0.65V_D,</v>
      </c>
      <c r="F10" t="s">
        <v>1707</v>
      </c>
      <c r="H10" t="s">
        <v>1708</v>
      </c>
      <c r="I10" t="str">
        <f t="shared" si="1"/>
        <v>MAT10P_LOGIC_0.65V_D_TTR</v>
      </c>
      <c r="J10" t="str">
        <f t="shared" si="2"/>
        <v>MAT10P_LOGIC_0.65V_D,</v>
      </c>
      <c r="L10" s="19" t="s">
        <v>1617</v>
      </c>
    </row>
    <row r="11" spans="1:12">
      <c r="A11" s="169" t="s">
        <v>1612</v>
      </c>
      <c r="B11" s="169" t="s">
        <v>1612</v>
      </c>
      <c r="C11" t="str">
        <f t="shared" si="0"/>
        <v>KEY_LOGIC_ID+VT_0.65V_S,</v>
      </c>
      <c r="F11" t="s">
        <v>1709</v>
      </c>
      <c r="G11" t="s">
        <v>1704</v>
      </c>
      <c r="I11" t="str">
        <f t="shared" si="1"/>
        <v>MAT10P_LOGIC_ID+VT_0.65V_S_TTR</v>
      </c>
      <c r="J11" t="str">
        <f t="shared" si="2"/>
        <v>MAT10P_LOGIC_ID+VT_0.65V_S,</v>
      </c>
      <c r="L11" s="19" t="s">
        <v>1619</v>
      </c>
    </row>
    <row r="12" spans="1:12">
      <c r="A12" s="169" t="s">
        <v>1621</v>
      </c>
      <c r="B12" s="169" t="s">
        <v>1621</v>
      </c>
      <c r="C12" t="str">
        <f t="shared" si="0"/>
        <v>KEY_LOGIC_ID+VT_0.65V_D,</v>
      </c>
      <c r="F12" t="s">
        <v>1710</v>
      </c>
      <c r="H12" t="s">
        <v>1711</v>
      </c>
      <c r="I12" t="str">
        <f t="shared" si="1"/>
        <v>MAT10P_LOGIC_ID+VT_0.65V_D_TTR</v>
      </c>
      <c r="J12" t="str">
        <f t="shared" si="2"/>
        <v>MAT10P_LOGIC_ID+VT_0.65V_D,</v>
      </c>
      <c r="L12" s="19" t="s">
        <v>1622</v>
      </c>
    </row>
    <row r="13" spans="1:12">
      <c r="A13" s="169" t="s">
        <v>1614</v>
      </c>
      <c r="B13" s="169" t="s">
        <v>1614</v>
      </c>
      <c r="C13" t="str">
        <f t="shared" si="0"/>
        <v>KEY_LOGIC_X_0.65V_S,</v>
      </c>
      <c r="F13" t="s">
        <v>1712</v>
      </c>
      <c r="G13" t="s">
        <v>1706</v>
      </c>
      <c r="I13" t="str">
        <f t="shared" si="1"/>
        <v>MAT10P_LOGIC_X_0.65V_S_TTR</v>
      </c>
      <c r="J13" t="str">
        <f t="shared" si="2"/>
        <v>MAT10P_LOGIC_X_0.65V_S,</v>
      </c>
    </row>
    <row r="14" spans="1:12">
      <c r="A14" s="169" t="s">
        <v>1625</v>
      </c>
      <c r="B14" s="169" t="s">
        <v>1625</v>
      </c>
      <c r="C14" t="str">
        <f t="shared" si="0"/>
        <v>KEY_LOGIC_X_0.65V_D,</v>
      </c>
      <c r="F14" t="s">
        <v>1713</v>
      </c>
      <c r="H14" t="s">
        <v>1714</v>
      </c>
      <c r="I14" t="str">
        <f t="shared" si="1"/>
        <v>MAT10P_LOGIC_X_0.65V_D_TTR</v>
      </c>
      <c r="J14" t="str">
        <f t="shared" si="2"/>
        <v>MAT10P_LOGIC_X_0.65V_D,</v>
      </c>
      <c r="K14" t="str">
        <f>CONCATENATE("MAT10P_LOGIC_TOPEX,","MAT10P_LOGIC_DEFECT_NO_FILTER,","MAT10P_LOGIC_WORKING_S,","MAT10P_LOGIC_WORKING_D,","MAT10P_LOGIC_LINEAR_S,","MAT10P_LOGIC_LINEAR_D,","MAT10P_LOGIC_0.65V_S,","MAT10P_LOGIC_0.65V_D,","MAT10P_LOGIC_ID+VT_0.65V_S,","MAT10P_LOGIC_ID+VT_0.65V_D,","MAT10P_LOGIC_X_0.65V_S,","MAT10P_LOGIC_X_0.65V_D,","MAT10P_LOGIC_GM_RO_S,","MAT10P_LOGIC_GM_RO_D,","MAT10P_LOGIC_VGNA_S,","MAT10P_LOGIC_VGNA_D,","MAT10P_LOGIC_VGNA_S_X78A,","MAT10P_LOGIC_VGNA_D_X78A,","MAT10P_AUTOBIAS_0.65V_S,","MAT10P_AUTOBIAS_0.65V_D,","MAT10P_AUTOBIAS_0.65V_S_X78A,","MAT10P_AUTOBIAS_0.65V_D_X78A,","MAT10P_LOGIC_0.95V_TRIM_S,","MAT10P_LOGIC_0.95V_TRIM_D,","MAT10P_AUTOBIAS_0.95V_S,","MAT10P_AUTOBIAS_0.95V_D,","MAT10P_AUTOBIAS_0.95V_S_X78A,","MAT10P_AUTOBIAS_0.95V_D_X78A,","MAT10P_LOGIC_1.1V_S,","MAT10P_LOGIC_1.1V_D,","MAT10P_LOGIC_ID+VT_1.1V_S,","MAT10P_LOGIC_ID+VT_1.1V_D,","MAT10P_LOGIC_1.1V_TRIM_S,","MAT10P_LOGIC_1.1V_TRIM_D,","MAT10P_AUTOBIAS_1.1V_S,","MAT10P_AUTOBIAS_1.1V_D,","MAT10P_AUTOBIAS_1.1V_S_X78A,","MAT10P_AUTOBIAS_1.1V_D_X78A,","MAT10P_LOGIC_SUITE_S,","MAT10P_LOGIC_SUITE_D,","MAT10P_LOGIC_BASIC_S,","MAT10P_LOGIC_BASIC_D")</f>
        <v>MAT10P_LOGIC_TOPEX,MAT10P_LOGIC_DEFECT_NO_FILTER,MAT10P_LOGIC_WORKING_S,MAT10P_LOGIC_WORKING_D,MAT10P_LOGIC_LINEAR_S,MAT10P_LOGIC_LINEAR_D,MAT10P_LOGIC_0.65V_S,MAT10P_LOGIC_0.65V_D,MAT10P_LOGIC_ID+VT_0.65V_S,MAT10P_LOGIC_ID+VT_0.65V_D,MAT10P_LOGIC_X_0.65V_S,MAT10P_LOGIC_X_0.65V_D,MAT10P_LOGIC_GM_RO_S,MAT10P_LOGIC_GM_RO_D,MAT10P_LOGIC_VGNA_S,MAT10P_LOGIC_VGNA_D,MAT10P_LOGIC_VGNA_S_X78A,MAT10P_LOGIC_VGNA_D_X78A,MAT10P_AUTOBIAS_0.65V_S,MAT10P_AUTOBIAS_0.65V_D,MAT10P_AUTOBIAS_0.65V_S_X78A,MAT10P_AUTOBIAS_0.65V_D_X78A,MAT10P_LOGIC_0.95V_TRIM_S,MAT10P_LOGIC_0.95V_TRIM_D,MAT10P_AUTOBIAS_0.95V_S,MAT10P_AUTOBIAS_0.95V_D,MAT10P_AUTOBIAS_0.95V_S_X78A,MAT10P_AUTOBIAS_0.95V_D_X78A,MAT10P_LOGIC_1.1V_S,MAT10P_LOGIC_1.1V_D,MAT10P_LOGIC_ID+VT_1.1V_S,MAT10P_LOGIC_ID+VT_1.1V_D,MAT10P_LOGIC_1.1V_TRIM_S,MAT10P_LOGIC_1.1V_TRIM_D,MAT10P_AUTOBIAS_1.1V_S,MAT10P_AUTOBIAS_1.1V_D,MAT10P_AUTOBIAS_1.1V_S_X78A,MAT10P_AUTOBIAS_1.1V_D_X78A,MAT10P_LOGIC_SUITE_S,MAT10P_LOGIC_SUITE_D,MAT10P_LOGIC_BASIC_S,MAT10P_LOGIC_BASIC_D</v>
      </c>
    </row>
    <row r="15" spans="1:12">
      <c r="A15" s="169" t="s">
        <v>1615</v>
      </c>
      <c r="B15" s="169" t="s">
        <v>1615</v>
      </c>
      <c r="C15" t="str">
        <f t="shared" si="0"/>
        <v>KEY_LOGIC_GM_RO_S,</v>
      </c>
      <c r="F15" t="s">
        <v>1715</v>
      </c>
      <c r="G15" t="s">
        <v>1707</v>
      </c>
      <c r="I15" t="str">
        <f t="shared" si="1"/>
        <v>MAT10P_LOGIC_GM_RO_S_TTR</v>
      </c>
      <c r="J15" t="str">
        <f t="shared" si="2"/>
        <v>MAT10P_LOGIC_GM_RO_S,</v>
      </c>
      <c r="K15" t="s">
        <v>1716</v>
      </c>
    </row>
    <row r="16" spans="1:12">
      <c r="A16" s="169" t="s">
        <v>1629</v>
      </c>
      <c r="B16" s="169" t="s">
        <v>1629</v>
      </c>
      <c r="C16" t="str">
        <f t="shared" si="0"/>
        <v>KEY_LOGIC_GM_RO_D,</v>
      </c>
      <c r="F16" t="s">
        <v>1717</v>
      </c>
      <c r="H16" t="s">
        <v>1718</v>
      </c>
      <c r="I16" t="str">
        <f t="shared" si="1"/>
        <v>MAT10P_LOGIC_GM_RO_D_TTR</v>
      </c>
      <c r="J16" t="str">
        <f t="shared" si="2"/>
        <v>MAT10P_LOGIC_GM_RO_D,</v>
      </c>
    </row>
    <row r="17" spans="1:10">
      <c r="A17" t="s">
        <v>1631</v>
      </c>
      <c r="B17" t="s">
        <v>1631</v>
      </c>
      <c r="C17" t="str">
        <f t="shared" si="0"/>
        <v>KEY_LOGIC_BASIC_S,</v>
      </c>
      <c r="F17" t="s">
        <v>1719</v>
      </c>
      <c r="G17" t="s">
        <v>1709</v>
      </c>
      <c r="I17" t="str">
        <f t="shared" si="1"/>
        <v>MAT10P_LOGIC_VGNA_S_TTR</v>
      </c>
      <c r="J17" t="str">
        <f t="shared" si="2"/>
        <v>MAT10P_LOGIC_VGNA_S,</v>
      </c>
    </row>
    <row r="18" spans="1:10">
      <c r="A18" t="s">
        <v>1633</v>
      </c>
      <c r="B18" t="s">
        <v>1633</v>
      </c>
      <c r="C18" t="str">
        <f t="shared" si="0"/>
        <v>KEY_LOGIC_BASIC_D,</v>
      </c>
      <c r="F18" t="s">
        <v>1720</v>
      </c>
      <c r="H18" t="s">
        <v>1721</v>
      </c>
      <c r="I18" t="str">
        <f t="shared" si="1"/>
        <v>MAT10P_LOGIC_VGNA_D_TTR</v>
      </c>
      <c r="J18" t="str">
        <f t="shared" si="2"/>
        <v>MAT10P_LOGIC_VGNA_D,</v>
      </c>
    </row>
    <row r="19" spans="1:10">
      <c r="A19" t="s">
        <v>1635</v>
      </c>
      <c r="B19" t="s">
        <v>1635</v>
      </c>
      <c r="C19" t="str">
        <f t="shared" si="0"/>
        <v>KEY_LOGIC_SLIM_S,</v>
      </c>
      <c r="F19" t="s">
        <v>1722</v>
      </c>
      <c r="G19" t="s">
        <v>1710</v>
      </c>
      <c r="I19" t="str">
        <f t="shared" si="1"/>
        <v>MAT10P_LOGIC_VGNA_S_X78A_TTR</v>
      </c>
      <c r="J19" t="str">
        <f t="shared" si="2"/>
        <v>MAT10P_LOGIC_VGNA_S_X78A,</v>
      </c>
    </row>
    <row r="20" spans="1:10">
      <c r="A20" s="168" t="s">
        <v>1636</v>
      </c>
      <c r="B20" s="168" t="s">
        <v>1636</v>
      </c>
      <c r="C20" t="str">
        <f t="shared" si="0"/>
        <v>KEY_LOGIC_SLIM_D,</v>
      </c>
      <c r="F20" t="s">
        <v>1723</v>
      </c>
      <c r="H20" t="s">
        <v>1724</v>
      </c>
      <c r="I20" t="str">
        <f t="shared" si="1"/>
        <v>MAT10P_LOGIC_VGNA_D_X78A_TTR</v>
      </c>
      <c r="J20" t="str">
        <f t="shared" si="2"/>
        <v>MAT10P_LOGIC_VGNA_D_X78A,</v>
      </c>
    </row>
    <row r="21" spans="1:10">
      <c r="A21" t="s">
        <v>1618</v>
      </c>
      <c r="B21" t="s">
        <v>1641</v>
      </c>
      <c r="C21" t="str">
        <f t="shared" si="0"/>
        <v>KEY_LOGIC_VGNA_LLE_S,</v>
      </c>
      <c r="F21" t="s">
        <v>1725</v>
      </c>
      <c r="G21" t="s">
        <v>1712</v>
      </c>
      <c r="I21" t="str">
        <f t="shared" si="1"/>
        <v>MAT10P_AUTOBIAS_0.65V_S_TTR</v>
      </c>
      <c r="J21" t="str">
        <f t="shared" si="2"/>
        <v>MAT10P_AUTOBIAS_0.65V_S,</v>
      </c>
    </row>
    <row r="22" spans="1:10">
      <c r="A22" t="s">
        <v>1639</v>
      </c>
      <c r="B22" t="s">
        <v>1643</v>
      </c>
      <c r="C22" t="str">
        <f t="shared" si="0"/>
        <v>KEY_LOGIC_VGNA_LLE_D,</v>
      </c>
      <c r="F22" t="s">
        <v>1726</v>
      </c>
      <c r="H22" t="s">
        <v>1727</v>
      </c>
      <c r="I22" t="str">
        <f t="shared" si="1"/>
        <v>MAT10P_AUTOBIAS_0.65V_D_TTR</v>
      </c>
      <c r="J22" t="str">
        <f t="shared" si="2"/>
        <v>MAT10P_AUTOBIAS_0.65V_D,</v>
      </c>
    </row>
    <row r="23" spans="1:10">
      <c r="A23" t="s">
        <v>1641</v>
      </c>
      <c r="B23" t="s">
        <v>1645</v>
      </c>
      <c r="C23" t="str">
        <f t="shared" si="0"/>
        <v>KEY_LOGIC_VGNA_LVT_S,</v>
      </c>
      <c r="F23" t="s">
        <v>1702</v>
      </c>
      <c r="G23" t="s">
        <v>1713</v>
      </c>
      <c r="I23" t="str">
        <f t="shared" si="1"/>
        <v>MAT10P_AUTOBIAS_0.65V_S_X78A_TTR</v>
      </c>
      <c r="J23" t="str">
        <f t="shared" si="2"/>
        <v>MAT10P_AUTOBIAS_0.65V_S_X78A,</v>
      </c>
    </row>
    <row r="24" spans="1:10">
      <c r="A24" t="s">
        <v>1643</v>
      </c>
      <c r="B24" t="s">
        <v>1648</v>
      </c>
      <c r="C24" t="str">
        <f t="shared" si="0"/>
        <v>KEY_LOGIC_VGNA_LVT_D,</v>
      </c>
      <c r="F24" t="s">
        <v>1705</v>
      </c>
      <c r="H24" t="s">
        <v>1728</v>
      </c>
      <c r="I24" t="str">
        <f t="shared" si="1"/>
        <v>MAT10P_AUTOBIAS_0.65V_D_X78A_TTR</v>
      </c>
      <c r="J24" t="str">
        <f t="shared" si="2"/>
        <v>MAT10P_AUTOBIAS_0.65V_D_X78A,</v>
      </c>
    </row>
    <row r="25" spans="1:10">
      <c r="A25" t="s">
        <v>1645</v>
      </c>
      <c r="B25" t="s">
        <v>1644</v>
      </c>
      <c r="C25" t="str">
        <f t="shared" si="0"/>
        <v>KEY_LOGIC_VGNA_LLE_SLIM_S,</v>
      </c>
      <c r="F25" t="s">
        <v>1708</v>
      </c>
      <c r="G25" t="s">
        <v>1715</v>
      </c>
      <c r="I25" t="str">
        <f t="shared" si="1"/>
        <v>MAT10P_LOGIC_0.95V_TRIM_S_TTR</v>
      </c>
      <c r="J25" t="str">
        <f t="shared" si="2"/>
        <v>MAT10P_LOGIC_0.95V_TRIM_S,</v>
      </c>
    </row>
    <row r="26" spans="1:10">
      <c r="A26" t="s">
        <v>1648</v>
      </c>
      <c r="B26" t="s">
        <v>1647</v>
      </c>
      <c r="C26" t="str">
        <f t="shared" si="0"/>
        <v>KEY_LOGIC_VGNA_LLE_SLIM_D,</v>
      </c>
      <c r="F26" t="s">
        <v>1711</v>
      </c>
      <c r="H26" t="s">
        <v>1729</v>
      </c>
      <c r="I26" t="str">
        <f t="shared" si="1"/>
        <v>MAT10P_LOGIC_0.95V_TRIM_D_TTR</v>
      </c>
      <c r="J26" t="str">
        <f t="shared" si="2"/>
        <v>MAT10P_LOGIC_0.95V_TRIM_D,</v>
      </c>
    </row>
    <row r="27" spans="1:10">
      <c r="A27" t="s">
        <v>1620</v>
      </c>
      <c r="B27" t="s">
        <v>1655</v>
      </c>
      <c r="C27" t="str">
        <f t="shared" si="0"/>
        <v>KEY_LOGIC_AUTOBIAS_0.65V_LLE_S,</v>
      </c>
      <c r="F27" t="s">
        <v>1714</v>
      </c>
      <c r="G27" t="s">
        <v>1717</v>
      </c>
      <c r="I27" t="str">
        <f t="shared" si="1"/>
        <v>MAT10P_AUTOBIAS_0.95V_S_TTR</v>
      </c>
      <c r="J27" t="str">
        <f t="shared" si="2"/>
        <v>MAT10P_AUTOBIAS_0.95V_S,</v>
      </c>
    </row>
    <row r="28" spans="1:10">
      <c r="A28" t="s">
        <v>1642</v>
      </c>
      <c r="B28" t="s">
        <v>1657</v>
      </c>
      <c r="C28" t="str">
        <f t="shared" si="0"/>
        <v>KEY_LOGIC_AUTOBIAS_0.65V_LLE_D,</v>
      </c>
      <c r="F28" t="s">
        <v>1718</v>
      </c>
      <c r="H28" t="s">
        <v>1730</v>
      </c>
      <c r="I28" t="str">
        <f t="shared" si="1"/>
        <v>MAT10P_AUTOBIAS_0.95V_D_TTR</v>
      </c>
      <c r="J28" t="str">
        <f t="shared" si="2"/>
        <v>MAT10P_AUTOBIAS_0.95V_D,</v>
      </c>
    </row>
    <row r="29" spans="1:10">
      <c r="A29" t="s">
        <v>1644</v>
      </c>
      <c r="B29" t="s">
        <v>1658</v>
      </c>
      <c r="C29" t="str">
        <f t="shared" si="0"/>
        <v>KEY_LOGIC_AUTOBIAS_0.65V_LVT_S,</v>
      </c>
      <c r="F29" t="s">
        <v>1721</v>
      </c>
      <c r="G29" t="s">
        <v>1719</v>
      </c>
      <c r="I29" t="str">
        <f t="shared" si="1"/>
        <v>MAT10P_AUTOBIAS_0.95V_S_X78A_TTR</v>
      </c>
      <c r="J29" t="str">
        <f t="shared" si="2"/>
        <v>MAT10P_AUTOBIAS_0.95V_S_X78A,</v>
      </c>
    </row>
    <row r="30" spans="1:10">
      <c r="A30" t="s">
        <v>1647</v>
      </c>
      <c r="B30" t="s">
        <v>1660</v>
      </c>
      <c r="C30" t="str">
        <f t="shared" si="0"/>
        <v>KEY_LOGIC_AUTOBIAS_0.65V_LVT_D,</v>
      </c>
      <c r="F30" t="s">
        <v>1724</v>
      </c>
      <c r="H30" t="s">
        <v>1731</v>
      </c>
      <c r="I30" t="str">
        <f t="shared" si="1"/>
        <v>MAT10P_AUTOBIAS_0.95V_D_X78A_TTR</v>
      </c>
      <c r="J30" t="str">
        <f t="shared" si="2"/>
        <v>MAT10P_AUTOBIAS_0.95V_D_X78A,</v>
      </c>
    </row>
    <row r="31" spans="1:10">
      <c r="A31" t="s">
        <v>1655</v>
      </c>
      <c r="B31" t="s">
        <v>1654</v>
      </c>
      <c r="C31" t="str">
        <f t="shared" si="0"/>
        <v>KEY_LOGIC_AUTOBIAS_0.65V_LLE_SLIM_S,</v>
      </c>
      <c r="F31" t="s">
        <v>1727</v>
      </c>
      <c r="G31" t="s">
        <v>1720</v>
      </c>
      <c r="I31" t="str">
        <f t="shared" si="1"/>
        <v>MAT10P_LOGIC_1.1V_S_TTR</v>
      </c>
      <c r="J31" t="str">
        <f t="shared" si="2"/>
        <v>MAT10P_LOGIC_1.1V_S,</v>
      </c>
    </row>
    <row r="32" spans="1:10">
      <c r="A32" t="s">
        <v>1657</v>
      </c>
      <c r="B32" s="168" t="s">
        <v>1656</v>
      </c>
      <c r="C32" t="str">
        <f t="shared" si="0"/>
        <v>KEY_LOGIC_AUTOBIAS_0.65V_LLE_SLIM_D,</v>
      </c>
      <c r="F32" t="s">
        <v>1728</v>
      </c>
      <c r="H32" t="s">
        <v>1732</v>
      </c>
      <c r="I32" t="str">
        <f t="shared" si="1"/>
        <v>MAT10P_LOGIC_1.1V_D_TTR</v>
      </c>
      <c r="J32" t="str">
        <f t="shared" si="2"/>
        <v>MAT10P_LOGIC_1.1V_D,</v>
      </c>
    </row>
    <row r="33" spans="1:10">
      <c r="A33" t="s">
        <v>1658</v>
      </c>
      <c r="B33" s="169" t="s">
        <v>1617</v>
      </c>
      <c r="C33" t="str">
        <f t="shared" si="0"/>
        <v>KEY_LOGIC_0.95V_TRIM_S,</v>
      </c>
      <c r="F33" t="s">
        <v>1729</v>
      </c>
      <c r="G33" t="s">
        <v>1722</v>
      </c>
      <c r="I33" t="str">
        <f t="shared" si="1"/>
        <v>MAT10P_LOGIC_ID+VT_1.1V_S_TTR</v>
      </c>
      <c r="J33" t="str">
        <f t="shared" si="2"/>
        <v>MAT10P_LOGIC_ID+VT_1.1V_S,</v>
      </c>
    </row>
    <row r="34" spans="1:10">
      <c r="A34" t="s">
        <v>1660</v>
      </c>
      <c r="B34" s="169" t="s">
        <v>1667</v>
      </c>
      <c r="C34" t="str">
        <f t="shared" si="0"/>
        <v>KEY_LOGIC_0.95V_TRIM_D,</v>
      </c>
      <c r="F34" t="s">
        <v>1730</v>
      </c>
      <c r="H34" t="s">
        <v>1733</v>
      </c>
      <c r="I34" t="str">
        <f t="shared" si="1"/>
        <v>MAT10P_LOGIC_ID+VT_1.1V_D_TTR</v>
      </c>
      <c r="J34" t="str">
        <f t="shared" si="2"/>
        <v>MAT10P_LOGIC_ID+VT_1.1V_D,</v>
      </c>
    </row>
    <row r="35" spans="1:10">
      <c r="A35" t="s">
        <v>1623</v>
      </c>
      <c r="B35" t="s">
        <v>1686</v>
      </c>
      <c r="C35" t="str">
        <f t="shared" si="0"/>
        <v>KEY_LOGIC_AUTOBIAS_0.95V_LLE_S,</v>
      </c>
      <c r="F35" t="s">
        <v>1731</v>
      </c>
      <c r="G35" t="s">
        <v>1723</v>
      </c>
      <c r="I35" t="str">
        <f t="shared" si="1"/>
        <v>MAT10P_LOGIC_1.1V_TRIM_S_TTR</v>
      </c>
      <c r="J35" t="str">
        <f t="shared" si="2"/>
        <v>MAT10P_LOGIC_1.1V_TRIM_S,</v>
      </c>
    </row>
    <row r="36" spans="1:10">
      <c r="A36" t="s">
        <v>1651</v>
      </c>
      <c r="B36" t="s">
        <v>1688</v>
      </c>
      <c r="C36" t="str">
        <f t="shared" si="0"/>
        <v>KEY_LOGIC_AUTOBIAS_0.95V_LLE_D,</v>
      </c>
      <c r="F36" t="s">
        <v>1732</v>
      </c>
      <c r="H36" t="s">
        <v>1734</v>
      </c>
      <c r="I36" t="str">
        <f t="shared" si="1"/>
        <v>MAT10P_LOGIC_1.1V_TRIM_D_TTR</v>
      </c>
      <c r="J36" t="str">
        <f t="shared" si="2"/>
        <v>MAT10P_LOGIC_1.1V_TRIM_D,</v>
      </c>
    </row>
    <row r="37" spans="1:10">
      <c r="A37" t="s">
        <v>1624</v>
      </c>
      <c r="B37" t="s">
        <v>1689</v>
      </c>
      <c r="C37" t="str">
        <f t="shared" si="0"/>
        <v>KEY_LOGIC_AUTOBIAS_0.95V_LVT_S,</v>
      </c>
      <c r="F37" t="s">
        <v>1733</v>
      </c>
      <c r="G37" t="s">
        <v>1725</v>
      </c>
      <c r="I37" t="str">
        <f t="shared" si="1"/>
        <v>MAT10P_AUTOBIAS_1.1V_S_TTR</v>
      </c>
      <c r="J37" t="str">
        <f t="shared" si="2"/>
        <v>MAT10P_AUTOBIAS_1.1V_S,</v>
      </c>
    </row>
    <row r="38" spans="1:10">
      <c r="A38" t="s">
        <v>1653</v>
      </c>
      <c r="B38" t="s">
        <v>1690</v>
      </c>
      <c r="C38" t="str">
        <f t="shared" si="0"/>
        <v>KEY_LOGIC_AUTOBIAS_0.95V_LVT_D,</v>
      </c>
      <c r="F38" t="s">
        <v>1734</v>
      </c>
      <c r="H38" t="s">
        <v>1735</v>
      </c>
      <c r="I38" t="str">
        <f t="shared" si="1"/>
        <v>MAT10P_AUTOBIAS_1.1V_D_TTR</v>
      </c>
      <c r="J38" t="str">
        <f t="shared" si="2"/>
        <v>MAT10P_AUTOBIAS_1.1V_D,</v>
      </c>
    </row>
    <row r="39" spans="1:10">
      <c r="A39" t="s">
        <v>1654</v>
      </c>
      <c r="B39" t="s">
        <v>1678</v>
      </c>
      <c r="C39" t="str">
        <f t="shared" si="0"/>
        <v>KEY_LOGIC_AUTOBIAS_0.95V_LLE_SLIM_S,</v>
      </c>
      <c r="F39" t="s">
        <v>1735</v>
      </c>
      <c r="G39" t="s">
        <v>1726</v>
      </c>
      <c r="I39" t="str">
        <f t="shared" si="1"/>
        <v>MAT10P_AUTOBIAS_1.1V_S_X78A_TTR</v>
      </c>
      <c r="J39" t="str">
        <f t="shared" si="2"/>
        <v>MAT10P_AUTOBIAS_1.1V_S_X78A,</v>
      </c>
    </row>
    <row r="40" spans="1:10">
      <c r="A40" s="168" t="s">
        <v>1656</v>
      </c>
      <c r="B40" t="s">
        <v>1680</v>
      </c>
      <c r="C40" t="str">
        <f t="shared" si="0"/>
        <v>KEY_LOGIC_AUTOBIAS_0.95V_LLE_SLIM_D,</v>
      </c>
      <c r="F40" t="s">
        <v>1736</v>
      </c>
      <c r="H40" t="s">
        <v>1736</v>
      </c>
      <c r="I40" t="str">
        <f t="shared" si="1"/>
        <v>MAT10P_AUTOBIAS_1.1V_D_X78A_TTR</v>
      </c>
      <c r="J40" t="str">
        <f t="shared" si="2"/>
        <v>MAT10P_AUTOBIAS_1.1V_D_X78A,</v>
      </c>
    </row>
    <row r="41" spans="1:10">
      <c r="A41" s="169" t="s">
        <v>1617</v>
      </c>
      <c r="B41" s="169" t="s">
        <v>1619</v>
      </c>
      <c r="C41" t="str">
        <f t="shared" si="0"/>
        <v>KEY_LOGIC_1.1V_S,</v>
      </c>
      <c r="F41" t="s">
        <v>1737</v>
      </c>
      <c r="I41" t="s">
        <v>1737</v>
      </c>
      <c r="J41" t="str">
        <f t="shared" si="2"/>
        <v>MAT10P_LOGIC_SUITE_S,</v>
      </c>
    </row>
    <row r="42" spans="1:10">
      <c r="A42" s="169" t="s">
        <v>1667</v>
      </c>
      <c r="B42" s="169" t="s">
        <v>1673</v>
      </c>
      <c r="C42" t="str">
        <f t="shared" si="0"/>
        <v>KEY_LOGIC_1.1V_D,</v>
      </c>
      <c r="F42" t="s">
        <v>1738</v>
      </c>
      <c r="I42" t="s">
        <v>1738</v>
      </c>
      <c r="J42" t="str">
        <f t="shared" si="2"/>
        <v>MAT10P_LOGIC_SUITE_D,</v>
      </c>
    </row>
    <row r="43" spans="1:10">
      <c r="A43" t="s">
        <v>1686</v>
      </c>
      <c r="B43" s="169" t="s">
        <v>1622</v>
      </c>
      <c r="C43" t="str">
        <f t="shared" si="0"/>
        <v>KEY_LOGIC_ID+VT_1.1V_S,</v>
      </c>
      <c r="F43" t="s">
        <v>1739</v>
      </c>
      <c r="I43" t="s">
        <v>1739</v>
      </c>
      <c r="J43" t="str">
        <f>I43&amp;","</f>
        <v>MAT10P_LOGIC_BASIC_S,</v>
      </c>
    </row>
    <row r="44" spans="1:10">
      <c r="A44" t="s">
        <v>1688</v>
      </c>
      <c r="B44" s="169" t="s">
        <v>1675</v>
      </c>
      <c r="C44" t="str">
        <f t="shared" si="0"/>
        <v>KEY_LOGIC_ID+VT_1.1V_D,</v>
      </c>
      <c r="F44" t="s">
        <v>1740</v>
      </c>
      <c r="I44" t="s">
        <v>1740</v>
      </c>
      <c r="J44" t="str">
        <f>I44</f>
        <v>MAT10P_LOGIC_BASIC_D</v>
      </c>
    </row>
    <row r="45" spans="1:10">
      <c r="A45" t="s">
        <v>1689</v>
      </c>
      <c r="B45" t="s">
        <v>1646</v>
      </c>
      <c r="C45" t="str">
        <f t="shared" si="0"/>
        <v>KEY_LOGIC_1.1V_TRIM_S,</v>
      </c>
      <c r="I45" t="str">
        <f t="shared" si="1"/>
        <v/>
      </c>
    </row>
    <row r="46" spans="1:10">
      <c r="A46" t="s">
        <v>1690</v>
      </c>
      <c r="B46" t="s">
        <v>1677</v>
      </c>
      <c r="C46" t="str">
        <f t="shared" si="0"/>
        <v>KEY_LOGIC_1.1V_TRIM_D,</v>
      </c>
      <c r="I46" t="str">
        <f t="shared" si="1"/>
        <v/>
      </c>
    </row>
    <row r="47" spans="1:10">
      <c r="A47" t="s">
        <v>1637</v>
      </c>
      <c r="B47" t="s">
        <v>1693</v>
      </c>
      <c r="C47" t="str">
        <f t="shared" si="0"/>
        <v>KEY_LOGIC_AUTOBIAS_1.1V_LLE_S,</v>
      </c>
      <c r="I47" t="str">
        <f t="shared" si="1"/>
        <v/>
      </c>
    </row>
    <row r="48" spans="1:10">
      <c r="A48" t="s">
        <v>1669</v>
      </c>
      <c r="B48" t="s">
        <v>1694</v>
      </c>
      <c r="C48" t="str">
        <f t="shared" si="0"/>
        <v>KEY_LOGIC_AUTOBIAS_1.1V_LLE_D,</v>
      </c>
      <c r="I48" t="str">
        <f t="shared" si="1"/>
        <v/>
      </c>
    </row>
    <row r="49" spans="1:9">
      <c r="A49" t="s">
        <v>1638</v>
      </c>
      <c r="B49" t="s">
        <v>1695</v>
      </c>
      <c r="C49" t="str">
        <f t="shared" si="0"/>
        <v>KEY_LOGIC_AUTOBIAS_1.1V_LVT_S,</v>
      </c>
      <c r="I49" t="str">
        <f t="shared" si="1"/>
        <v/>
      </c>
    </row>
    <row r="50" spans="1:9">
      <c r="A50" t="s">
        <v>1671</v>
      </c>
      <c r="B50" t="s">
        <v>1696</v>
      </c>
      <c r="C50" t="str">
        <f t="shared" si="0"/>
        <v>KEY_LOGIC_AUTOBIAS_1.1V_LVT_D,</v>
      </c>
      <c r="I50" t="str">
        <f t="shared" si="1"/>
        <v/>
      </c>
    </row>
    <row r="51" spans="1:9">
      <c r="A51" t="s">
        <v>1678</v>
      </c>
      <c r="B51" t="s">
        <v>1684</v>
      </c>
      <c r="C51" t="str">
        <f t="shared" si="0"/>
        <v>KEY_LOGIC_SUITE_S,</v>
      </c>
      <c r="I51" t="str">
        <f t="shared" si="1"/>
        <v/>
      </c>
    </row>
    <row r="52" spans="1:9">
      <c r="A52" t="s">
        <v>1680</v>
      </c>
      <c r="B52" t="s">
        <v>1687</v>
      </c>
      <c r="C52" t="str">
        <f>B52</f>
        <v>KEY_LOGIC_SUITE_D</v>
      </c>
      <c r="I52" t="str">
        <f t="shared" si="1"/>
        <v/>
      </c>
    </row>
    <row r="53" spans="1:9">
      <c r="A53" s="169" t="s">
        <v>1619</v>
      </c>
      <c r="I53" t="str">
        <f t="shared" si="1"/>
        <v/>
      </c>
    </row>
    <row r="54" spans="1:9">
      <c r="A54" s="169" t="s">
        <v>1673</v>
      </c>
      <c r="I54" t="str">
        <f t="shared" si="1"/>
        <v/>
      </c>
    </row>
    <row r="55" spans="1:9">
      <c r="A55" s="169" t="s">
        <v>1622</v>
      </c>
      <c r="I55" t="str">
        <f t="shared" si="1"/>
        <v/>
      </c>
    </row>
    <row r="56" spans="1:9">
      <c r="A56" s="169" t="s">
        <v>1675</v>
      </c>
      <c r="I56" t="str">
        <f t="shared" si="1"/>
        <v/>
      </c>
    </row>
    <row r="57" spans="1:9">
      <c r="A57" t="s">
        <v>1646</v>
      </c>
      <c r="I57" t="str">
        <f t="shared" si="1"/>
        <v/>
      </c>
    </row>
    <row r="58" spans="1:9">
      <c r="A58" t="s">
        <v>1677</v>
      </c>
      <c r="I58" t="str">
        <f t="shared" si="1"/>
        <v/>
      </c>
    </row>
    <row r="59" spans="1:9">
      <c r="A59" t="s">
        <v>1693</v>
      </c>
      <c r="I59" t="str">
        <f t="shared" si="1"/>
        <v/>
      </c>
    </row>
    <row r="60" spans="1:9">
      <c r="A60" t="s">
        <v>1694</v>
      </c>
      <c r="I60" t="str">
        <f t="shared" si="1"/>
        <v/>
      </c>
    </row>
    <row r="61" spans="1:9">
      <c r="A61" t="s">
        <v>1695</v>
      </c>
      <c r="I61" t="str">
        <f t="shared" si="1"/>
        <v/>
      </c>
    </row>
    <row r="62" spans="1:9">
      <c r="A62" t="s">
        <v>1696</v>
      </c>
      <c r="I62" t="str">
        <f t="shared" si="1"/>
        <v/>
      </c>
    </row>
    <row r="63" spans="1:9">
      <c r="A63" t="s">
        <v>1649</v>
      </c>
      <c r="I63" t="str">
        <f t="shared" si="1"/>
        <v/>
      </c>
    </row>
    <row r="64" spans="1:9">
      <c r="A64" t="s">
        <v>1679</v>
      </c>
      <c r="I64" t="str">
        <f t="shared" si="1"/>
        <v/>
      </c>
    </row>
    <row r="65" spans="1:9">
      <c r="A65" t="s">
        <v>1650</v>
      </c>
      <c r="I65" t="str">
        <f t="shared" si="1"/>
        <v/>
      </c>
    </row>
    <row r="66" spans="1:9">
      <c r="A66" t="s">
        <v>1681</v>
      </c>
      <c r="I66" t="str">
        <f t="shared" si="1"/>
        <v/>
      </c>
    </row>
    <row r="67" spans="1:9">
      <c r="A67" t="s">
        <v>1684</v>
      </c>
      <c r="I67" t="str">
        <f t="shared" si="1"/>
        <v/>
      </c>
    </row>
    <row r="68" spans="1:9">
      <c r="A68" t="s">
        <v>1687</v>
      </c>
      <c r="I68" t="str">
        <f t="shared" si="1"/>
        <v/>
      </c>
    </row>
    <row r="69" spans="1:9">
      <c r="I69" t="str">
        <f t="shared" si="1"/>
        <v/>
      </c>
    </row>
    <row r="70" spans="1:9">
      <c r="I70" t="str">
        <f t="shared" ref="I70" si="3">G70&amp;H70</f>
        <v/>
      </c>
    </row>
    <row r="71" spans="1:9">
      <c r="C71" t="str">
        <f>CONCATENATE("KEY_LOGIC_TOPEX,","KEY_LOGIC_DEFECT,","KEY_LOGIC_WORKING_S,","KEY_LOGIC_WORKING_D,","KEY_LOGIC_LINEAR_S,","KEY_LOGIC_LINEAR_D,","KEY_LOGIC_0.65V_S,","KEY_LOGIC_0.65V_D,","KEY_LOGIC_ID+VT_0.65V_S,","KEY_LOGIC_ID+VT_0.65V_D,","KEY_LOGIC_X_0.65V_S,","KEY_LOGIC_X_0.65V_D,","KEY_LOGIC_GM_RO_S,","KEY_LOGIC_GM_RO_D,","KEY_LOGIC_BASIC_S,","KEY_LOGIC_BASIC_D,","KEY_LOGIC_SLIM_S,","KEY_LOGIC_SLIM_D,","KEY_LOGIC_VGNA_LLE_S,","KEY_LOGIC_VGNA_LLE_D,","KEY_LOGIC_VGNA_LVT_S,","KEY_LOGIC_VGNA_LVT_D,","KEY_LOGIC_VGNA_LLE_SLIM_S,","KEY_LOGIC_VGNA_LLE_SLIM_D,","KEY_LOGIC_AUTOBIAS_0.65V_LLE_S,","KEY_LOGIC_AUTOBIAS_0.65V_LLE_D,","KEY_LOGIC_AUTOBIAS_0.65V_LVT_S,","KEY_LOGIC_AUTOBIAS_0.65V_LVT_D,","KEY_LOGIC_AUTOBIAS_0.65V_LLE_SLIM_S,","KEY_LOGIC_AUTOBIAS_0.65V_LLE_SLIM_D,","KEY_LOGIC_0.95V_TRIM_S,","KEY_LOGIC_0.95V_TRIM_D,","KEY_LOGIC_AUTOBIAS_0.95V_LLE_S,","KEY_LOGIC_AUTOBIAS_0.95V_LLE_D,","KEY_LOGIC_AUTOBIAS_0.95V_LVT_S,","KEY_LOGIC_AUTOBIAS_0.95V_LVT_D,","KEY_LOGIC_AUTOBIAS_0.95V_LLE_SLIM_S,","KEY_LOGIC_AUTOBIAS_0.95V_LLE_SLIM_D,","KEY_LOGIC_1.1V_S,","KEY_LOGIC_1.1V_D,","KEY_LOGIC_ID+VT_1.1V_S,","KEY_LOGIC_ID+VT_1.1V_D,","KEY_LOGIC_1.1V_TRIM_S,","KEY_LOGIC_1.1V_TRIM_D,","KEY_LOGIC_AUTOBIAS_1.1V_LLE_S,","KEY_LOGIC_AUTOBIAS_1.1V_LLE_D,","KEY_LOGIC_AUTOBIAS_1.1V_LVT_S,","KEY_LOGIC_AUTOBIAS_1.1V_LVT_D,","KEY_LOGIC_SUITE_S,","KEY_LOGIC_SUITE_D")</f>
        <v>KEY_LOGIC_TOPEX,KEY_LOGIC_DEFECT,KEY_LOGIC_WORKING_S,KEY_LOGIC_WORKING_D,KEY_LOGIC_LINEAR_S,KEY_LOGIC_LINEAR_D,KEY_LOGIC_0.65V_S,KEY_LOGIC_0.65V_D,KEY_LOGIC_ID+VT_0.65V_S,KEY_LOGIC_ID+VT_0.65V_D,KEY_LOGIC_X_0.65V_S,KEY_LOGIC_X_0.65V_D,KEY_LOGIC_GM_RO_S,KEY_LOGIC_GM_RO_D,KEY_LOGIC_BASIC_S,KEY_LOGIC_BASIC_D,KEY_LOGIC_SLIM_S,KEY_LOGIC_SLIM_D,KEY_LOGIC_VGNA_LLE_S,KEY_LOGIC_VGNA_LLE_D,KEY_LOGIC_VGNA_LVT_S,KEY_LOGIC_VGNA_LVT_D,KEY_LOGIC_VGNA_LLE_SLIM_S,KEY_LOGIC_VGNA_LLE_SLIM_D,KEY_LOGIC_AUTOBIAS_0.65V_LLE_S,KEY_LOGIC_AUTOBIAS_0.65V_LLE_D,KEY_LOGIC_AUTOBIAS_0.65V_LVT_S,KEY_LOGIC_AUTOBIAS_0.65V_LVT_D,KEY_LOGIC_AUTOBIAS_0.65V_LLE_SLIM_S,KEY_LOGIC_AUTOBIAS_0.65V_LLE_SLIM_D,KEY_LOGIC_0.95V_TRIM_S,KEY_LOGIC_0.95V_TRIM_D,KEY_LOGIC_AUTOBIAS_0.95V_LLE_S,KEY_LOGIC_AUTOBIAS_0.95V_LLE_D,KEY_LOGIC_AUTOBIAS_0.95V_LVT_S,KEY_LOGIC_AUTOBIAS_0.95V_LVT_D,KEY_LOGIC_AUTOBIAS_0.95V_LLE_SLIM_S,KEY_LOGIC_AUTOBIAS_0.95V_LLE_SLIM_D,KEY_LOGIC_1.1V_S,KEY_LOGIC_1.1V_D,KEY_LOGIC_ID+VT_1.1V_S,KEY_LOGIC_ID+VT_1.1V_D,KEY_LOGIC_1.1V_TRIM_S,KEY_LOGIC_1.1V_TRIM_D,KEY_LOGIC_AUTOBIAS_1.1V_LLE_S,KEY_LOGIC_AUTOBIAS_1.1V_LLE_D,KEY_LOGIC_AUTOBIAS_1.1V_LVT_S,KEY_LOGIC_AUTOBIAS_1.1V_LVT_D,KEY_LOGIC_SUITE_S,KEY_LOGIC_SUITE_D</v>
      </c>
    </row>
    <row r="72" spans="1:9">
      <c r="C72" t="s">
        <v>1741</v>
      </c>
    </row>
  </sheetData>
  <autoFilter ref="A2:N87" xr:uid="{527E7915-4203-4F2F-A9E7-D508A7E34B59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FE8F-FCEE-41FC-BA0A-667706C52678}">
  <dimension ref="A1:W541"/>
  <sheetViews>
    <sheetView zoomScale="90" zoomScaleNormal="90" workbookViewId="0">
      <pane ySplit="1" topLeftCell="A77" activePane="bottomLeft" state="frozen"/>
      <selection pane="bottomLeft" activeCell="B113" sqref="B113"/>
    </sheetView>
  </sheetViews>
  <sheetFormatPr defaultColWidth="9.140625" defaultRowHeight="14.25"/>
  <cols>
    <col min="1" max="1" width="24.42578125" customWidth="1"/>
    <col min="2" max="2" width="29.42578125" bestFit="1" customWidth="1"/>
    <col min="3" max="3" width="21.85546875" customWidth="1"/>
    <col min="4" max="4" width="8.42578125" customWidth="1"/>
    <col min="5" max="5" width="7" customWidth="1"/>
    <col min="6" max="6" width="18.42578125" style="3" bestFit="1" customWidth="1"/>
    <col min="7" max="7" width="19.42578125" style="3" customWidth="1"/>
    <col min="8" max="8" width="14.85546875" style="3" bestFit="1" customWidth="1"/>
    <col min="9" max="9" width="15.140625" style="3" bestFit="1" customWidth="1"/>
    <col min="10" max="10" width="18.42578125" style="3" customWidth="1"/>
    <col min="11" max="11" width="15.85546875" style="3" customWidth="1"/>
    <col min="12" max="13" width="13.5703125" style="3" bestFit="1" customWidth="1"/>
    <col min="14" max="17" width="9.5703125" customWidth="1"/>
    <col min="18" max="19" width="9.42578125" customWidth="1"/>
    <col min="20" max="20" width="4.42578125" bestFit="1" customWidth="1"/>
    <col min="21" max="21" width="5" bestFit="1" customWidth="1"/>
    <col min="22" max="22" width="8.42578125" bestFit="1" customWidth="1"/>
    <col min="23" max="23" width="8.140625" bestFit="1" customWidth="1"/>
  </cols>
  <sheetData>
    <row r="1" spans="1:17">
      <c r="A1" s="24" t="s">
        <v>149</v>
      </c>
      <c r="B1" s="24" t="s">
        <v>150</v>
      </c>
      <c r="C1" s="28" t="s">
        <v>151</v>
      </c>
      <c r="D1" s="28" t="s">
        <v>477</v>
      </c>
      <c r="F1" s="303" t="s">
        <v>1016</v>
      </c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5"/>
    </row>
    <row r="2" spans="1:17">
      <c r="E2" s="4"/>
      <c r="F2" s="130" t="s">
        <v>1017</v>
      </c>
      <c r="G2" s="130" t="s">
        <v>1018</v>
      </c>
    </row>
    <row r="3" spans="1:17">
      <c r="A3" s="7" t="s">
        <v>134</v>
      </c>
      <c r="B3" s="7" t="s">
        <v>134</v>
      </c>
      <c r="C3" s="25" t="s">
        <v>152</v>
      </c>
      <c r="D3" s="1"/>
      <c r="E3" s="6"/>
      <c r="F3" s="67" t="s">
        <v>153</v>
      </c>
      <c r="G3" s="67" t="s">
        <v>154</v>
      </c>
    </row>
    <row r="5" spans="1:17">
      <c r="E5" s="4"/>
      <c r="F5" s="23" t="s">
        <v>155</v>
      </c>
      <c r="G5" s="23" t="s">
        <v>156</v>
      </c>
    </row>
    <row r="6" spans="1:17">
      <c r="A6" s="7" t="s">
        <v>157</v>
      </c>
      <c r="B6" s="7" t="s">
        <v>157</v>
      </c>
      <c r="C6" s="25" t="s">
        <v>158</v>
      </c>
      <c r="D6" s="1"/>
      <c r="E6" s="6"/>
      <c r="F6" s="67" t="s">
        <v>153</v>
      </c>
      <c r="G6" s="67" t="s">
        <v>154</v>
      </c>
    </row>
    <row r="8" spans="1:17">
      <c r="F8" s="44" t="s">
        <v>47</v>
      </c>
      <c r="G8" s="44" t="s">
        <v>48</v>
      </c>
      <c r="H8" s="44" t="s">
        <v>49</v>
      </c>
      <c r="I8" s="44" t="s">
        <v>50</v>
      </c>
      <c r="J8" s="44" t="s">
        <v>51</v>
      </c>
      <c r="K8" s="44" t="s">
        <v>52</v>
      </c>
      <c r="L8" s="44" t="s">
        <v>53</v>
      </c>
      <c r="M8" s="44" t="s">
        <v>54</v>
      </c>
    </row>
    <row r="9" spans="1:17">
      <c r="A9" s="284" t="s">
        <v>159</v>
      </c>
      <c r="B9" s="7" t="s">
        <v>160</v>
      </c>
      <c r="C9" s="26" t="s">
        <v>161</v>
      </c>
      <c r="D9" s="34"/>
      <c r="F9" s="2" t="s">
        <v>153</v>
      </c>
      <c r="L9" s="2" t="s">
        <v>162</v>
      </c>
    </row>
    <row r="10" spans="1:17">
      <c r="A10" s="284"/>
      <c r="B10" s="7" t="s">
        <v>163</v>
      </c>
      <c r="C10" s="26" t="s">
        <v>164</v>
      </c>
      <c r="D10" s="34"/>
      <c r="F10" s="2" t="s">
        <v>153</v>
      </c>
      <c r="I10" s="2" t="s">
        <v>162</v>
      </c>
    </row>
    <row r="11" spans="1:17">
      <c r="A11" s="284"/>
      <c r="B11" s="7" t="s">
        <v>165</v>
      </c>
      <c r="C11" s="26" t="s">
        <v>166</v>
      </c>
      <c r="D11" s="34"/>
      <c r="I11" s="2" t="s">
        <v>162</v>
      </c>
      <c r="L11" s="2" t="s">
        <v>153</v>
      </c>
    </row>
    <row r="12" spans="1:17">
      <c r="A12" s="284" t="s">
        <v>167</v>
      </c>
      <c r="B12" s="7" t="s">
        <v>168</v>
      </c>
      <c r="C12" s="26" t="s">
        <v>169</v>
      </c>
      <c r="D12" s="34"/>
      <c r="H12" s="2" t="s">
        <v>153</v>
      </c>
      <c r="J12" s="2" t="s">
        <v>162</v>
      </c>
    </row>
    <row r="13" spans="1:17">
      <c r="A13" s="284"/>
      <c r="B13" s="7" t="s">
        <v>170</v>
      </c>
      <c r="C13" s="26" t="s">
        <v>171</v>
      </c>
      <c r="D13" s="34"/>
      <c r="F13" s="2" t="s">
        <v>162</v>
      </c>
      <c r="H13" s="2" t="s">
        <v>153</v>
      </c>
    </row>
    <row r="14" spans="1:17">
      <c r="A14" s="284"/>
      <c r="B14" s="7" t="s">
        <v>172</v>
      </c>
      <c r="C14" s="26" t="s">
        <v>173</v>
      </c>
      <c r="D14" s="34"/>
      <c r="F14" s="2" t="s">
        <v>162</v>
      </c>
      <c r="J14" s="2" t="s">
        <v>153</v>
      </c>
    </row>
    <row r="15" spans="1:17">
      <c r="A15" s="284" t="s">
        <v>174</v>
      </c>
      <c r="B15" s="7" t="s">
        <v>175</v>
      </c>
      <c r="C15" s="26" t="s">
        <v>176</v>
      </c>
      <c r="D15" s="34"/>
      <c r="F15" s="2" t="s">
        <v>162</v>
      </c>
      <c r="M15" s="2" t="s">
        <v>153</v>
      </c>
    </row>
    <row r="16" spans="1:17">
      <c r="A16" s="284"/>
      <c r="B16" s="7" t="s">
        <v>177</v>
      </c>
      <c r="C16" s="26" t="s">
        <v>178</v>
      </c>
      <c r="D16" s="34"/>
      <c r="I16" s="2" t="s">
        <v>162</v>
      </c>
      <c r="M16" s="2" t="s">
        <v>153</v>
      </c>
    </row>
    <row r="17" spans="1:23">
      <c r="A17" s="284"/>
      <c r="B17" s="7" t="s">
        <v>179</v>
      </c>
      <c r="C17" s="26" t="s">
        <v>180</v>
      </c>
      <c r="D17" s="34"/>
      <c r="F17" s="2" t="s">
        <v>153</v>
      </c>
      <c r="I17" s="2" t="s">
        <v>162</v>
      </c>
    </row>
    <row r="19" spans="1:23">
      <c r="E19" s="4"/>
      <c r="F19" s="23" t="s">
        <v>9</v>
      </c>
      <c r="G19" s="23" t="s">
        <v>25</v>
      </c>
    </row>
    <row r="20" spans="1:23">
      <c r="A20" s="7" t="s">
        <v>181</v>
      </c>
      <c r="B20" s="7" t="s">
        <v>181</v>
      </c>
      <c r="C20" s="25" t="s">
        <v>182</v>
      </c>
      <c r="D20" s="1"/>
      <c r="E20" s="6"/>
      <c r="F20" s="67" t="s">
        <v>153</v>
      </c>
      <c r="G20" s="67" t="s">
        <v>154</v>
      </c>
    </row>
    <row r="22" spans="1:23">
      <c r="E22" s="4"/>
      <c r="F22" s="23" t="s">
        <v>49</v>
      </c>
      <c r="G22" s="23" t="s">
        <v>48</v>
      </c>
    </row>
    <row r="23" spans="1:23">
      <c r="A23" s="7" t="s">
        <v>183</v>
      </c>
      <c r="B23" s="7" t="s">
        <v>183</v>
      </c>
      <c r="C23" s="25" t="s">
        <v>182</v>
      </c>
      <c r="D23" s="1"/>
      <c r="E23" s="6"/>
      <c r="F23" s="67" t="s">
        <v>153</v>
      </c>
      <c r="G23" s="67" t="s">
        <v>154</v>
      </c>
    </row>
    <row r="25" spans="1:23">
      <c r="E25" s="4"/>
      <c r="F25" s="44" t="s">
        <v>184</v>
      </c>
      <c r="G25" s="23" t="s">
        <v>93</v>
      </c>
    </row>
    <row r="26" spans="1:23">
      <c r="A26" s="7" t="s">
        <v>185</v>
      </c>
      <c r="B26" s="7" t="s">
        <v>185</v>
      </c>
      <c r="C26" s="25" t="s">
        <v>158</v>
      </c>
      <c r="D26" s="1"/>
      <c r="E26" s="6"/>
      <c r="F26" s="67" t="s">
        <v>153</v>
      </c>
      <c r="G26" s="67" t="s">
        <v>154</v>
      </c>
    </row>
    <row r="28" spans="1:23" s="3" customFormat="1">
      <c r="A28"/>
      <c r="B28"/>
      <c r="C28"/>
      <c r="D28"/>
      <c r="E28" s="4"/>
      <c r="F28" s="23" t="s">
        <v>10</v>
      </c>
      <c r="G28" s="23" t="s">
        <v>9</v>
      </c>
      <c r="H28" s="23" t="s">
        <v>88</v>
      </c>
      <c r="N28"/>
      <c r="O28"/>
      <c r="P28"/>
      <c r="Q28"/>
      <c r="R28"/>
      <c r="S28"/>
      <c r="T28"/>
      <c r="U28"/>
      <c r="V28"/>
      <c r="W28"/>
    </row>
    <row r="29" spans="1:23" s="3" customFormat="1">
      <c r="A29" s="7" t="s">
        <v>186</v>
      </c>
      <c r="B29" s="7" t="s">
        <v>186</v>
      </c>
      <c r="C29" s="25" t="s">
        <v>187</v>
      </c>
      <c r="D29" s="1"/>
      <c r="E29" s="6"/>
      <c r="F29" s="67" t="s">
        <v>153</v>
      </c>
      <c r="G29" s="67" t="s">
        <v>154</v>
      </c>
      <c r="H29" s="67" t="s">
        <v>188</v>
      </c>
      <c r="N29"/>
      <c r="O29"/>
      <c r="P29"/>
      <c r="Q29"/>
      <c r="R29"/>
      <c r="S29"/>
      <c r="T29"/>
      <c r="U29"/>
      <c r="V29"/>
      <c r="W29"/>
    </row>
    <row r="31" spans="1:23" s="3" customFormat="1">
      <c r="A31"/>
      <c r="B31"/>
      <c r="C31"/>
      <c r="D31"/>
      <c r="E31" s="4"/>
      <c r="F31" s="23" t="s">
        <v>155</v>
      </c>
      <c r="G31" s="23" t="s">
        <v>156</v>
      </c>
      <c r="H31" s="23" t="s">
        <v>24</v>
      </c>
      <c r="I31" s="23" t="s">
        <v>25</v>
      </c>
      <c r="N31"/>
      <c r="O31"/>
      <c r="P31"/>
      <c r="Q31"/>
      <c r="R31"/>
      <c r="S31"/>
      <c r="T31"/>
      <c r="U31"/>
      <c r="V31"/>
      <c r="W31"/>
    </row>
    <row r="32" spans="1:23" s="3" customFormat="1">
      <c r="A32" s="7" t="s">
        <v>189</v>
      </c>
      <c r="B32" s="7" t="s">
        <v>189</v>
      </c>
      <c r="C32" s="25" t="s">
        <v>190</v>
      </c>
      <c r="D32" s="1"/>
      <c r="E32" s="5"/>
      <c r="F32" s="2" t="s">
        <v>191</v>
      </c>
      <c r="G32" s="2" t="s">
        <v>192</v>
      </c>
      <c r="H32" s="2" t="s">
        <v>193</v>
      </c>
      <c r="I32" s="2" t="s">
        <v>162</v>
      </c>
      <c r="N32"/>
      <c r="O32"/>
      <c r="P32"/>
      <c r="Q32"/>
      <c r="R32"/>
      <c r="S32"/>
      <c r="T32"/>
      <c r="U32"/>
      <c r="V32"/>
      <c r="W32"/>
    </row>
    <row r="34" spans="1:23" s="3" customFormat="1">
      <c r="A34"/>
      <c r="B34"/>
      <c r="C34"/>
      <c r="D34"/>
      <c r="E34" s="4"/>
      <c r="F34" s="23" t="s">
        <v>10</v>
      </c>
      <c r="G34" s="23" t="s">
        <v>24</v>
      </c>
      <c r="H34" s="23" t="s">
        <v>9</v>
      </c>
      <c r="I34" s="23" t="s">
        <v>25</v>
      </c>
      <c r="N34"/>
      <c r="O34"/>
      <c r="P34"/>
      <c r="Q34"/>
      <c r="R34"/>
      <c r="S34"/>
      <c r="T34"/>
      <c r="U34"/>
      <c r="V34"/>
      <c r="W34"/>
    </row>
    <row r="35" spans="1:23" s="3" customFormat="1">
      <c r="A35" s="7" t="s">
        <v>194</v>
      </c>
      <c r="B35" s="7" t="s">
        <v>194</v>
      </c>
      <c r="C35" s="25" t="s">
        <v>190</v>
      </c>
      <c r="D35" s="1"/>
      <c r="E35" s="5"/>
      <c r="F35" s="2" t="s">
        <v>191</v>
      </c>
      <c r="G35" s="2" t="s">
        <v>192</v>
      </c>
      <c r="H35" s="2" t="s">
        <v>193</v>
      </c>
      <c r="I35" s="2" t="s">
        <v>162</v>
      </c>
      <c r="N35"/>
      <c r="O35"/>
      <c r="P35"/>
      <c r="Q35"/>
      <c r="R35"/>
      <c r="S35"/>
      <c r="T35"/>
      <c r="U35"/>
      <c r="V35"/>
      <c r="W35"/>
    </row>
    <row r="37" spans="1:23" s="3" customFormat="1">
      <c r="A37"/>
      <c r="B37"/>
      <c r="C37"/>
      <c r="D37"/>
      <c r="E37" s="4"/>
      <c r="F37" s="23" t="s">
        <v>155</v>
      </c>
      <c r="G37" s="23" t="s">
        <v>156</v>
      </c>
      <c r="H37" s="23" t="s">
        <v>24</v>
      </c>
      <c r="I37" s="23" t="s">
        <v>25</v>
      </c>
      <c r="J37" s="23" t="s">
        <v>83</v>
      </c>
      <c r="N37"/>
      <c r="O37"/>
      <c r="P37"/>
      <c r="Q37"/>
      <c r="R37"/>
      <c r="S37"/>
      <c r="T37"/>
      <c r="U37"/>
      <c r="V37"/>
      <c r="W37"/>
    </row>
    <row r="38" spans="1:23" s="3" customFormat="1">
      <c r="A38" s="7" t="s">
        <v>195</v>
      </c>
      <c r="B38" s="7" t="s">
        <v>195</v>
      </c>
      <c r="C38" s="25" t="s">
        <v>196</v>
      </c>
      <c r="D38" s="1"/>
      <c r="E38" s="5"/>
      <c r="F38" s="2" t="s">
        <v>191</v>
      </c>
      <c r="G38" s="2" t="s">
        <v>192</v>
      </c>
      <c r="H38" s="2" t="s">
        <v>193</v>
      </c>
      <c r="I38" s="2" t="s">
        <v>162</v>
      </c>
      <c r="J38" s="2" t="s">
        <v>188</v>
      </c>
      <c r="N38"/>
      <c r="O38"/>
      <c r="P38"/>
      <c r="Q38"/>
      <c r="R38"/>
      <c r="S38"/>
      <c r="T38"/>
      <c r="U38"/>
      <c r="V38"/>
      <c r="W38"/>
    </row>
    <row r="40" spans="1:23">
      <c r="F40" s="44" t="s">
        <v>47</v>
      </c>
      <c r="G40" s="44" t="s">
        <v>48</v>
      </c>
      <c r="H40" s="44" t="s">
        <v>49</v>
      </c>
      <c r="I40" s="44" t="s">
        <v>50</v>
      </c>
      <c r="J40" s="44" t="s">
        <v>51</v>
      </c>
      <c r="K40" s="44" t="s">
        <v>52</v>
      </c>
      <c r="L40" s="44" t="s">
        <v>53</v>
      </c>
      <c r="M40" s="44" t="s">
        <v>54</v>
      </c>
    </row>
    <row r="41" spans="1:23">
      <c r="A41" s="7" t="s">
        <v>197</v>
      </c>
      <c r="B41" s="7" t="s">
        <v>197</v>
      </c>
      <c r="C41" s="25" t="s">
        <v>190</v>
      </c>
      <c r="D41" s="1"/>
      <c r="E41" s="5"/>
      <c r="F41" s="2" t="s">
        <v>162</v>
      </c>
      <c r="G41" s="2" t="s">
        <v>192</v>
      </c>
      <c r="H41" s="2" t="s">
        <v>191</v>
      </c>
      <c r="I41" s="2" t="s">
        <v>193</v>
      </c>
    </row>
    <row r="43" spans="1:23">
      <c r="F43" s="44" t="s">
        <v>47</v>
      </c>
      <c r="G43" s="44" t="s">
        <v>48</v>
      </c>
      <c r="H43" s="44" t="s">
        <v>49</v>
      </c>
      <c r="I43" s="44" t="s">
        <v>50</v>
      </c>
      <c r="J43" s="44" t="s">
        <v>1019</v>
      </c>
      <c r="K43" s="44" t="s">
        <v>1020</v>
      </c>
    </row>
    <row r="44" spans="1:23">
      <c r="A44" s="301" t="s">
        <v>1021</v>
      </c>
      <c r="B44" s="301" t="s">
        <v>1021</v>
      </c>
      <c r="C44" s="25" t="s">
        <v>1022</v>
      </c>
      <c r="D44" s="60" t="s">
        <v>1023</v>
      </c>
      <c r="F44" s="2" t="s">
        <v>1024</v>
      </c>
      <c r="G44" s="2" t="s">
        <v>193</v>
      </c>
      <c r="H44" s="2" t="s">
        <v>162</v>
      </c>
      <c r="I44" s="2"/>
      <c r="J44" s="2" t="s">
        <v>1025</v>
      </c>
      <c r="K44" s="2" t="s">
        <v>1025</v>
      </c>
    </row>
    <row r="45" spans="1:23">
      <c r="A45" s="301"/>
      <c r="B45" s="301"/>
      <c r="C45" s="25" t="s">
        <v>1026</v>
      </c>
      <c r="D45" s="60" t="s">
        <v>1027</v>
      </c>
    </row>
    <row r="46" spans="1:23">
      <c r="A46" s="301" t="s">
        <v>1028</v>
      </c>
      <c r="B46" s="301" t="s">
        <v>1028</v>
      </c>
      <c r="C46" s="25" t="s">
        <v>1022</v>
      </c>
      <c r="D46" s="60" t="s">
        <v>1029</v>
      </c>
      <c r="F46" s="2"/>
      <c r="G46" s="2" t="s">
        <v>193</v>
      </c>
      <c r="H46" s="2" t="s">
        <v>162</v>
      </c>
      <c r="I46" s="2" t="s">
        <v>1024</v>
      </c>
      <c r="J46" s="2" t="s">
        <v>1025</v>
      </c>
      <c r="K46" s="2" t="s">
        <v>1025</v>
      </c>
    </row>
    <row r="47" spans="1:23">
      <c r="A47" s="301"/>
      <c r="B47" s="301"/>
      <c r="C47" s="25" t="s">
        <v>1026</v>
      </c>
      <c r="D47" s="60" t="s">
        <v>1030</v>
      </c>
    </row>
    <row r="48" spans="1:23">
      <c r="A48" s="15"/>
      <c r="B48" s="15"/>
      <c r="C48" s="1"/>
      <c r="D48" s="60"/>
    </row>
    <row r="49" spans="1:17">
      <c r="F49" s="44" t="s">
        <v>199</v>
      </c>
      <c r="G49" s="44" t="s">
        <v>200</v>
      </c>
      <c r="H49" s="44" t="s">
        <v>201</v>
      </c>
      <c r="I49" s="44" t="s">
        <v>202</v>
      </c>
      <c r="N49" s="3"/>
      <c r="O49" s="3"/>
      <c r="P49" s="3"/>
      <c r="Q49" s="3"/>
    </row>
    <row r="50" spans="1:17">
      <c r="A50" s="37" t="s">
        <v>203</v>
      </c>
      <c r="B50" s="37" t="s">
        <v>203</v>
      </c>
      <c r="C50" s="17" t="s">
        <v>204</v>
      </c>
      <c r="D50" s="36" t="s">
        <v>205</v>
      </c>
      <c r="F50" s="2" t="s">
        <v>193</v>
      </c>
      <c r="G50" s="39" t="s">
        <v>162</v>
      </c>
      <c r="H50" s="2" t="s">
        <v>191</v>
      </c>
      <c r="I50" s="2" t="s">
        <v>206</v>
      </c>
      <c r="N50" s="3"/>
      <c r="O50" s="3"/>
      <c r="P50" s="3"/>
      <c r="Q50" s="3"/>
    </row>
    <row r="52" spans="1:17">
      <c r="F52" s="44" t="s">
        <v>47</v>
      </c>
      <c r="G52" s="44" t="s">
        <v>48</v>
      </c>
      <c r="H52" s="44" t="s">
        <v>49</v>
      </c>
      <c r="I52" s="44" t="s">
        <v>50</v>
      </c>
      <c r="J52" s="44" t="s">
        <v>51</v>
      </c>
      <c r="K52" s="44" t="s">
        <v>52</v>
      </c>
      <c r="L52" s="44" t="s">
        <v>53</v>
      </c>
      <c r="M52" s="44" t="s">
        <v>54</v>
      </c>
    </row>
    <row r="53" spans="1:17">
      <c r="A53" s="284" t="s">
        <v>207</v>
      </c>
      <c r="B53" s="7" t="s">
        <v>208</v>
      </c>
      <c r="C53" s="25" t="s">
        <v>209</v>
      </c>
      <c r="D53" s="1"/>
      <c r="E53" s="5"/>
      <c r="F53" s="2" t="s">
        <v>162</v>
      </c>
      <c r="I53" s="2" t="s">
        <v>193</v>
      </c>
      <c r="J53" s="2" t="s">
        <v>191</v>
      </c>
      <c r="M53" s="2" t="s">
        <v>192</v>
      </c>
    </row>
    <row r="54" spans="1:17">
      <c r="A54" s="284"/>
      <c r="B54" s="7" t="s">
        <v>210</v>
      </c>
      <c r="C54" s="25" t="s">
        <v>211</v>
      </c>
      <c r="D54" s="1"/>
      <c r="E54" s="5"/>
      <c r="G54" s="2" t="s">
        <v>162</v>
      </c>
      <c r="H54" s="2" t="s">
        <v>193</v>
      </c>
      <c r="K54" s="2" t="s">
        <v>191</v>
      </c>
      <c r="L54" s="2" t="s">
        <v>192</v>
      </c>
    </row>
    <row r="55" spans="1:17">
      <c r="A55" s="284" t="s">
        <v>212</v>
      </c>
      <c r="B55" s="7" t="s">
        <v>213</v>
      </c>
      <c r="C55" s="26" t="s">
        <v>214</v>
      </c>
      <c r="D55" s="34"/>
      <c r="F55" s="2" t="s">
        <v>193</v>
      </c>
      <c r="G55" s="2" t="s">
        <v>192</v>
      </c>
      <c r="L55" s="2" t="s">
        <v>162</v>
      </c>
      <c r="M55" s="2" t="s">
        <v>191</v>
      </c>
    </row>
    <row r="56" spans="1:17">
      <c r="A56" s="284"/>
      <c r="B56" s="7" t="s">
        <v>215</v>
      </c>
      <c r="C56" s="26" t="s">
        <v>216</v>
      </c>
      <c r="D56" s="34"/>
      <c r="F56" s="2" t="s">
        <v>193</v>
      </c>
      <c r="H56" s="2" t="s">
        <v>192</v>
      </c>
      <c r="I56" s="2" t="s">
        <v>162</v>
      </c>
      <c r="M56" s="2" t="s">
        <v>191</v>
      </c>
    </row>
    <row r="57" spans="1:17">
      <c r="A57" s="284"/>
      <c r="B57" s="7" t="s">
        <v>217</v>
      </c>
      <c r="C57" s="26" t="s">
        <v>218</v>
      </c>
      <c r="D57" s="34"/>
      <c r="G57" s="2" t="s">
        <v>191</v>
      </c>
      <c r="H57" s="2" t="s">
        <v>192</v>
      </c>
      <c r="I57" s="2" t="s">
        <v>162</v>
      </c>
      <c r="L57" s="2" t="s">
        <v>193</v>
      </c>
    </row>
    <row r="58" spans="1:17">
      <c r="A58" s="284" t="s">
        <v>219</v>
      </c>
      <c r="B58" s="7" t="s">
        <v>220</v>
      </c>
      <c r="C58" s="26" t="s">
        <v>221</v>
      </c>
      <c r="D58" s="34"/>
      <c r="H58" s="2" t="s">
        <v>193</v>
      </c>
      <c r="I58" s="2" t="s">
        <v>192</v>
      </c>
      <c r="J58" s="2" t="s">
        <v>162</v>
      </c>
      <c r="K58" s="2" t="s">
        <v>191</v>
      </c>
    </row>
    <row r="59" spans="1:17">
      <c r="A59" s="284"/>
      <c r="B59" s="7" t="s">
        <v>222</v>
      </c>
      <c r="C59" s="26" t="s">
        <v>223</v>
      </c>
      <c r="D59" s="34"/>
      <c r="F59" s="2" t="s">
        <v>162</v>
      </c>
      <c r="G59" s="2" t="s">
        <v>192</v>
      </c>
      <c r="H59" s="2" t="s">
        <v>193</v>
      </c>
      <c r="K59" s="2" t="s">
        <v>191</v>
      </c>
    </row>
    <row r="60" spans="1:17">
      <c r="A60" s="284"/>
      <c r="B60" s="7" t="s">
        <v>224</v>
      </c>
      <c r="C60" s="26" t="s">
        <v>225</v>
      </c>
      <c r="D60" s="34"/>
      <c r="F60" s="2" t="s">
        <v>162</v>
      </c>
      <c r="G60" s="2" t="s">
        <v>192</v>
      </c>
      <c r="I60" s="2" t="s">
        <v>191</v>
      </c>
      <c r="J60" s="2" t="s">
        <v>193</v>
      </c>
    </row>
    <row r="61" spans="1:17">
      <c r="A61" s="284" t="s">
        <v>226</v>
      </c>
      <c r="B61" s="7" t="s">
        <v>227</v>
      </c>
      <c r="C61" s="26" t="s">
        <v>228</v>
      </c>
      <c r="D61" s="34"/>
      <c r="F61" s="2" t="s">
        <v>162</v>
      </c>
      <c r="G61" s="2" t="s">
        <v>192</v>
      </c>
      <c r="L61" s="2" t="s">
        <v>191</v>
      </c>
      <c r="M61" s="2" t="s">
        <v>193</v>
      </c>
    </row>
    <row r="62" spans="1:17">
      <c r="A62" s="284"/>
      <c r="B62" s="7" t="s">
        <v>229</v>
      </c>
      <c r="C62" s="26" t="s">
        <v>230</v>
      </c>
      <c r="D62" s="34"/>
      <c r="H62" s="2" t="s">
        <v>192</v>
      </c>
      <c r="I62" s="2" t="s">
        <v>162</v>
      </c>
      <c r="L62" s="2" t="s">
        <v>191</v>
      </c>
      <c r="M62" s="2" t="s">
        <v>193</v>
      </c>
    </row>
    <row r="63" spans="1:17">
      <c r="A63" s="284"/>
      <c r="B63" s="7" t="s">
        <v>231</v>
      </c>
      <c r="C63" s="26" t="s">
        <v>232</v>
      </c>
      <c r="D63" s="34"/>
      <c r="F63" s="2" t="s">
        <v>193</v>
      </c>
      <c r="G63" s="2" t="s">
        <v>191</v>
      </c>
      <c r="H63" s="2" t="s">
        <v>192</v>
      </c>
      <c r="I63" s="2" t="s">
        <v>162</v>
      </c>
    </row>
    <row r="65" spans="1:23">
      <c r="F65" s="30" t="s">
        <v>10</v>
      </c>
      <c r="G65" s="30" t="s">
        <v>9</v>
      </c>
      <c r="H65" s="30" t="s">
        <v>233</v>
      </c>
      <c r="I65" s="30" t="s">
        <v>234</v>
      </c>
      <c r="J65" s="23" t="s">
        <v>16</v>
      </c>
      <c r="K65" s="23" t="s">
        <v>17</v>
      </c>
      <c r="L65" s="15"/>
      <c r="M65" s="15"/>
      <c r="N65" s="1"/>
      <c r="O65" s="1"/>
      <c r="P65" s="1"/>
      <c r="Q65" s="1"/>
      <c r="R65" s="1"/>
    </row>
    <row r="66" spans="1:23">
      <c r="A66" s="284" t="s">
        <v>235</v>
      </c>
      <c r="B66" s="65" t="s">
        <v>236</v>
      </c>
      <c r="C66" s="29" t="s">
        <v>237</v>
      </c>
      <c r="D66" s="35"/>
      <c r="F66" s="67" t="s">
        <v>238</v>
      </c>
      <c r="G66" s="67" t="s">
        <v>238</v>
      </c>
      <c r="H66" s="2" t="s">
        <v>239</v>
      </c>
      <c r="I66" s="2" t="s">
        <v>239</v>
      </c>
      <c r="J66" s="2" t="s">
        <v>239</v>
      </c>
      <c r="K66" s="2" t="s">
        <v>239</v>
      </c>
      <c r="L66" s="15"/>
      <c r="M66" s="15"/>
      <c r="N66" s="1"/>
      <c r="O66" s="1"/>
      <c r="P66" s="1"/>
      <c r="Q66" s="1"/>
      <c r="R66" s="1"/>
    </row>
    <row r="67" spans="1:23">
      <c r="A67" s="284"/>
      <c r="B67" s="8" t="s">
        <v>240</v>
      </c>
      <c r="C67" s="29" t="s">
        <v>241</v>
      </c>
      <c r="D67" s="35"/>
      <c r="F67" s="67" t="s">
        <v>238</v>
      </c>
      <c r="G67" s="67" t="s">
        <v>238</v>
      </c>
      <c r="H67" s="2" t="s">
        <v>242</v>
      </c>
      <c r="I67" s="2" t="s">
        <v>242</v>
      </c>
      <c r="J67" s="2" t="s">
        <v>242</v>
      </c>
      <c r="K67" s="2" t="s">
        <v>239</v>
      </c>
      <c r="L67" s="15"/>
      <c r="M67" s="15"/>
      <c r="N67" s="1"/>
      <c r="O67" s="1"/>
      <c r="P67" s="1"/>
      <c r="Q67" s="1"/>
      <c r="R67" s="1"/>
    </row>
    <row r="68" spans="1:23">
      <c r="A68" s="284"/>
      <c r="B68" s="8" t="s">
        <v>243</v>
      </c>
      <c r="C68" s="29" t="s">
        <v>244</v>
      </c>
      <c r="D68" s="35"/>
      <c r="F68" s="67" t="s">
        <v>238</v>
      </c>
      <c r="G68" s="67" t="s">
        <v>238</v>
      </c>
      <c r="H68" s="2" t="s">
        <v>239</v>
      </c>
      <c r="I68" s="2" t="s">
        <v>239</v>
      </c>
      <c r="J68" s="2" t="s">
        <v>242</v>
      </c>
      <c r="K68" s="2" t="s">
        <v>242</v>
      </c>
      <c r="L68" s="15"/>
      <c r="M68" s="15"/>
      <c r="N68" s="1"/>
      <c r="O68" s="1"/>
      <c r="P68" s="1"/>
      <c r="Q68" s="1"/>
      <c r="R68" s="1"/>
    </row>
    <row r="69" spans="1:23">
      <c r="A69" s="284"/>
      <c r="B69" s="8" t="s">
        <v>245</v>
      </c>
      <c r="C69" s="29" t="s">
        <v>246</v>
      </c>
      <c r="D69" s="35"/>
      <c r="F69" s="67" t="s">
        <v>238</v>
      </c>
      <c r="G69" s="67" t="s">
        <v>238</v>
      </c>
      <c r="H69" s="2" t="s">
        <v>239</v>
      </c>
      <c r="I69" s="2" t="s">
        <v>242</v>
      </c>
      <c r="J69" s="2" t="s">
        <v>242</v>
      </c>
      <c r="K69" s="2" t="s">
        <v>242</v>
      </c>
      <c r="L69" s="15"/>
      <c r="M69" s="15"/>
      <c r="N69" s="1"/>
      <c r="O69" s="1"/>
      <c r="P69" s="1"/>
      <c r="Q69" s="1"/>
      <c r="R69" s="1"/>
    </row>
    <row r="70" spans="1:23">
      <c r="A70" s="284"/>
      <c r="B70" s="8" t="s">
        <v>247</v>
      </c>
      <c r="C70" s="29" t="s">
        <v>248</v>
      </c>
      <c r="D70" s="35"/>
      <c r="F70" s="67" t="s">
        <v>238</v>
      </c>
      <c r="G70" s="67" t="s">
        <v>238</v>
      </c>
      <c r="H70" s="2" t="s">
        <v>242</v>
      </c>
      <c r="I70" s="2" t="s">
        <v>239</v>
      </c>
      <c r="J70" s="2" t="s">
        <v>242</v>
      </c>
      <c r="K70" s="2" t="s">
        <v>242</v>
      </c>
      <c r="L70" s="15"/>
      <c r="M70" s="15"/>
      <c r="N70" s="1"/>
      <c r="O70" s="1"/>
      <c r="P70" s="1"/>
      <c r="Q70" s="1"/>
      <c r="R70" s="1"/>
    </row>
    <row r="71" spans="1:23">
      <c r="A71" s="284"/>
      <c r="B71" s="8" t="s">
        <v>249</v>
      </c>
      <c r="C71" s="29" t="s">
        <v>250</v>
      </c>
      <c r="D71" s="35"/>
      <c r="F71" s="67" t="s">
        <v>238</v>
      </c>
      <c r="G71" s="67" t="s">
        <v>238</v>
      </c>
      <c r="H71" s="2" t="s">
        <v>242</v>
      </c>
      <c r="I71" s="2" t="s">
        <v>242</v>
      </c>
      <c r="J71" s="2" t="s">
        <v>239</v>
      </c>
      <c r="K71" s="2" t="s">
        <v>242</v>
      </c>
      <c r="L71" s="15"/>
      <c r="M71" s="15"/>
      <c r="N71" s="1"/>
      <c r="O71" s="1"/>
      <c r="P71" s="1"/>
      <c r="Q71" s="1"/>
      <c r="R71" s="1"/>
    </row>
    <row r="72" spans="1:23">
      <c r="A72" s="284" t="s">
        <v>251</v>
      </c>
      <c r="B72" s="8" t="s">
        <v>252</v>
      </c>
      <c r="C72" s="29" t="s">
        <v>253</v>
      </c>
      <c r="D72" s="35"/>
      <c r="F72" s="2" t="s">
        <v>153</v>
      </c>
      <c r="G72" s="2"/>
      <c r="H72" s="2" t="s">
        <v>242</v>
      </c>
      <c r="I72" s="2" t="s">
        <v>242</v>
      </c>
      <c r="J72" s="2" t="s">
        <v>242</v>
      </c>
      <c r="K72" s="2" t="s">
        <v>242</v>
      </c>
      <c r="L72" s="15"/>
      <c r="M72" s="15"/>
      <c r="N72" s="1"/>
      <c r="O72" s="1"/>
      <c r="P72" s="1"/>
      <c r="Q72" s="1"/>
      <c r="R72" s="1"/>
      <c r="S72" s="3"/>
      <c r="T72" s="3"/>
      <c r="U72" s="3"/>
      <c r="V72" s="3"/>
      <c r="W72" s="3"/>
    </row>
    <row r="73" spans="1:23">
      <c r="A73" s="284"/>
      <c r="B73" s="8" t="s">
        <v>254</v>
      </c>
      <c r="C73" s="29" t="s">
        <v>255</v>
      </c>
      <c r="D73" s="35"/>
      <c r="F73" s="2" t="s">
        <v>153</v>
      </c>
      <c r="G73" s="2"/>
      <c r="H73" s="2"/>
      <c r="I73" s="2"/>
      <c r="J73" s="2"/>
      <c r="K73" s="2" t="s">
        <v>242</v>
      </c>
      <c r="L73" s="15"/>
      <c r="M73" s="15"/>
      <c r="N73" s="1"/>
      <c r="O73" s="1"/>
      <c r="P73" s="1"/>
      <c r="Q73" s="1"/>
      <c r="R73" s="1"/>
      <c r="S73" s="3"/>
      <c r="T73" s="3"/>
      <c r="U73" s="3"/>
      <c r="V73" s="3"/>
      <c r="W73" s="3"/>
    </row>
    <row r="74" spans="1:23">
      <c r="A74" s="284"/>
      <c r="B74" s="8" t="s">
        <v>256</v>
      </c>
      <c r="C74" s="29" t="s">
        <v>257</v>
      </c>
      <c r="D74" s="35"/>
      <c r="F74" s="2" t="s">
        <v>153</v>
      </c>
      <c r="G74" s="2"/>
      <c r="H74" s="2" t="s">
        <v>242</v>
      </c>
      <c r="I74" s="2" t="s">
        <v>242</v>
      </c>
      <c r="J74" s="2"/>
      <c r="K74" s="2"/>
      <c r="L74" s="15"/>
      <c r="M74" s="15"/>
      <c r="N74" s="1"/>
      <c r="O74" s="1"/>
      <c r="P74" s="1"/>
      <c r="Q74" s="1"/>
      <c r="R74" s="1"/>
      <c r="S74" s="3"/>
      <c r="T74" s="3"/>
      <c r="U74" s="3"/>
      <c r="V74" s="3"/>
      <c r="W74" s="3"/>
    </row>
    <row r="75" spans="1:23">
      <c r="A75" s="284"/>
      <c r="B75" s="8" t="s">
        <v>258</v>
      </c>
      <c r="C75" s="29" t="s">
        <v>259</v>
      </c>
      <c r="D75" s="35"/>
      <c r="F75" s="2" t="s">
        <v>153</v>
      </c>
      <c r="G75" s="2"/>
      <c r="H75" s="2" t="s">
        <v>242</v>
      </c>
      <c r="I75" s="2"/>
      <c r="J75" s="2"/>
      <c r="K75" s="2"/>
      <c r="L75" s="15"/>
      <c r="M75" s="15"/>
      <c r="N75" s="1"/>
      <c r="O75" s="1"/>
      <c r="P75" s="1"/>
      <c r="Q75" s="1"/>
      <c r="R75" s="1"/>
      <c r="S75" s="3"/>
      <c r="T75" s="3"/>
      <c r="U75" s="3"/>
      <c r="V75" s="3"/>
      <c r="W75" s="3"/>
    </row>
    <row r="76" spans="1:23">
      <c r="A76" s="284"/>
      <c r="B76" s="8" t="s">
        <v>260</v>
      </c>
      <c r="C76" s="29" t="s">
        <v>261</v>
      </c>
      <c r="D76" s="35"/>
      <c r="F76" s="2" t="s">
        <v>153</v>
      </c>
      <c r="G76" s="2"/>
      <c r="H76" s="2"/>
      <c r="I76" s="2" t="s">
        <v>242</v>
      </c>
      <c r="J76" s="2"/>
      <c r="K76" s="2"/>
      <c r="L76" s="15"/>
      <c r="M76" s="15"/>
      <c r="N76" s="1"/>
      <c r="O76" s="1"/>
      <c r="P76" s="1"/>
      <c r="Q76" s="1"/>
      <c r="R76" s="1"/>
      <c r="S76" s="3"/>
      <c r="T76" s="3"/>
      <c r="U76" s="3"/>
      <c r="V76" s="3"/>
      <c r="W76" s="3"/>
    </row>
    <row r="77" spans="1:23">
      <c r="A77" s="284"/>
      <c r="B77" s="8" t="s">
        <v>262</v>
      </c>
      <c r="C77" s="29" t="s">
        <v>263</v>
      </c>
      <c r="D77" s="35"/>
      <c r="F77" s="2" t="s">
        <v>153</v>
      </c>
      <c r="G77" s="2"/>
      <c r="H77" s="2"/>
      <c r="I77" s="2"/>
      <c r="J77" s="2" t="s">
        <v>242</v>
      </c>
      <c r="K77" s="2"/>
      <c r="L77" s="15"/>
      <c r="M77" s="15"/>
      <c r="N77" s="1"/>
      <c r="O77" s="1"/>
      <c r="P77" s="1"/>
      <c r="Q77" s="1"/>
      <c r="R77" s="1"/>
      <c r="S77" s="3"/>
      <c r="T77" s="3"/>
      <c r="U77" s="3"/>
      <c r="V77" s="3"/>
      <c r="W77" s="3"/>
    </row>
    <row r="78" spans="1:23">
      <c r="A78" s="284"/>
      <c r="B78" s="8" t="s">
        <v>264</v>
      </c>
      <c r="C78" s="29" t="s">
        <v>265</v>
      </c>
      <c r="D78" s="35"/>
      <c r="F78" s="2"/>
      <c r="G78" s="2"/>
      <c r="H78" s="2"/>
      <c r="I78" s="2"/>
      <c r="J78" s="2" t="s">
        <v>153</v>
      </c>
      <c r="K78" s="2" t="s">
        <v>242</v>
      </c>
      <c r="L78" s="15"/>
      <c r="M78" s="15"/>
      <c r="N78" s="1"/>
      <c r="O78" s="1"/>
      <c r="P78" s="1"/>
      <c r="Q78" s="1"/>
      <c r="R78" s="1"/>
      <c r="S78" s="3"/>
      <c r="T78" s="3"/>
      <c r="U78" s="3"/>
      <c r="V78" s="3"/>
      <c r="W78" s="3"/>
    </row>
    <row r="80" spans="1:23">
      <c r="F80" s="30" t="s">
        <v>10</v>
      </c>
      <c r="G80" s="30" t="s">
        <v>9</v>
      </c>
      <c r="H80" s="30" t="s">
        <v>233</v>
      </c>
      <c r="I80" s="30" t="s">
        <v>234</v>
      </c>
      <c r="J80" s="23" t="s">
        <v>17</v>
      </c>
      <c r="L80" s="15"/>
      <c r="M80" s="15"/>
      <c r="N80" s="1"/>
      <c r="O80" s="1"/>
      <c r="P80" s="1"/>
      <c r="Q80" s="1"/>
      <c r="R80" s="1"/>
    </row>
    <row r="81" spans="1:23" ht="15.75" customHeight="1">
      <c r="A81" s="284" t="s">
        <v>266</v>
      </c>
      <c r="B81" s="65" t="s">
        <v>267</v>
      </c>
      <c r="C81" s="29" t="s">
        <v>237</v>
      </c>
      <c r="D81" s="35"/>
      <c r="F81" s="67" t="s">
        <v>238</v>
      </c>
      <c r="G81" s="67" t="s">
        <v>238</v>
      </c>
      <c r="H81" s="2" t="s">
        <v>239</v>
      </c>
      <c r="I81" s="2" t="s">
        <v>239</v>
      </c>
      <c r="J81" s="2" t="s">
        <v>239</v>
      </c>
      <c r="L81" s="15"/>
      <c r="M81" s="15"/>
      <c r="N81" s="1"/>
      <c r="O81" s="1"/>
      <c r="P81" s="1"/>
      <c r="Q81" s="1"/>
      <c r="R81" s="1"/>
    </row>
    <row r="82" spans="1:23">
      <c r="A82" s="284"/>
      <c r="B82" s="8" t="s">
        <v>268</v>
      </c>
      <c r="C82" s="29" t="s">
        <v>241</v>
      </c>
      <c r="D82" s="35"/>
      <c r="F82" s="67" t="s">
        <v>238</v>
      </c>
      <c r="G82" s="67" t="s">
        <v>238</v>
      </c>
      <c r="H82" s="2" t="s">
        <v>242</v>
      </c>
      <c r="I82" s="2" t="s">
        <v>242</v>
      </c>
      <c r="J82" s="2" t="s">
        <v>239</v>
      </c>
      <c r="L82" s="15"/>
      <c r="M82" s="15"/>
      <c r="N82" s="1"/>
      <c r="O82" s="1"/>
      <c r="P82" s="1"/>
      <c r="Q82" s="1"/>
      <c r="R82" s="1"/>
    </row>
    <row r="83" spans="1:23">
      <c r="A83" s="284"/>
      <c r="B83" s="8" t="s">
        <v>269</v>
      </c>
      <c r="C83" s="29" t="s">
        <v>244</v>
      </c>
      <c r="D83" s="35"/>
      <c r="F83" s="67" t="s">
        <v>238</v>
      </c>
      <c r="G83" s="67" t="s">
        <v>238</v>
      </c>
      <c r="H83" s="2" t="s">
        <v>239</v>
      </c>
      <c r="I83" s="2" t="s">
        <v>239</v>
      </c>
      <c r="J83" s="2" t="s">
        <v>242</v>
      </c>
      <c r="L83" s="15"/>
      <c r="M83" s="15"/>
      <c r="N83" s="1"/>
      <c r="O83" s="1"/>
      <c r="P83" s="1"/>
      <c r="Q83" s="1"/>
      <c r="R83" s="1"/>
    </row>
    <row r="84" spans="1:23">
      <c r="A84" s="284"/>
      <c r="B84" s="8" t="s">
        <v>270</v>
      </c>
      <c r="C84" s="29" t="s">
        <v>246</v>
      </c>
      <c r="D84" s="35"/>
      <c r="F84" s="67" t="s">
        <v>238</v>
      </c>
      <c r="G84" s="67" t="s">
        <v>238</v>
      </c>
      <c r="H84" s="2" t="s">
        <v>239</v>
      </c>
      <c r="I84" s="2" t="s">
        <v>242</v>
      </c>
      <c r="J84" s="2" t="s">
        <v>242</v>
      </c>
      <c r="L84" s="15"/>
      <c r="M84" s="15"/>
      <c r="N84" s="1"/>
      <c r="O84" s="1"/>
      <c r="P84" s="1"/>
      <c r="Q84" s="1"/>
      <c r="R84" s="1"/>
    </row>
    <row r="85" spans="1:23">
      <c r="A85" s="284"/>
      <c r="B85" s="8" t="s">
        <v>271</v>
      </c>
      <c r="C85" s="29" t="s">
        <v>248</v>
      </c>
      <c r="D85" s="35"/>
      <c r="F85" s="67" t="s">
        <v>238</v>
      </c>
      <c r="G85" s="67" t="s">
        <v>238</v>
      </c>
      <c r="H85" s="2" t="s">
        <v>242</v>
      </c>
      <c r="I85" s="2" t="s">
        <v>239</v>
      </c>
      <c r="J85" s="2" t="s">
        <v>242</v>
      </c>
      <c r="L85" s="15"/>
      <c r="M85" s="15"/>
      <c r="N85" s="1"/>
      <c r="O85" s="1"/>
      <c r="P85" s="1"/>
      <c r="Q85" s="1"/>
      <c r="R85" s="1"/>
    </row>
    <row r="86" spans="1:23">
      <c r="A86" s="284" t="s">
        <v>272</v>
      </c>
      <c r="B86" s="8" t="s">
        <v>273</v>
      </c>
      <c r="C86" s="29" t="s">
        <v>253</v>
      </c>
      <c r="D86" s="35"/>
      <c r="F86" s="2" t="s">
        <v>153</v>
      </c>
      <c r="G86" s="2"/>
      <c r="H86" s="2" t="s">
        <v>242</v>
      </c>
      <c r="I86" s="2" t="s">
        <v>242</v>
      </c>
      <c r="J86" s="2" t="s">
        <v>242</v>
      </c>
      <c r="L86" s="15"/>
      <c r="M86" s="15"/>
      <c r="N86" s="1"/>
      <c r="O86" s="1"/>
      <c r="P86" s="1"/>
      <c r="Q86" s="1"/>
      <c r="R86" s="1"/>
      <c r="S86" s="3"/>
      <c r="T86" s="3"/>
      <c r="U86" s="3"/>
      <c r="V86" s="3"/>
      <c r="W86" s="3"/>
    </row>
    <row r="87" spans="1:23">
      <c r="A87" s="284"/>
      <c r="B87" s="8" t="s">
        <v>254</v>
      </c>
      <c r="C87" s="29" t="s">
        <v>255</v>
      </c>
      <c r="D87" s="35"/>
      <c r="F87" s="2" t="s">
        <v>153</v>
      </c>
      <c r="G87" s="2"/>
      <c r="H87" s="2"/>
      <c r="I87" s="2"/>
      <c r="J87" s="2" t="s">
        <v>242</v>
      </c>
      <c r="L87" s="15"/>
      <c r="M87" s="15"/>
      <c r="N87" s="1"/>
      <c r="O87" s="1"/>
      <c r="P87" s="1"/>
      <c r="Q87" s="1"/>
      <c r="R87" s="1"/>
      <c r="S87" s="3"/>
      <c r="T87" s="3"/>
      <c r="U87" s="3"/>
      <c r="V87" s="3"/>
      <c r="W87" s="3"/>
    </row>
    <row r="88" spans="1:23">
      <c r="A88" s="284"/>
      <c r="B88" s="8" t="s">
        <v>256</v>
      </c>
      <c r="C88" s="29" t="s">
        <v>257</v>
      </c>
      <c r="D88" s="35"/>
      <c r="F88" s="2" t="s">
        <v>153</v>
      </c>
      <c r="G88" s="2"/>
      <c r="H88" s="2" t="s">
        <v>242</v>
      </c>
      <c r="I88" s="2" t="s">
        <v>242</v>
      </c>
      <c r="J88" s="2"/>
      <c r="L88" s="15"/>
      <c r="M88" s="15"/>
      <c r="N88" s="1"/>
      <c r="O88" s="1"/>
      <c r="P88" s="1"/>
      <c r="Q88" s="1"/>
      <c r="R88" s="1"/>
      <c r="S88" s="3"/>
      <c r="T88" s="3"/>
      <c r="U88" s="3"/>
      <c r="V88" s="3"/>
      <c r="W88" s="3"/>
    </row>
    <row r="89" spans="1:23">
      <c r="A89" s="284"/>
      <c r="B89" s="8" t="s">
        <v>258</v>
      </c>
      <c r="C89" s="29" t="s">
        <v>259</v>
      </c>
      <c r="D89" s="35"/>
      <c r="F89" s="2" t="s">
        <v>153</v>
      </c>
      <c r="G89" s="2"/>
      <c r="H89" s="2" t="s">
        <v>242</v>
      </c>
      <c r="I89" s="2"/>
      <c r="J89" s="2"/>
      <c r="L89" s="15"/>
      <c r="M89" s="15"/>
      <c r="N89" s="1"/>
      <c r="O89" s="1"/>
      <c r="P89" s="1"/>
      <c r="Q89" s="1"/>
      <c r="R89" s="1"/>
      <c r="S89" s="3"/>
      <c r="T89" s="3"/>
      <c r="U89" s="3"/>
      <c r="V89" s="3"/>
      <c r="W89" s="3"/>
    </row>
    <row r="90" spans="1:23">
      <c r="A90" s="284"/>
      <c r="B90" s="8" t="s">
        <v>260</v>
      </c>
      <c r="C90" s="29" t="s">
        <v>261</v>
      </c>
      <c r="D90" s="35"/>
      <c r="F90" s="2" t="s">
        <v>153</v>
      </c>
      <c r="G90" s="2"/>
      <c r="H90" s="2"/>
      <c r="I90" s="2" t="s">
        <v>242</v>
      </c>
      <c r="J90" s="2"/>
      <c r="L90" s="15"/>
      <c r="M90" s="15"/>
      <c r="N90" s="1"/>
      <c r="O90" s="1"/>
      <c r="P90" s="1"/>
      <c r="Q90" s="1"/>
      <c r="R90" s="1"/>
      <c r="S90" s="3"/>
      <c r="T90" s="3"/>
      <c r="U90" s="3"/>
      <c r="V90" s="3"/>
      <c r="W90" s="3"/>
    </row>
    <row r="92" spans="1:23">
      <c r="F92" s="30" t="s">
        <v>10</v>
      </c>
      <c r="G92" s="30" t="s">
        <v>9</v>
      </c>
      <c r="H92" s="30" t="s">
        <v>233</v>
      </c>
      <c r="I92" s="30" t="s">
        <v>234</v>
      </c>
      <c r="J92" s="23" t="s">
        <v>16</v>
      </c>
      <c r="K92" s="15"/>
      <c r="L92" s="15"/>
      <c r="M92" s="15"/>
      <c r="N92" s="1"/>
      <c r="O92" s="1"/>
      <c r="P92" s="1"/>
      <c r="Q92" s="1"/>
      <c r="R92" s="1"/>
    </row>
    <row r="93" spans="1:23">
      <c r="A93" s="285" t="s">
        <v>274</v>
      </c>
      <c r="B93" s="65" t="s">
        <v>275</v>
      </c>
      <c r="C93" s="29" t="s">
        <v>237</v>
      </c>
      <c r="D93" s="35"/>
      <c r="F93" s="67" t="s">
        <v>238</v>
      </c>
      <c r="G93" s="67" t="s">
        <v>238</v>
      </c>
      <c r="H93" s="2" t="s">
        <v>239</v>
      </c>
      <c r="I93" s="2" t="s">
        <v>239</v>
      </c>
      <c r="J93" s="2" t="s">
        <v>239</v>
      </c>
      <c r="K93" s="15"/>
      <c r="L93" s="15"/>
      <c r="M93" s="15"/>
      <c r="N93" s="1"/>
      <c r="O93" s="1"/>
      <c r="P93" s="1"/>
      <c r="Q93" s="1"/>
      <c r="R93" s="1"/>
    </row>
    <row r="94" spans="1:23">
      <c r="A94" s="286"/>
      <c r="B94" s="8" t="s">
        <v>276</v>
      </c>
      <c r="C94" s="29" t="s">
        <v>244</v>
      </c>
      <c r="D94" s="35"/>
      <c r="F94" s="67" t="s">
        <v>238</v>
      </c>
      <c r="G94" s="67" t="s">
        <v>238</v>
      </c>
      <c r="H94" s="2" t="s">
        <v>239</v>
      </c>
      <c r="I94" s="2" t="s">
        <v>239</v>
      </c>
      <c r="J94" s="2" t="s">
        <v>242</v>
      </c>
      <c r="K94" s="15"/>
      <c r="L94" s="15"/>
      <c r="M94" s="15"/>
      <c r="N94" s="1"/>
      <c r="O94" s="1"/>
      <c r="P94" s="1"/>
      <c r="Q94" s="1"/>
      <c r="R94" s="1"/>
    </row>
    <row r="95" spans="1:23">
      <c r="A95" s="286"/>
      <c r="B95" s="8" t="s">
        <v>277</v>
      </c>
      <c r="C95" s="29" t="s">
        <v>246</v>
      </c>
      <c r="D95" s="35"/>
      <c r="F95" s="67" t="s">
        <v>238</v>
      </c>
      <c r="G95" s="67" t="s">
        <v>238</v>
      </c>
      <c r="H95" s="2" t="s">
        <v>239</v>
      </c>
      <c r="I95" s="2" t="s">
        <v>242</v>
      </c>
      <c r="J95" s="2" t="s">
        <v>242</v>
      </c>
      <c r="K95" s="15"/>
      <c r="L95" s="15"/>
      <c r="M95" s="15"/>
      <c r="N95" s="1"/>
      <c r="O95" s="1"/>
      <c r="P95" s="1"/>
      <c r="Q95" s="1"/>
      <c r="R95" s="1"/>
    </row>
    <row r="96" spans="1:23">
      <c r="A96" s="286"/>
      <c r="B96" s="8" t="s">
        <v>278</v>
      </c>
      <c r="C96" s="29" t="s">
        <v>248</v>
      </c>
      <c r="D96" s="35"/>
      <c r="F96" s="67" t="s">
        <v>238</v>
      </c>
      <c r="G96" s="67" t="s">
        <v>238</v>
      </c>
      <c r="H96" s="2" t="s">
        <v>242</v>
      </c>
      <c r="I96" s="2" t="s">
        <v>239</v>
      </c>
      <c r="J96" s="2" t="s">
        <v>242</v>
      </c>
      <c r="K96" s="15"/>
      <c r="L96" s="15"/>
      <c r="M96" s="15"/>
      <c r="N96" s="1"/>
      <c r="O96" s="1"/>
      <c r="P96" s="1"/>
      <c r="Q96" s="1"/>
      <c r="R96" s="1"/>
    </row>
    <row r="97" spans="1:23">
      <c r="A97" s="287"/>
      <c r="B97" s="8" t="s">
        <v>279</v>
      </c>
      <c r="C97" s="29" t="s">
        <v>250</v>
      </c>
      <c r="D97" s="35"/>
      <c r="F97" s="67" t="s">
        <v>238</v>
      </c>
      <c r="G97" s="67" t="s">
        <v>238</v>
      </c>
      <c r="H97" s="2" t="s">
        <v>242</v>
      </c>
      <c r="I97" s="2" t="s">
        <v>242</v>
      </c>
      <c r="J97" s="2" t="s">
        <v>239</v>
      </c>
      <c r="K97" s="15"/>
      <c r="L97" s="15"/>
      <c r="M97" s="15"/>
      <c r="N97" s="1"/>
      <c r="O97" s="1"/>
      <c r="P97" s="1"/>
      <c r="Q97" s="1"/>
      <c r="R97" s="1"/>
    </row>
    <row r="98" spans="1:23">
      <c r="A98" s="285" t="s">
        <v>280</v>
      </c>
      <c r="B98" s="8" t="s">
        <v>281</v>
      </c>
      <c r="C98" s="29" t="s">
        <v>253</v>
      </c>
      <c r="D98" s="35"/>
      <c r="F98" s="2" t="s">
        <v>153</v>
      </c>
      <c r="G98" s="2"/>
      <c r="H98" s="2" t="s">
        <v>242</v>
      </c>
      <c r="I98" s="2" t="s">
        <v>242</v>
      </c>
      <c r="J98" s="2" t="s">
        <v>242</v>
      </c>
      <c r="K98" s="15"/>
      <c r="L98" s="15"/>
      <c r="M98" s="15"/>
      <c r="N98" s="1"/>
      <c r="O98" s="1"/>
      <c r="P98" s="1"/>
      <c r="Q98" s="1"/>
      <c r="R98" s="1"/>
      <c r="S98" s="3"/>
      <c r="T98" s="3"/>
      <c r="U98" s="3"/>
      <c r="V98" s="3"/>
      <c r="W98" s="3"/>
    </row>
    <row r="99" spans="1:23">
      <c r="A99" s="286"/>
      <c r="B99" s="8" t="s">
        <v>256</v>
      </c>
      <c r="C99" s="29" t="s">
        <v>257</v>
      </c>
      <c r="D99" s="35"/>
      <c r="F99" s="2" t="s">
        <v>153</v>
      </c>
      <c r="G99" s="2"/>
      <c r="H99" s="2" t="s">
        <v>242</v>
      </c>
      <c r="I99" s="2" t="s">
        <v>242</v>
      </c>
      <c r="J99" s="2"/>
      <c r="K99" s="15"/>
      <c r="L99" s="15"/>
      <c r="M99" s="15"/>
      <c r="N99" s="1"/>
      <c r="O99" s="1"/>
      <c r="P99" s="1"/>
      <c r="Q99" s="1"/>
      <c r="R99" s="1"/>
      <c r="S99" s="3"/>
      <c r="T99" s="3"/>
      <c r="U99" s="3"/>
      <c r="V99" s="3"/>
      <c r="W99" s="3"/>
    </row>
    <row r="100" spans="1:23">
      <c r="A100" s="286"/>
      <c r="B100" s="8" t="s">
        <v>258</v>
      </c>
      <c r="C100" s="29" t="s">
        <v>259</v>
      </c>
      <c r="D100" s="35"/>
      <c r="F100" s="2" t="s">
        <v>153</v>
      </c>
      <c r="G100" s="2"/>
      <c r="H100" s="2" t="s">
        <v>242</v>
      </c>
      <c r="I100" s="2"/>
      <c r="J100" s="2"/>
      <c r="K100" s="15"/>
      <c r="L100" s="15"/>
      <c r="M100" s="15"/>
      <c r="N100" s="1"/>
      <c r="O100" s="1"/>
      <c r="P100" s="1"/>
      <c r="Q100" s="1"/>
      <c r="R100" s="1"/>
      <c r="S100" s="3"/>
      <c r="T100" s="3"/>
      <c r="U100" s="3"/>
      <c r="V100" s="3"/>
      <c r="W100" s="3"/>
    </row>
    <row r="101" spans="1:23">
      <c r="A101" s="286"/>
      <c r="B101" s="8" t="s">
        <v>260</v>
      </c>
      <c r="C101" s="29" t="s">
        <v>261</v>
      </c>
      <c r="D101" s="35"/>
      <c r="F101" s="2" t="s">
        <v>153</v>
      </c>
      <c r="G101" s="2"/>
      <c r="H101" s="2"/>
      <c r="I101" s="2" t="s">
        <v>242</v>
      </c>
      <c r="J101" s="2"/>
      <c r="K101" s="15"/>
      <c r="L101" s="15"/>
      <c r="M101" s="15"/>
      <c r="N101" s="1"/>
      <c r="O101" s="1"/>
      <c r="P101" s="1"/>
      <c r="Q101" s="1"/>
      <c r="R101" s="1"/>
      <c r="S101" s="3"/>
      <c r="T101" s="3"/>
      <c r="U101" s="3"/>
      <c r="V101" s="3"/>
      <c r="W101" s="3"/>
    </row>
    <row r="102" spans="1:23">
      <c r="A102" s="287"/>
      <c r="B102" s="8" t="s">
        <v>262</v>
      </c>
      <c r="C102" s="29" t="s">
        <v>263</v>
      </c>
      <c r="D102" s="35"/>
      <c r="F102" s="2" t="s">
        <v>153</v>
      </c>
      <c r="G102" s="2"/>
      <c r="H102" s="2"/>
      <c r="I102" s="2"/>
      <c r="J102" s="2" t="s">
        <v>242</v>
      </c>
      <c r="K102" s="15"/>
      <c r="L102" s="15"/>
      <c r="M102" s="15"/>
      <c r="N102" s="1"/>
      <c r="O102" s="1"/>
      <c r="P102" s="1"/>
      <c r="Q102" s="1"/>
      <c r="R102" s="1"/>
      <c r="S102" s="3"/>
      <c r="T102" s="3"/>
      <c r="U102" s="3"/>
      <c r="V102" s="3"/>
      <c r="W102" s="3"/>
    </row>
    <row r="104" spans="1:23">
      <c r="F104" s="30" t="s">
        <v>10</v>
      </c>
      <c r="G104" s="30" t="s">
        <v>9</v>
      </c>
      <c r="H104" s="30" t="s">
        <v>233</v>
      </c>
      <c r="I104" s="30" t="s">
        <v>234</v>
      </c>
      <c r="J104" s="23"/>
      <c r="K104" s="15"/>
      <c r="L104" s="15"/>
      <c r="M104" s="15"/>
      <c r="N104" s="1"/>
      <c r="O104" s="1"/>
      <c r="P104" s="1"/>
      <c r="Q104" s="1"/>
      <c r="R104" s="1"/>
    </row>
    <row r="105" spans="1:23">
      <c r="A105" s="302" t="s">
        <v>1742</v>
      </c>
      <c r="B105" s="65" t="s">
        <v>275</v>
      </c>
      <c r="C105" s="29" t="s">
        <v>237</v>
      </c>
      <c r="D105" s="35"/>
      <c r="F105" s="67" t="s">
        <v>238</v>
      </c>
      <c r="G105" s="67" t="s">
        <v>238</v>
      </c>
      <c r="H105" s="2" t="s">
        <v>239</v>
      </c>
      <c r="I105" s="2" t="s">
        <v>239</v>
      </c>
      <c r="J105" s="2"/>
      <c r="K105" s="15"/>
      <c r="L105" s="15"/>
      <c r="M105" s="15"/>
      <c r="N105" s="1"/>
      <c r="O105" s="1"/>
      <c r="P105" s="1"/>
      <c r="Q105" s="1"/>
      <c r="R105" s="1"/>
    </row>
    <row r="106" spans="1:23">
      <c r="A106" s="302"/>
      <c r="B106" s="8" t="s">
        <v>277</v>
      </c>
      <c r="C106" s="29" t="s">
        <v>246</v>
      </c>
      <c r="D106" s="35"/>
      <c r="F106" s="67" t="s">
        <v>238</v>
      </c>
      <c r="G106" s="67" t="s">
        <v>238</v>
      </c>
      <c r="H106" s="2" t="s">
        <v>239</v>
      </c>
      <c r="I106" s="2" t="s">
        <v>242</v>
      </c>
      <c r="J106" s="2"/>
      <c r="K106" s="15"/>
      <c r="L106" s="15"/>
      <c r="M106" s="15"/>
      <c r="N106" s="1"/>
      <c r="O106" s="1"/>
      <c r="P106" s="1"/>
      <c r="Q106" s="1"/>
      <c r="R106" s="1"/>
    </row>
    <row r="107" spans="1:23">
      <c r="A107" s="302"/>
      <c r="B107" s="8" t="s">
        <v>278</v>
      </c>
      <c r="C107" s="29" t="s">
        <v>248</v>
      </c>
      <c r="D107" s="35"/>
      <c r="F107" s="67" t="s">
        <v>238</v>
      </c>
      <c r="G107" s="67" t="s">
        <v>238</v>
      </c>
      <c r="H107" s="2" t="s">
        <v>242</v>
      </c>
      <c r="I107" s="2" t="s">
        <v>239</v>
      </c>
      <c r="J107" s="2"/>
      <c r="K107" s="15"/>
      <c r="L107" s="15"/>
      <c r="M107" s="15"/>
      <c r="N107" s="1"/>
      <c r="O107" s="1"/>
      <c r="P107" s="1"/>
      <c r="Q107" s="1"/>
      <c r="R107" s="1"/>
    </row>
    <row r="108" spans="1:23">
      <c r="A108" s="302" t="s">
        <v>1743</v>
      </c>
      <c r="B108" s="8" t="s">
        <v>256</v>
      </c>
      <c r="C108" s="29" t="s">
        <v>257</v>
      </c>
      <c r="D108" s="35"/>
      <c r="F108" s="2" t="s">
        <v>153</v>
      </c>
      <c r="G108" s="2"/>
      <c r="H108" s="2" t="s">
        <v>242</v>
      </c>
      <c r="I108" s="2" t="s">
        <v>242</v>
      </c>
      <c r="J108" s="2"/>
      <c r="K108" s="15"/>
      <c r="L108" s="15"/>
      <c r="M108" s="15"/>
      <c r="N108" s="1"/>
      <c r="O108" s="1"/>
      <c r="P108" s="1"/>
      <c r="Q108" s="1"/>
      <c r="R108" s="1"/>
      <c r="S108" s="3"/>
      <c r="T108" s="3"/>
      <c r="U108" s="3"/>
      <c r="V108" s="3"/>
      <c r="W108" s="3"/>
    </row>
    <row r="109" spans="1:23">
      <c r="A109" s="302"/>
      <c r="B109" s="8" t="s">
        <v>258</v>
      </c>
      <c r="C109" s="29" t="s">
        <v>259</v>
      </c>
      <c r="D109" s="35"/>
      <c r="F109" s="2" t="s">
        <v>153</v>
      </c>
      <c r="G109" s="2"/>
      <c r="H109" s="2" t="s">
        <v>242</v>
      </c>
      <c r="I109" s="2"/>
      <c r="J109" s="2"/>
      <c r="K109" s="15"/>
      <c r="L109" s="15"/>
      <c r="M109" s="15"/>
      <c r="N109" s="1"/>
      <c r="O109" s="1"/>
      <c r="P109" s="1"/>
      <c r="Q109" s="1"/>
      <c r="R109" s="1"/>
      <c r="S109" s="3"/>
      <c r="T109" s="3"/>
      <c r="U109" s="3"/>
      <c r="V109" s="3"/>
      <c r="W109" s="3"/>
    </row>
    <row r="110" spans="1:23">
      <c r="A110" s="302"/>
      <c r="B110" s="8" t="s">
        <v>260</v>
      </c>
      <c r="C110" s="29" t="s">
        <v>261</v>
      </c>
      <c r="D110" s="35"/>
      <c r="F110" s="2" t="s">
        <v>153</v>
      </c>
      <c r="G110" s="2"/>
      <c r="H110" s="2"/>
      <c r="I110" s="2" t="s">
        <v>242</v>
      </c>
      <c r="J110" s="2"/>
      <c r="K110" s="15"/>
      <c r="L110" s="15"/>
      <c r="M110" s="15"/>
      <c r="N110" s="1"/>
      <c r="O110" s="1"/>
      <c r="P110" s="1"/>
      <c r="Q110" s="1"/>
      <c r="R110" s="1"/>
      <c r="S110" s="3"/>
      <c r="T110" s="3"/>
      <c r="U110" s="3"/>
      <c r="V110" s="3"/>
      <c r="W110" s="3"/>
    </row>
    <row r="119" spans="1:8">
      <c r="E119" s="4"/>
      <c r="F119" s="23" t="s">
        <v>101</v>
      </c>
      <c r="G119" s="23" t="s">
        <v>102</v>
      </c>
      <c r="H119" s="23" t="s">
        <v>100</v>
      </c>
    </row>
    <row r="120" spans="1:8">
      <c r="A120" s="7" t="s">
        <v>282</v>
      </c>
      <c r="B120" s="7" t="s">
        <v>282</v>
      </c>
      <c r="C120" s="25" t="s">
        <v>283</v>
      </c>
      <c r="D120" s="1"/>
      <c r="E120" s="6"/>
      <c r="F120" s="67" t="s">
        <v>153</v>
      </c>
      <c r="G120" s="67" t="s">
        <v>154</v>
      </c>
      <c r="H120" s="67" t="s">
        <v>154</v>
      </c>
    </row>
    <row r="121" spans="1:8">
      <c r="A121" s="205" t="s">
        <v>284</v>
      </c>
      <c r="B121" s="205" t="s">
        <v>284</v>
      </c>
      <c r="C121" s="206" t="s">
        <v>285</v>
      </c>
      <c r="D121" s="207"/>
      <c r="E121" s="208"/>
      <c r="F121" s="209" t="s">
        <v>238</v>
      </c>
      <c r="G121" s="209" t="s">
        <v>239</v>
      </c>
      <c r="H121" s="209" t="s">
        <v>239</v>
      </c>
    </row>
    <row r="122" spans="1:8">
      <c r="A122" s="7" t="s">
        <v>286</v>
      </c>
      <c r="B122" s="7" t="s">
        <v>286</v>
      </c>
      <c r="C122" s="25" t="s">
        <v>287</v>
      </c>
      <c r="D122" s="1"/>
      <c r="E122" s="6"/>
      <c r="F122" s="67" t="s">
        <v>288</v>
      </c>
      <c r="G122" s="67" t="s">
        <v>242</v>
      </c>
      <c r="H122" s="67" t="s">
        <v>242</v>
      </c>
    </row>
    <row r="123" spans="1:8">
      <c r="A123" s="1"/>
      <c r="B123" s="1"/>
      <c r="C123" s="1"/>
      <c r="D123" s="1"/>
      <c r="E123" s="6"/>
      <c r="F123" s="15"/>
      <c r="G123" s="15"/>
      <c r="H123" s="15"/>
    </row>
    <row r="124" spans="1:8">
      <c r="A124" s="1"/>
      <c r="B124" s="1"/>
      <c r="C124" s="1"/>
      <c r="D124" s="1"/>
      <c r="E124" s="6"/>
      <c r="F124" s="23" t="s">
        <v>101</v>
      </c>
      <c r="G124" s="23" t="s">
        <v>102</v>
      </c>
      <c r="H124" s="15"/>
    </row>
    <row r="125" spans="1:8">
      <c r="A125" s="7" t="s">
        <v>1201</v>
      </c>
      <c r="B125" s="7" t="s">
        <v>1201</v>
      </c>
      <c r="C125" s="25" t="s">
        <v>283</v>
      </c>
      <c r="D125" s="1"/>
      <c r="E125" s="6"/>
      <c r="F125" s="67" t="s">
        <v>153</v>
      </c>
      <c r="G125" s="67" t="s">
        <v>154</v>
      </c>
      <c r="H125" s="15"/>
    </row>
    <row r="126" spans="1:8">
      <c r="A126" s="7" t="s">
        <v>1202</v>
      </c>
      <c r="B126" s="7" t="s">
        <v>1202</v>
      </c>
      <c r="C126" s="25" t="s">
        <v>285</v>
      </c>
      <c r="D126" s="1"/>
      <c r="E126" s="6"/>
      <c r="F126" s="67" t="s">
        <v>238</v>
      </c>
      <c r="G126" s="67" t="s">
        <v>239</v>
      </c>
      <c r="H126" s="15"/>
    </row>
    <row r="127" spans="1:8">
      <c r="A127" s="7" t="s">
        <v>1203</v>
      </c>
      <c r="B127" s="7" t="s">
        <v>1203</v>
      </c>
      <c r="C127" s="25" t="s">
        <v>287</v>
      </c>
      <c r="D127" s="1"/>
      <c r="E127" s="6"/>
      <c r="F127" s="67" t="s">
        <v>288</v>
      </c>
      <c r="G127" s="67" t="s">
        <v>242</v>
      </c>
      <c r="H127" s="15"/>
    </row>
    <row r="128" spans="1:8">
      <c r="A128" s="1"/>
      <c r="B128" s="1"/>
      <c r="C128" s="1"/>
      <c r="D128" s="1"/>
      <c r="E128" s="6"/>
      <c r="F128" s="15"/>
      <c r="G128" s="15"/>
      <c r="H128" s="15"/>
    </row>
    <row r="129" spans="1:23">
      <c r="A129" s="1"/>
      <c r="B129" s="1"/>
      <c r="C129" s="1"/>
      <c r="D129" s="1"/>
      <c r="E129" s="6"/>
      <c r="F129" s="23" t="s">
        <v>101</v>
      </c>
      <c r="G129" s="23" t="s">
        <v>100</v>
      </c>
      <c r="H129" s="15"/>
    </row>
    <row r="130" spans="1:23">
      <c r="A130" s="7" t="s">
        <v>1204</v>
      </c>
      <c r="B130" s="7" t="s">
        <v>1204</v>
      </c>
      <c r="C130" s="25" t="s">
        <v>283</v>
      </c>
      <c r="D130" s="1"/>
      <c r="E130" s="6"/>
      <c r="F130" s="67" t="s">
        <v>153</v>
      </c>
      <c r="G130" s="67" t="s">
        <v>154</v>
      </c>
      <c r="H130" s="15"/>
    </row>
    <row r="131" spans="1:23">
      <c r="A131" s="7" t="s">
        <v>1205</v>
      </c>
      <c r="B131" s="7" t="s">
        <v>1205</v>
      </c>
      <c r="C131" s="25" t="s">
        <v>285</v>
      </c>
      <c r="D131" s="1"/>
      <c r="E131" s="6"/>
      <c r="F131" s="67" t="s">
        <v>238</v>
      </c>
      <c r="G131" s="67" t="s">
        <v>239</v>
      </c>
      <c r="H131" s="15"/>
    </row>
    <row r="132" spans="1:23">
      <c r="A132" s="7" t="s">
        <v>1206</v>
      </c>
      <c r="B132" s="7" t="s">
        <v>1206</v>
      </c>
      <c r="C132" s="25" t="s">
        <v>287</v>
      </c>
      <c r="D132" s="1"/>
      <c r="E132" s="6"/>
      <c r="F132" s="67" t="s">
        <v>288</v>
      </c>
      <c r="G132" s="67" t="s">
        <v>242</v>
      </c>
      <c r="H132" s="15"/>
    </row>
    <row r="133" spans="1:23">
      <c r="A133" s="1"/>
      <c r="B133" s="1"/>
      <c r="C133" s="1"/>
      <c r="D133" s="1"/>
      <c r="E133" s="6"/>
      <c r="F133" s="15"/>
      <c r="G133" s="15"/>
      <c r="H133" s="15"/>
    </row>
    <row r="134" spans="1:23">
      <c r="A134" s="1"/>
      <c r="B134" s="1"/>
      <c r="C134" s="1"/>
      <c r="D134" s="1"/>
      <c r="E134" s="6"/>
      <c r="F134" s="23" t="s">
        <v>102</v>
      </c>
      <c r="G134" s="23" t="s">
        <v>100</v>
      </c>
      <c r="H134" s="15"/>
    </row>
    <row r="135" spans="1:23">
      <c r="A135" s="7" t="s">
        <v>1207</v>
      </c>
      <c r="B135" s="7" t="s">
        <v>1207</v>
      </c>
      <c r="C135" s="25" t="s">
        <v>283</v>
      </c>
      <c r="D135" s="1"/>
      <c r="E135" s="6"/>
      <c r="F135" s="67" t="s">
        <v>153</v>
      </c>
      <c r="G135" s="67" t="s">
        <v>154</v>
      </c>
      <c r="H135" s="15"/>
    </row>
    <row r="136" spans="1:23">
      <c r="A136" s="7" t="s">
        <v>1208</v>
      </c>
      <c r="B136" s="7" t="s">
        <v>1208</v>
      </c>
      <c r="C136" s="25" t="s">
        <v>285</v>
      </c>
      <c r="D136" s="1"/>
      <c r="E136" s="6"/>
      <c r="F136" s="67" t="s">
        <v>238</v>
      </c>
      <c r="G136" s="67" t="s">
        <v>239</v>
      </c>
      <c r="H136" s="15"/>
    </row>
    <row r="137" spans="1:23">
      <c r="A137" s="7" t="s">
        <v>1209</v>
      </c>
      <c r="B137" s="7" t="s">
        <v>1209</v>
      </c>
      <c r="C137" s="25" t="s">
        <v>287</v>
      </c>
      <c r="D137" s="1"/>
      <c r="E137" s="6"/>
      <c r="F137" s="67" t="s">
        <v>288</v>
      </c>
      <c r="G137" s="67" t="s">
        <v>242</v>
      </c>
      <c r="H137" s="15"/>
    </row>
    <row r="138" spans="1:23">
      <c r="A138" s="1"/>
      <c r="B138" s="1"/>
      <c r="C138" s="1"/>
      <c r="D138" s="1"/>
      <c r="E138" s="6"/>
      <c r="F138" s="15"/>
      <c r="G138" s="15"/>
      <c r="H138" s="15"/>
    </row>
    <row r="139" spans="1:23">
      <c r="A139" s="1"/>
      <c r="B139" s="1"/>
      <c r="C139" s="1"/>
      <c r="D139" s="1"/>
      <c r="E139" s="6"/>
      <c r="F139"/>
      <c r="G139"/>
      <c r="H139"/>
      <c r="I139"/>
      <c r="J139"/>
      <c r="K139"/>
      <c r="L139"/>
      <c r="M139"/>
    </row>
    <row r="140" spans="1:23">
      <c r="A140" s="7" t="s">
        <v>1210</v>
      </c>
      <c r="B140" s="7" t="s">
        <v>1210</v>
      </c>
      <c r="C140" s="107" t="s">
        <v>283</v>
      </c>
      <c r="D140" s="1"/>
      <c r="E140" s="6"/>
      <c r="F140" s="213" t="s">
        <v>1211</v>
      </c>
      <c r="G140" s="308" t="s">
        <v>1212</v>
      </c>
      <c r="H140" s="308"/>
      <c r="I140" s="308"/>
      <c r="J140"/>
      <c r="K140"/>
      <c r="L140"/>
      <c r="M140"/>
    </row>
    <row r="141" spans="1:23">
      <c r="A141" s="7" t="s">
        <v>1213</v>
      </c>
      <c r="B141" s="7" t="s">
        <v>1213</v>
      </c>
      <c r="C141" s="107" t="s">
        <v>283</v>
      </c>
      <c r="D141" s="1"/>
      <c r="E141" s="6"/>
      <c r="F141" s="213" t="s">
        <v>1214</v>
      </c>
      <c r="G141" s="213" t="s">
        <v>102</v>
      </c>
      <c r="H141" s="213" t="s">
        <v>101</v>
      </c>
      <c r="I141" s="213" t="s">
        <v>100</v>
      </c>
      <c r="J141"/>
      <c r="K141"/>
      <c r="L141"/>
      <c r="M141"/>
    </row>
    <row r="142" spans="1:23">
      <c r="A142" s="7" t="s">
        <v>284</v>
      </c>
      <c r="B142" s="210" t="s">
        <v>284</v>
      </c>
      <c r="C142" s="211" t="s">
        <v>285</v>
      </c>
      <c r="D142" s="1"/>
      <c r="E142" s="6"/>
      <c r="F142" s="213" t="s">
        <v>1215</v>
      </c>
      <c r="G142" s="213" t="s">
        <v>13</v>
      </c>
      <c r="H142" s="213" t="s">
        <v>12</v>
      </c>
      <c r="I142" s="213" t="s">
        <v>1216</v>
      </c>
    </row>
    <row r="143" spans="1:23">
      <c r="A143" s="7" t="s">
        <v>1217</v>
      </c>
      <c r="B143" s="7" t="s">
        <v>1217</v>
      </c>
      <c r="C143" s="25" t="s">
        <v>287</v>
      </c>
      <c r="D143" s="1"/>
      <c r="E143" s="6"/>
      <c r="F143" s="213" t="s">
        <v>1218</v>
      </c>
      <c r="G143" s="308" t="s">
        <v>1219</v>
      </c>
      <c r="H143" s="308"/>
      <c r="I143" s="308"/>
    </row>
    <row r="144" spans="1:23" s="3" customFormat="1">
      <c r="A144" s="1"/>
      <c r="B144" s="1"/>
      <c r="C144" s="1"/>
      <c r="D144" s="1"/>
      <c r="E144" s="6"/>
      <c r="F144" s="309"/>
      <c r="G144" s="309"/>
      <c r="H144" s="309"/>
      <c r="I144" s="309"/>
      <c r="N144"/>
      <c r="O144"/>
      <c r="P144"/>
      <c r="Q144"/>
      <c r="R144"/>
      <c r="S144"/>
      <c r="T144"/>
      <c r="U144"/>
      <c r="V144"/>
      <c r="W144"/>
    </row>
    <row r="145" spans="1:23" s="3" customFormat="1">
      <c r="A145" s="1"/>
      <c r="B145" s="1"/>
      <c r="C145" s="1"/>
      <c r="D145" s="1"/>
      <c r="E145" s="6"/>
      <c r="F145" s="213" t="s">
        <v>1211</v>
      </c>
      <c r="G145" s="308" t="s">
        <v>1220</v>
      </c>
      <c r="H145" s="308"/>
      <c r="I145" s="308"/>
      <c r="N145"/>
      <c r="O145"/>
      <c r="P145"/>
      <c r="Q145"/>
      <c r="R145"/>
      <c r="S145"/>
      <c r="T145"/>
      <c r="U145"/>
      <c r="V145"/>
      <c r="W145"/>
    </row>
    <row r="146" spans="1:23" s="3" customFormat="1">
      <c r="A146" s="1"/>
      <c r="B146" s="1"/>
      <c r="C146" s="1"/>
      <c r="D146" s="1"/>
      <c r="E146" s="6"/>
      <c r="F146" s="213" t="s">
        <v>1214</v>
      </c>
      <c r="G146" s="213" t="s">
        <v>102</v>
      </c>
      <c r="H146" s="213" t="s">
        <v>101</v>
      </c>
      <c r="I146" s="213" t="s">
        <v>100</v>
      </c>
      <c r="N146"/>
      <c r="O146"/>
      <c r="P146"/>
      <c r="Q146"/>
      <c r="R146"/>
      <c r="S146"/>
      <c r="T146"/>
      <c r="U146"/>
      <c r="V146"/>
      <c r="W146"/>
    </row>
    <row r="147" spans="1:23" s="3" customFormat="1">
      <c r="A147" s="1"/>
      <c r="B147" s="1"/>
      <c r="C147" s="1"/>
      <c r="D147" s="1"/>
      <c r="E147" s="6"/>
      <c r="F147" s="213" t="s">
        <v>1215</v>
      </c>
      <c r="G147" s="213" t="s">
        <v>1221</v>
      </c>
      <c r="H147" s="213" t="s">
        <v>12</v>
      </c>
      <c r="I147" s="213" t="s">
        <v>13</v>
      </c>
      <c r="N147"/>
      <c r="O147"/>
      <c r="P147"/>
      <c r="Q147"/>
      <c r="R147"/>
      <c r="S147"/>
      <c r="T147"/>
      <c r="U147"/>
      <c r="V147"/>
      <c r="W147"/>
    </row>
    <row r="148" spans="1:23" s="3" customFormat="1">
      <c r="A148" s="1"/>
      <c r="B148" s="1"/>
      <c r="C148" s="1"/>
      <c r="D148" s="1"/>
      <c r="E148" s="6"/>
      <c r="F148" s="213" t="s">
        <v>1218</v>
      </c>
      <c r="G148" s="308" t="s">
        <v>1219</v>
      </c>
      <c r="H148" s="308"/>
      <c r="I148" s="308"/>
      <c r="N148"/>
      <c r="O148"/>
      <c r="P148"/>
      <c r="Q148"/>
      <c r="R148"/>
      <c r="S148"/>
      <c r="T148"/>
      <c r="U148"/>
      <c r="V148"/>
      <c r="W148"/>
    </row>
    <row r="149" spans="1:23" s="3" customFormat="1">
      <c r="A149" s="1"/>
      <c r="B149" s="1"/>
      <c r="C149" s="1"/>
      <c r="D149" s="1"/>
      <c r="E149" s="6"/>
      <c r="F149" s="309"/>
      <c r="G149" s="309"/>
      <c r="H149" s="309"/>
      <c r="I149" s="309"/>
      <c r="N149"/>
      <c r="O149"/>
      <c r="P149"/>
      <c r="Q149"/>
      <c r="R149"/>
      <c r="S149"/>
      <c r="T149"/>
      <c r="U149"/>
      <c r="V149"/>
      <c r="W149"/>
    </row>
    <row r="150" spans="1:23" s="3" customFormat="1">
      <c r="A150" s="1"/>
      <c r="B150" s="1"/>
      <c r="C150" s="1"/>
      <c r="D150" s="1"/>
      <c r="E150" s="6"/>
      <c r="F150" s="213" t="s">
        <v>1211</v>
      </c>
      <c r="G150" s="308" t="s">
        <v>1222</v>
      </c>
      <c r="H150" s="308"/>
      <c r="I150" s="308"/>
      <c r="N150"/>
      <c r="O150"/>
      <c r="P150"/>
      <c r="Q150"/>
      <c r="R150"/>
      <c r="S150"/>
      <c r="T150"/>
      <c r="U150"/>
      <c r="V150"/>
      <c r="W150"/>
    </row>
    <row r="151" spans="1:23" s="3" customFormat="1">
      <c r="A151" s="1"/>
      <c r="B151" s="1"/>
      <c r="C151" s="1"/>
      <c r="D151" s="1"/>
      <c r="E151" s="6"/>
      <c r="F151" s="213" t="s">
        <v>1214</v>
      </c>
      <c r="G151" s="213" t="s">
        <v>102</v>
      </c>
      <c r="H151" s="213" t="s">
        <v>101</v>
      </c>
      <c r="I151" s="213" t="s">
        <v>100</v>
      </c>
      <c r="N151"/>
      <c r="O151"/>
      <c r="P151"/>
      <c r="Q151"/>
      <c r="R151"/>
      <c r="S151"/>
      <c r="T151"/>
      <c r="U151"/>
      <c r="V151"/>
      <c r="W151"/>
    </row>
    <row r="152" spans="1:23" s="3" customFormat="1">
      <c r="A152" s="1"/>
      <c r="B152" s="1"/>
      <c r="C152" s="1"/>
      <c r="D152" s="1"/>
      <c r="E152" s="6"/>
      <c r="F152" s="213" t="s">
        <v>1215</v>
      </c>
      <c r="G152" s="214" t="s">
        <v>13</v>
      </c>
      <c r="H152" s="186" t="s">
        <v>1223</v>
      </c>
      <c r="I152" s="186" t="s">
        <v>12</v>
      </c>
      <c r="N152"/>
      <c r="O152"/>
      <c r="P152"/>
      <c r="Q152"/>
      <c r="R152"/>
      <c r="S152"/>
      <c r="T152"/>
      <c r="U152"/>
      <c r="V152"/>
      <c r="W152"/>
    </row>
    <row r="153" spans="1:23" s="3" customFormat="1">
      <c r="A153" s="1"/>
      <c r="B153" s="1"/>
      <c r="C153" s="1"/>
      <c r="D153" s="1"/>
      <c r="E153" s="6"/>
      <c r="F153" s="213" t="s">
        <v>1218</v>
      </c>
      <c r="G153" s="308" t="s">
        <v>1219</v>
      </c>
      <c r="H153" s="308"/>
      <c r="I153" s="308"/>
      <c r="N153"/>
      <c r="O153"/>
      <c r="P153"/>
      <c r="Q153"/>
      <c r="R153"/>
      <c r="S153"/>
      <c r="T153"/>
      <c r="U153"/>
      <c r="V153"/>
      <c r="W153"/>
    </row>
    <row r="154" spans="1:23" s="3" customFormat="1">
      <c r="A154" s="1"/>
      <c r="B154" s="1"/>
      <c r="C154" s="1"/>
      <c r="D154" s="1"/>
      <c r="E154" s="6"/>
      <c r="F154" s="212"/>
      <c r="G154" s="212"/>
      <c r="H154" s="212"/>
      <c r="I154" s="212"/>
      <c r="N154"/>
      <c r="O154"/>
      <c r="P154"/>
      <c r="Q154"/>
      <c r="R154"/>
      <c r="S154"/>
      <c r="T154"/>
      <c r="U154"/>
      <c r="V154"/>
      <c r="W154"/>
    </row>
    <row r="155" spans="1:23" s="3" customFormat="1">
      <c r="A155" s="1"/>
      <c r="B155" s="1"/>
      <c r="C155" s="1"/>
      <c r="D155" s="1"/>
      <c r="E155" s="6"/>
      <c r="F155" s="213" t="s">
        <v>1211</v>
      </c>
      <c r="G155" s="308" t="s">
        <v>1224</v>
      </c>
      <c r="H155" s="308"/>
      <c r="I155" s="308"/>
      <c r="N155"/>
      <c r="O155"/>
      <c r="P155"/>
      <c r="Q155"/>
      <c r="R155"/>
      <c r="S155"/>
      <c r="T155"/>
      <c r="U155"/>
      <c r="V155"/>
      <c r="W155"/>
    </row>
    <row r="156" spans="1:23" s="3" customFormat="1">
      <c r="A156" s="1"/>
      <c r="B156" s="1"/>
      <c r="C156" s="1"/>
      <c r="D156" s="1"/>
      <c r="E156" s="6"/>
      <c r="F156" s="213" t="s">
        <v>1214</v>
      </c>
      <c r="G156" s="213" t="s">
        <v>102</v>
      </c>
      <c r="H156" s="213" t="s">
        <v>101</v>
      </c>
      <c r="I156" s="213" t="s">
        <v>100</v>
      </c>
      <c r="N156"/>
      <c r="O156"/>
      <c r="P156"/>
      <c r="Q156"/>
      <c r="R156"/>
      <c r="S156"/>
      <c r="T156"/>
      <c r="U156"/>
      <c r="V156"/>
      <c r="W156"/>
    </row>
    <row r="157" spans="1:23" s="3" customFormat="1">
      <c r="A157" s="1"/>
      <c r="B157" s="1"/>
      <c r="C157" s="1"/>
      <c r="D157" s="1"/>
      <c r="E157" s="6"/>
      <c r="F157" s="213" t="s">
        <v>1215</v>
      </c>
      <c r="G157" s="213" t="s">
        <v>13</v>
      </c>
      <c r="H157" s="213" t="s">
        <v>12</v>
      </c>
      <c r="I157" s="213" t="s">
        <v>13</v>
      </c>
      <c r="N157"/>
      <c r="O157"/>
      <c r="P157"/>
      <c r="Q157"/>
      <c r="R157"/>
      <c r="S157"/>
      <c r="T157"/>
      <c r="U157"/>
      <c r="V157"/>
      <c r="W157"/>
    </row>
    <row r="158" spans="1:23" s="3" customFormat="1">
      <c r="A158" s="1"/>
      <c r="B158" s="1"/>
      <c r="C158" s="1"/>
      <c r="D158" s="1"/>
      <c r="E158" s="6"/>
      <c r="F158" s="213" t="s">
        <v>1218</v>
      </c>
      <c r="G158" s="308" t="s">
        <v>1225</v>
      </c>
      <c r="H158" s="308"/>
      <c r="I158" s="308"/>
      <c r="N158"/>
      <c r="O158"/>
      <c r="P158"/>
      <c r="Q158"/>
      <c r="R158"/>
      <c r="S158"/>
      <c r="T158"/>
      <c r="U158"/>
      <c r="V158"/>
      <c r="W158"/>
    </row>
    <row r="159" spans="1:23" s="3" customFormat="1">
      <c r="A159" s="1"/>
      <c r="B159" s="1"/>
      <c r="C159" s="1"/>
      <c r="D159" s="1"/>
      <c r="E159" s="6"/>
      <c r="F159" s="15"/>
      <c r="G159" s="15"/>
      <c r="H159" s="15"/>
      <c r="N159"/>
      <c r="O159"/>
      <c r="P159"/>
      <c r="Q159"/>
      <c r="R159"/>
      <c r="S159"/>
      <c r="T159"/>
      <c r="U159"/>
      <c r="V159"/>
      <c r="W159"/>
    </row>
    <row r="160" spans="1:23">
      <c r="A160" s="1"/>
      <c r="B160" s="1"/>
      <c r="C160" s="1"/>
      <c r="D160" s="1"/>
      <c r="E160" s="6"/>
      <c r="F160" s="15"/>
      <c r="G160" s="15"/>
      <c r="H160" s="15"/>
    </row>
    <row r="162" spans="1:18">
      <c r="A162" s="1"/>
      <c r="B162" s="1"/>
      <c r="C162" s="1"/>
      <c r="F162" s="15"/>
      <c r="G162" s="15"/>
    </row>
    <row r="163" spans="1:18">
      <c r="F163" s="30" t="s">
        <v>10</v>
      </c>
      <c r="G163" s="30" t="s">
        <v>9</v>
      </c>
      <c r="H163" s="30" t="s">
        <v>233</v>
      </c>
      <c r="I163" s="30" t="s">
        <v>234</v>
      </c>
      <c r="L163" s="15"/>
      <c r="M163" s="15"/>
      <c r="N163" s="1"/>
      <c r="O163" s="1"/>
      <c r="P163" s="1"/>
      <c r="Q163" s="1"/>
      <c r="R163" s="1"/>
    </row>
    <row r="164" spans="1:18">
      <c r="A164" s="296" t="s">
        <v>289</v>
      </c>
      <c r="B164" s="8" t="s">
        <v>258</v>
      </c>
      <c r="C164" s="29" t="s">
        <v>259</v>
      </c>
      <c r="D164" s="35"/>
      <c r="F164" s="2" t="s">
        <v>153</v>
      </c>
      <c r="G164" s="2"/>
      <c r="H164" s="2" t="s">
        <v>242</v>
      </c>
      <c r="I164" s="2"/>
    </row>
    <row r="165" spans="1:18">
      <c r="A165" s="297"/>
      <c r="B165" s="8" t="s">
        <v>260</v>
      </c>
      <c r="C165" s="29" t="s">
        <v>261</v>
      </c>
      <c r="D165" s="35"/>
      <c r="F165" s="2" t="s">
        <v>153</v>
      </c>
      <c r="G165" s="2"/>
      <c r="H165" s="2"/>
      <c r="I165" s="2" t="s">
        <v>242</v>
      </c>
    </row>
    <row r="167" spans="1:18">
      <c r="F167" s="44" t="s">
        <v>32</v>
      </c>
      <c r="G167" s="44" t="s">
        <v>33</v>
      </c>
      <c r="H167" s="44" t="s">
        <v>34</v>
      </c>
      <c r="I167" s="44" t="s">
        <v>35</v>
      </c>
      <c r="J167" s="44" t="s">
        <v>36</v>
      </c>
      <c r="K167" s="44" t="s">
        <v>37</v>
      </c>
    </row>
    <row r="168" spans="1:18">
      <c r="A168" s="33" t="s">
        <v>290</v>
      </c>
      <c r="B168" s="33" t="s">
        <v>290</v>
      </c>
      <c r="C168" s="25" t="s">
        <v>158</v>
      </c>
      <c r="D168" s="1"/>
      <c r="F168" s="2"/>
      <c r="G168" s="2" t="s">
        <v>153</v>
      </c>
      <c r="H168" s="2" t="s">
        <v>162</v>
      </c>
      <c r="I168" s="2"/>
      <c r="J168" s="2"/>
      <c r="K168" s="2"/>
    </row>
    <row r="170" spans="1:18">
      <c r="D170" s="4"/>
      <c r="F170" s="44" t="s">
        <v>33</v>
      </c>
      <c r="G170" s="44" t="s">
        <v>39</v>
      </c>
      <c r="H170" s="44" t="s">
        <v>40</v>
      </c>
      <c r="I170" s="44" t="s">
        <v>41</v>
      </c>
      <c r="J170" s="44" t="s">
        <v>38</v>
      </c>
      <c r="K170" s="44" t="s">
        <v>42</v>
      </c>
      <c r="L170" s="44" t="s">
        <v>45</v>
      </c>
      <c r="M170" s="44" t="s">
        <v>44</v>
      </c>
      <c r="N170" s="44" t="s">
        <v>43</v>
      </c>
      <c r="O170" s="44" t="s">
        <v>32</v>
      </c>
      <c r="P170" s="44" t="s">
        <v>34</v>
      </c>
      <c r="Q170" s="44" t="s">
        <v>35</v>
      </c>
    </row>
    <row r="171" spans="1:18">
      <c r="A171" s="7" t="s">
        <v>291</v>
      </c>
      <c r="B171" s="7" t="s">
        <v>291</v>
      </c>
      <c r="C171" s="17" t="s">
        <v>292</v>
      </c>
      <c r="F171" s="2"/>
      <c r="G171" s="2" t="s">
        <v>153</v>
      </c>
      <c r="H171" s="2"/>
      <c r="I171" s="2"/>
      <c r="J171" s="2" t="s">
        <v>154</v>
      </c>
      <c r="K171" s="2"/>
      <c r="L171" s="2"/>
      <c r="M171" s="2"/>
      <c r="N171" s="17"/>
      <c r="O171" s="17"/>
      <c r="P171" s="17"/>
      <c r="Q171" s="17"/>
    </row>
    <row r="173" spans="1:18">
      <c r="F173" s="44" t="s">
        <v>33</v>
      </c>
      <c r="G173" s="44" t="s">
        <v>39</v>
      </c>
      <c r="H173" s="44" t="s">
        <v>40</v>
      </c>
      <c r="I173" s="44" t="s">
        <v>41</v>
      </c>
      <c r="J173" s="44" t="s">
        <v>38</v>
      </c>
      <c r="K173" s="44" t="s">
        <v>42</v>
      </c>
      <c r="L173" s="44" t="s">
        <v>45</v>
      </c>
      <c r="M173" s="44" t="s">
        <v>44</v>
      </c>
      <c r="N173" s="44" t="s">
        <v>43</v>
      </c>
      <c r="O173" s="44" t="s">
        <v>32</v>
      </c>
      <c r="P173" s="44" t="s">
        <v>34</v>
      </c>
      <c r="Q173" s="44" t="s">
        <v>35</v>
      </c>
    </row>
    <row r="174" spans="1:18">
      <c r="A174" s="37" t="s">
        <v>293</v>
      </c>
      <c r="B174" s="37" t="s">
        <v>293</v>
      </c>
      <c r="C174" s="17" t="s">
        <v>294</v>
      </c>
      <c r="D174" s="36" t="s">
        <v>295</v>
      </c>
      <c r="F174" s="2" t="s">
        <v>206</v>
      </c>
      <c r="G174" s="2" t="s">
        <v>193</v>
      </c>
      <c r="H174" s="2"/>
      <c r="I174" s="2"/>
      <c r="J174" s="39" t="s">
        <v>162</v>
      </c>
      <c r="K174" s="2"/>
      <c r="L174" s="2"/>
      <c r="M174" s="2"/>
      <c r="N174" s="2" t="s">
        <v>191</v>
      </c>
      <c r="O174" s="2"/>
      <c r="P174" s="17"/>
      <c r="Q174" s="17"/>
    </row>
    <row r="176" spans="1:18">
      <c r="D176" s="14"/>
      <c r="E176" s="4"/>
      <c r="F176" s="23" t="s">
        <v>10</v>
      </c>
      <c r="G176" s="23" t="s">
        <v>9</v>
      </c>
    </row>
    <row r="177" spans="1:17">
      <c r="A177" s="7" t="s">
        <v>297</v>
      </c>
      <c r="B177" s="7" t="s">
        <v>297</v>
      </c>
      <c r="C177" s="17" t="s">
        <v>287</v>
      </c>
      <c r="F177" s="2" t="s">
        <v>298</v>
      </c>
      <c r="G177" s="2" t="s">
        <v>154</v>
      </c>
    </row>
    <row r="179" spans="1:17">
      <c r="D179" s="4"/>
      <c r="F179" s="44" t="s">
        <v>33</v>
      </c>
      <c r="G179" s="44" t="s">
        <v>39</v>
      </c>
      <c r="H179" s="44" t="s">
        <v>40</v>
      </c>
      <c r="I179" s="44" t="s">
        <v>41</v>
      </c>
      <c r="J179" s="44" t="s">
        <v>38</v>
      </c>
      <c r="K179" s="44" t="s">
        <v>42</v>
      </c>
      <c r="L179" s="44" t="s">
        <v>45</v>
      </c>
      <c r="M179" s="44" t="s">
        <v>44</v>
      </c>
      <c r="N179" s="44" t="s">
        <v>43</v>
      </c>
      <c r="O179" s="44" t="s">
        <v>32</v>
      </c>
      <c r="P179" s="44" t="s">
        <v>34</v>
      </c>
      <c r="Q179" s="44" t="s">
        <v>35</v>
      </c>
    </row>
    <row r="180" spans="1:17">
      <c r="A180" s="296" t="s">
        <v>299</v>
      </c>
      <c r="B180" s="33" t="s">
        <v>300</v>
      </c>
      <c r="C180" s="25" t="s">
        <v>301</v>
      </c>
      <c r="D180" s="1"/>
      <c r="F180" s="2" t="s">
        <v>302</v>
      </c>
      <c r="G180" s="2"/>
      <c r="H180" s="2"/>
      <c r="I180" s="2"/>
      <c r="J180" s="2"/>
      <c r="K180" s="2"/>
      <c r="L180" s="2"/>
      <c r="M180" s="2"/>
      <c r="N180" s="2"/>
      <c r="O180" s="2"/>
      <c r="P180" s="2" t="s">
        <v>162</v>
      </c>
      <c r="Q180" s="2"/>
    </row>
    <row r="181" spans="1:17">
      <c r="A181" s="298"/>
      <c r="B181" s="33" t="s">
        <v>303</v>
      </c>
      <c r="C181" s="25" t="s">
        <v>304</v>
      </c>
      <c r="D181" s="1"/>
      <c r="F181" s="2"/>
      <c r="G181" s="2" t="s">
        <v>302</v>
      </c>
      <c r="H181" s="2"/>
      <c r="I181" s="2"/>
      <c r="J181" s="2"/>
      <c r="K181" s="2"/>
      <c r="L181" s="2"/>
      <c r="M181" s="2"/>
      <c r="N181" s="2"/>
      <c r="O181" s="2"/>
      <c r="P181" s="2" t="s">
        <v>162</v>
      </c>
      <c r="Q181" s="2"/>
    </row>
    <row r="182" spans="1:17">
      <c r="A182" s="298"/>
      <c r="B182" s="33" t="s">
        <v>305</v>
      </c>
      <c r="C182" s="25" t="s">
        <v>306</v>
      </c>
      <c r="D182" s="1"/>
      <c r="F182" s="2"/>
      <c r="G182" s="2"/>
      <c r="H182" s="2" t="s">
        <v>302</v>
      </c>
      <c r="I182" s="2"/>
      <c r="J182" s="2"/>
      <c r="K182" s="2"/>
      <c r="L182" s="2"/>
      <c r="M182" s="2"/>
      <c r="N182" s="2"/>
      <c r="O182" s="2"/>
      <c r="P182" s="2" t="s">
        <v>162</v>
      </c>
      <c r="Q182" s="2"/>
    </row>
    <row r="183" spans="1:17">
      <c r="A183" s="298"/>
      <c r="B183" s="33" t="s">
        <v>307</v>
      </c>
      <c r="C183" s="25" t="s">
        <v>308</v>
      </c>
      <c r="D183" s="1"/>
      <c r="F183" s="2"/>
      <c r="G183" s="2"/>
      <c r="H183" s="2"/>
      <c r="I183" s="2" t="s">
        <v>302</v>
      </c>
      <c r="J183" s="2"/>
      <c r="K183" s="2"/>
      <c r="L183" s="2"/>
      <c r="M183" s="2"/>
      <c r="N183" s="2"/>
      <c r="O183" s="2"/>
      <c r="P183" s="2" t="s">
        <v>162</v>
      </c>
      <c r="Q183" s="2"/>
    </row>
    <row r="184" spans="1:17">
      <c r="A184" s="297"/>
      <c r="B184" s="33" t="s">
        <v>309</v>
      </c>
      <c r="C184" s="25" t="s">
        <v>310</v>
      </c>
      <c r="D184" s="1"/>
      <c r="F184" s="2"/>
      <c r="G184" s="2"/>
      <c r="H184" s="2"/>
      <c r="I184" s="2"/>
      <c r="J184" s="2" t="s">
        <v>302</v>
      </c>
      <c r="K184" s="2"/>
      <c r="L184" s="2"/>
      <c r="M184" s="2"/>
      <c r="N184" s="2"/>
      <c r="O184" s="2"/>
      <c r="P184" s="2" t="s">
        <v>162</v>
      </c>
      <c r="Q184" s="2"/>
    </row>
    <row r="186" spans="1:17">
      <c r="F186" s="44" t="s">
        <v>32</v>
      </c>
      <c r="G186" s="44" t="s">
        <v>33</v>
      </c>
      <c r="H186" s="44" t="s">
        <v>34</v>
      </c>
      <c r="I186" s="44" t="s">
        <v>35</v>
      </c>
      <c r="J186" s="44" t="s">
        <v>36</v>
      </c>
      <c r="K186" s="44" t="s">
        <v>37</v>
      </c>
    </row>
    <row r="187" spans="1:17">
      <c r="A187" s="33" t="s">
        <v>311</v>
      </c>
      <c r="B187" s="33" t="s">
        <v>311</v>
      </c>
      <c r="C187" s="25" t="s">
        <v>312</v>
      </c>
      <c r="D187" s="1"/>
      <c r="F187" s="2" t="s">
        <v>191</v>
      </c>
      <c r="G187" s="2" t="s">
        <v>193</v>
      </c>
      <c r="H187" s="2" t="s">
        <v>162</v>
      </c>
      <c r="I187" s="2" t="s">
        <v>206</v>
      </c>
      <c r="J187" s="2"/>
      <c r="K187" s="2"/>
    </row>
    <row r="188" spans="1:17">
      <c r="A188" s="33" t="s">
        <v>313</v>
      </c>
      <c r="B188" s="33" t="s">
        <v>313</v>
      </c>
      <c r="C188" s="25" t="s">
        <v>314</v>
      </c>
      <c r="D188" s="1"/>
      <c r="F188" s="2"/>
      <c r="G188" s="2" t="s">
        <v>193</v>
      </c>
      <c r="H188" s="2" t="s">
        <v>162</v>
      </c>
      <c r="I188" s="2" t="s">
        <v>206</v>
      </c>
      <c r="J188" s="2" t="s">
        <v>191</v>
      </c>
      <c r="K188" s="2"/>
    </row>
    <row r="189" spans="1:17">
      <c r="A189" s="33" t="s">
        <v>315</v>
      </c>
      <c r="B189" s="33" t="s">
        <v>315</v>
      </c>
      <c r="C189" s="25" t="s">
        <v>316</v>
      </c>
      <c r="D189" s="1"/>
      <c r="F189" s="2" t="s">
        <v>191</v>
      </c>
      <c r="G189" s="2" t="s">
        <v>193</v>
      </c>
      <c r="H189" s="2" t="s">
        <v>162</v>
      </c>
      <c r="I189" s="2"/>
      <c r="J189" s="2"/>
      <c r="K189" s="2" t="s">
        <v>206</v>
      </c>
    </row>
    <row r="191" spans="1:17">
      <c r="F191" s="44" t="s">
        <v>33</v>
      </c>
      <c r="G191" s="44" t="s">
        <v>39</v>
      </c>
      <c r="H191" s="44" t="s">
        <v>40</v>
      </c>
      <c r="I191" s="44" t="s">
        <v>41</v>
      </c>
      <c r="J191" s="44" t="s">
        <v>38</v>
      </c>
      <c r="K191" s="44" t="s">
        <v>42</v>
      </c>
      <c r="L191" s="44" t="s">
        <v>45</v>
      </c>
      <c r="M191" s="44" t="s">
        <v>44</v>
      </c>
      <c r="N191" s="44" t="s">
        <v>43</v>
      </c>
      <c r="O191" s="44" t="s">
        <v>32</v>
      </c>
      <c r="P191" s="44" t="s">
        <v>34</v>
      </c>
      <c r="Q191" s="44" t="s">
        <v>35</v>
      </c>
    </row>
    <row r="192" spans="1:17">
      <c r="A192" s="302" t="s">
        <v>317</v>
      </c>
      <c r="B192" s="37" t="s">
        <v>318</v>
      </c>
      <c r="C192" s="17" t="s">
        <v>319</v>
      </c>
      <c r="D192" s="36" t="s">
        <v>320</v>
      </c>
      <c r="F192" s="2" t="s">
        <v>193</v>
      </c>
      <c r="G192" s="2"/>
      <c r="H192" s="2"/>
      <c r="I192" s="2"/>
      <c r="J192" s="2"/>
      <c r="K192" s="2" t="s">
        <v>191</v>
      </c>
      <c r="L192" s="2"/>
      <c r="M192" s="2"/>
      <c r="N192" s="2"/>
      <c r="O192" s="2"/>
      <c r="P192" s="2" t="s">
        <v>162</v>
      </c>
      <c r="Q192" s="2" t="s">
        <v>206</v>
      </c>
    </row>
    <row r="193" spans="1:17">
      <c r="A193" s="302"/>
      <c r="B193" s="37" t="s">
        <v>321</v>
      </c>
      <c r="C193" s="17" t="s">
        <v>322</v>
      </c>
      <c r="D193" s="36" t="s">
        <v>323</v>
      </c>
      <c r="F193" s="2" t="s">
        <v>324</v>
      </c>
      <c r="G193" s="2" t="s">
        <v>193</v>
      </c>
      <c r="H193" s="2"/>
      <c r="I193" s="2"/>
      <c r="J193" s="2"/>
      <c r="K193" s="2"/>
      <c r="L193" s="2" t="s">
        <v>191</v>
      </c>
      <c r="M193" s="2"/>
      <c r="N193" s="2"/>
      <c r="O193" s="2"/>
      <c r="P193" s="2" t="s">
        <v>162</v>
      </c>
      <c r="Q193" s="2" t="s">
        <v>206</v>
      </c>
    </row>
    <row r="194" spans="1:17">
      <c r="A194" s="302"/>
      <c r="B194" s="37" t="s">
        <v>325</v>
      </c>
      <c r="C194" s="17" t="s">
        <v>326</v>
      </c>
      <c r="D194" s="36" t="s">
        <v>327</v>
      </c>
      <c r="F194" s="2" t="s">
        <v>324</v>
      </c>
      <c r="G194" s="2"/>
      <c r="H194" s="2" t="s">
        <v>193</v>
      </c>
      <c r="I194" s="2"/>
      <c r="J194" s="2"/>
      <c r="K194" s="2"/>
      <c r="L194" s="2"/>
      <c r="M194" s="2" t="s">
        <v>191</v>
      </c>
      <c r="N194" s="2"/>
      <c r="O194" s="2"/>
      <c r="P194" s="2" t="s">
        <v>162</v>
      </c>
      <c r="Q194" s="2" t="s">
        <v>206</v>
      </c>
    </row>
    <row r="195" spans="1:17">
      <c r="A195" s="302"/>
      <c r="B195" s="290" t="s">
        <v>328</v>
      </c>
      <c r="C195" s="17" t="s">
        <v>329</v>
      </c>
      <c r="D195" s="36" t="s">
        <v>320</v>
      </c>
      <c r="F195" s="288" t="s">
        <v>193</v>
      </c>
      <c r="G195" s="288" t="s">
        <v>193</v>
      </c>
      <c r="H195" s="2"/>
      <c r="I195" s="2"/>
      <c r="J195" s="2"/>
      <c r="K195" s="2" t="s">
        <v>191</v>
      </c>
      <c r="L195" s="2"/>
      <c r="M195" s="2"/>
      <c r="N195" s="2"/>
      <c r="O195" s="2"/>
      <c r="P195" s="288" t="s">
        <v>162</v>
      </c>
      <c r="Q195" s="288" t="s">
        <v>206</v>
      </c>
    </row>
    <row r="196" spans="1:17">
      <c r="A196" s="302"/>
      <c r="B196" s="291"/>
      <c r="C196" s="17" t="s">
        <v>330</v>
      </c>
      <c r="D196" s="36" t="s">
        <v>323</v>
      </c>
      <c r="F196" s="289"/>
      <c r="G196" s="289"/>
      <c r="H196" s="2"/>
      <c r="I196" s="2"/>
      <c r="J196" s="2"/>
      <c r="K196" s="2"/>
      <c r="L196" s="2" t="s">
        <v>191</v>
      </c>
      <c r="M196" s="2"/>
      <c r="N196" s="2"/>
      <c r="O196" s="2"/>
      <c r="P196" s="289"/>
      <c r="Q196" s="289"/>
    </row>
    <row r="197" spans="1:17">
      <c r="A197" s="302"/>
      <c r="B197" s="290" t="s">
        <v>331</v>
      </c>
      <c r="C197" s="17" t="s">
        <v>332</v>
      </c>
      <c r="D197" s="36" t="s">
        <v>320</v>
      </c>
      <c r="F197" s="288" t="s">
        <v>193</v>
      </c>
      <c r="G197" s="2"/>
      <c r="H197" s="288" t="s">
        <v>193</v>
      </c>
      <c r="I197" s="2"/>
      <c r="J197" s="2"/>
      <c r="K197" s="2" t="s">
        <v>191</v>
      </c>
      <c r="L197" s="2"/>
      <c r="M197" s="2"/>
      <c r="N197" s="2"/>
      <c r="O197" s="2"/>
      <c r="P197" s="288" t="s">
        <v>162</v>
      </c>
      <c r="Q197" s="288" t="s">
        <v>206</v>
      </c>
    </row>
    <row r="198" spans="1:17">
      <c r="A198" s="302"/>
      <c r="B198" s="291"/>
      <c r="C198" s="17" t="s">
        <v>333</v>
      </c>
      <c r="D198" s="36" t="s">
        <v>327</v>
      </c>
      <c r="F198" s="289"/>
      <c r="G198" s="2"/>
      <c r="H198" s="289"/>
      <c r="I198" s="2"/>
      <c r="J198" s="2"/>
      <c r="K198" s="2"/>
      <c r="L198" s="2"/>
      <c r="M198" s="2" t="s">
        <v>191</v>
      </c>
      <c r="N198" s="2"/>
      <c r="O198" s="2"/>
      <c r="P198" s="289"/>
      <c r="Q198" s="289"/>
    </row>
    <row r="199" spans="1:17">
      <c r="A199" s="302"/>
      <c r="B199" s="290" t="s">
        <v>334</v>
      </c>
      <c r="C199" s="17" t="s">
        <v>335</v>
      </c>
      <c r="D199" s="36" t="s">
        <v>323</v>
      </c>
      <c r="F199" s="2" t="s">
        <v>324</v>
      </c>
      <c r="G199" s="288" t="s">
        <v>193</v>
      </c>
      <c r="H199" s="288" t="s">
        <v>193</v>
      </c>
      <c r="I199" s="2"/>
      <c r="J199" s="2"/>
      <c r="K199" s="2"/>
      <c r="L199" s="2" t="s">
        <v>191</v>
      </c>
      <c r="M199" s="2"/>
      <c r="N199" s="2"/>
      <c r="O199" s="2"/>
      <c r="P199" s="288" t="s">
        <v>162</v>
      </c>
      <c r="Q199" s="288" t="s">
        <v>206</v>
      </c>
    </row>
    <row r="200" spans="1:17">
      <c r="A200" s="302"/>
      <c r="B200" s="291"/>
      <c r="C200" s="17" t="s">
        <v>336</v>
      </c>
      <c r="D200" s="36" t="s">
        <v>327</v>
      </c>
      <c r="F200" s="2" t="s">
        <v>324</v>
      </c>
      <c r="G200" s="289"/>
      <c r="H200" s="289"/>
      <c r="I200" s="2"/>
      <c r="J200" s="2"/>
      <c r="K200" s="2"/>
      <c r="L200" s="2"/>
      <c r="M200" s="2" t="s">
        <v>191</v>
      </c>
      <c r="N200" s="2"/>
      <c r="O200" s="2"/>
      <c r="P200" s="289"/>
      <c r="Q200" s="289"/>
    </row>
    <row r="201" spans="1:17">
      <c r="A201" s="302"/>
      <c r="B201" s="290" t="s">
        <v>337</v>
      </c>
      <c r="C201" s="17" t="s">
        <v>338</v>
      </c>
      <c r="D201" s="36" t="s">
        <v>323</v>
      </c>
      <c r="F201" s="2" t="s">
        <v>324</v>
      </c>
      <c r="G201" s="288" t="s">
        <v>193</v>
      </c>
      <c r="H201" s="288" t="s">
        <v>193</v>
      </c>
      <c r="I201" s="288" t="s">
        <v>193</v>
      </c>
      <c r="J201" s="2"/>
      <c r="K201" s="2"/>
      <c r="L201" s="2" t="s">
        <v>191</v>
      </c>
      <c r="M201" s="2"/>
      <c r="N201" s="2"/>
      <c r="O201" s="2"/>
      <c r="P201" s="288" t="s">
        <v>162</v>
      </c>
      <c r="Q201" s="288" t="s">
        <v>206</v>
      </c>
    </row>
    <row r="202" spans="1:17">
      <c r="A202" s="302"/>
      <c r="B202" s="293"/>
      <c r="C202" s="17" t="s">
        <v>339</v>
      </c>
      <c r="D202" s="36" t="s">
        <v>327</v>
      </c>
      <c r="F202" s="2" t="s">
        <v>324</v>
      </c>
      <c r="G202" s="292"/>
      <c r="H202" s="292"/>
      <c r="I202" s="292"/>
      <c r="J202" s="2"/>
      <c r="K202" s="2"/>
      <c r="L202" s="2"/>
      <c r="M202" s="2" t="s">
        <v>191</v>
      </c>
      <c r="N202" s="2"/>
      <c r="O202" s="2"/>
      <c r="P202" s="292"/>
      <c r="Q202" s="292"/>
    </row>
    <row r="203" spans="1:17">
      <c r="A203" s="302"/>
      <c r="B203" s="291"/>
      <c r="C203" s="17" t="s">
        <v>340</v>
      </c>
      <c r="D203" s="36" t="s">
        <v>341</v>
      </c>
      <c r="F203" s="2" t="s">
        <v>324</v>
      </c>
      <c r="G203" s="289"/>
      <c r="H203" s="289"/>
      <c r="I203" s="289"/>
      <c r="J203" s="2"/>
      <c r="K203" s="2"/>
      <c r="L203" s="2"/>
      <c r="M203" s="2"/>
      <c r="N203" s="2" t="s">
        <v>191</v>
      </c>
      <c r="O203" s="2"/>
      <c r="P203" s="289"/>
      <c r="Q203" s="289"/>
    </row>
    <row r="204" spans="1:17">
      <c r="A204" s="302"/>
      <c r="B204" s="290" t="s">
        <v>342</v>
      </c>
      <c r="C204" s="17" t="s">
        <v>343</v>
      </c>
      <c r="D204" s="36" t="s">
        <v>320</v>
      </c>
      <c r="F204" s="288" t="s">
        <v>193</v>
      </c>
      <c r="G204" s="2"/>
      <c r="H204" s="288" t="s">
        <v>193</v>
      </c>
      <c r="I204" s="2"/>
      <c r="J204" s="288" t="s">
        <v>193</v>
      </c>
      <c r="K204" s="2" t="s">
        <v>191</v>
      </c>
      <c r="L204" s="2"/>
      <c r="M204" s="2"/>
      <c r="N204" s="2"/>
      <c r="O204" s="2"/>
      <c r="P204" s="288" t="s">
        <v>162</v>
      </c>
      <c r="Q204" s="288" t="s">
        <v>206</v>
      </c>
    </row>
    <row r="205" spans="1:17">
      <c r="A205" s="302"/>
      <c r="B205" s="293"/>
      <c r="C205" s="17" t="s">
        <v>344</v>
      </c>
      <c r="D205" s="36" t="s">
        <v>327</v>
      </c>
      <c r="F205" s="292"/>
      <c r="G205" s="2"/>
      <c r="H205" s="292"/>
      <c r="I205" s="2"/>
      <c r="J205" s="292"/>
      <c r="K205" s="2"/>
      <c r="L205" s="2"/>
      <c r="M205" s="2" t="s">
        <v>191</v>
      </c>
      <c r="N205" s="2"/>
      <c r="O205" s="2"/>
      <c r="P205" s="292"/>
      <c r="Q205" s="292"/>
    </row>
    <row r="206" spans="1:17">
      <c r="A206" s="302"/>
      <c r="B206" s="291"/>
      <c r="C206" s="17" t="s">
        <v>345</v>
      </c>
      <c r="D206" s="36" t="s">
        <v>346</v>
      </c>
      <c r="F206" s="289"/>
      <c r="G206" s="2"/>
      <c r="H206" s="289"/>
      <c r="I206" s="2"/>
      <c r="J206" s="289"/>
      <c r="K206" s="2"/>
      <c r="L206" s="2"/>
      <c r="M206" s="2"/>
      <c r="N206" s="2"/>
      <c r="O206" s="2" t="s">
        <v>191</v>
      </c>
      <c r="P206" s="289"/>
      <c r="Q206" s="289"/>
    </row>
    <row r="207" spans="1:17">
      <c r="A207" s="302"/>
      <c r="B207" s="290" t="s">
        <v>347</v>
      </c>
      <c r="C207" s="17" t="s">
        <v>348</v>
      </c>
      <c r="D207" s="36" t="s">
        <v>320</v>
      </c>
      <c r="F207" s="288" t="s">
        <v>193</v>
      </c>
      <c r="G207" s="288" t="s">
        <v>193</v>
      </c>
      <c r="H207" s="288" t="s">
        <v>193</v>
      </c>
      <c r="I207" s="288" t="s">
        <v>193</v>
      </c>
      <c r="J207" s="2"/>
      <c r="K207" s="2" t="s">
        <v>191</v>
      </c>
      <c r="L207" s="2"/>
      <c r="M207" s="17"/>
      <c r="N207" s="17"/>
      <c r="O207" s="2"/>
      <c r="P207" s="288" t="s">
        <v>162</v>
      </c>
      <c r="Q207" s="288" t="s">
        <v>206</v>
      </c>
    </row>
    <row r="208" spans="1:17">
      <c r="A208" s="302"/>
      <c r="B208" s="293"/>
      <c r="C208" s="17" t="s">
        <v>349</v>
      </c>
      <c r="D208" s="36" t="s">
        <v>323</v>
      </c>
      <c r="F208" s="292"/>
      <c r="G208" s="292"/>
      <c r="H208" s="292"/>
      <c r="I208" s="292"/>
      <c r="J208" s="2"/>
      <c r="K208" s="2"/>
      <c r="L208" s="2" t="s">
        <v>191</v>
      </c>
      <c r="M208" s="17"/>
      <c r="N208" s="17"/>
      <c r="O208" s="2"/>
      <c r="P208" s="292"/>
      <c r="Q208" s="292"/>
    </row>
    <row r="209" spans="1:17">
      <c r="A209" s="302"/>
      <c r="B209" s="293"/>
      <c r="C209" s="17" t="s">
        <v>350</v>
      </c>
      <c r="D209" s="36" t="s">
        <v>327</v>
      </c>
      <c r="F209" s="292"/>
      <c r="G209" s="292"/>
      <c r="H209" s="292"/>
      <c r="I209" s="292"/>
      <c r="J209" s="2"/>
      <c r="K209" s="2"/>
      <c r="L209" s="2"/>
      <c r="M209" s="2" t="s">
        <v>191</v>
      </c>
      <c r="N209" s="17"/>
      <c r="O209" s="2"/>
      <c r="P209" s="292"/>
      <c r="Q209" s="292"/>
    </row>
    <row r="210" spans="1:17">
      <c r="A210" s="302"/>
      <c r="B210" s="291"/>
      <c r="C210" s="17" t="s">
        <v>351</v>
      </c>
      <c r="D210" s="36" t="s">
        <v>341</v>
      </c>
      <c r="F210" s="289"/>
      <c r="G210" s="289"/>
      <c r="H210" s="289"/>
      <c r="I210" s="289"/>
      <c r="J210" s="2"/>
      <c r="K210" s="2"/>
      <c r="L210" s="2"/>
      <c r="M210" s="2"/>
      <c r="N210" s="2" t="s">
        <v>191</v>
      </c>
      <c r="O210" s="2"/>
      <c r="P210" s="289"/>
      <c r="Q210" s="289"/>
    </row>
    <row r="211" spans="1:17">
      <c r="A211" s="302"/>
      <c r="B211" s="290" t="s">
        <v>352</v>
      </c>
      <c r="C211" s="17" t="s">
        <v>353</v>
      </c>
      <c r="D211" s="36" t="s">
        <v>320</v>
      </c>
      <c r="F211" s="288" t="s">
        <v>193</v>
      </c>
      <c r="G211" s="288" t="s">
        <v>193</v>
      </c>
      <c r="H211" s="288" t="s">
        <v>193</v>
      </c>
      <c r="I211" s="288" t="s">
        <v>193</v>
      </c>
      <c r="J211" s="288" t="s">
        <v>193</v>
      </c>
      <c r="K211" s="2" t="s">
        <v>191</v>
      </c>
      <c r="L211" s="2"/>
      <c r="M211" s="17"/>
      <c r="N211" s="17"/>
      <c r="O211" s="17"/>
      <c r="P211" s="288" t="s">
        <v>162</v>
      </c>
      <c r="Q211" s="288" t="s">
        <v>206</v>
      </c>
    </row>
    <row r="212" spans="1:17">
      <c r="A212" s="302"/>
      <c r="B212" s="293"/>
      <c r="C212" s="17" t="s">
        <v>354</v>
      </c>
      <c r="D212" s="36" t="s">
        <v>323</v>
      </c>
      <c r="F212" s="292"/>
      <c r="G212" s="292"/>
      <c r="H212" s="292"/>
      <c r="I212" s="292"/>
      <c r="J212" s="292"/>
      <c r="K212" s="2"/>
      <c r="L212" s="2" t="s">
        <v>191</v>
      </c>
      <c r="M212" s="17"/>
      <c r="N212" s="17"/>
      <c r="O212" s="17"/>
      <c r="P212" s="292"/>
      <c r="Q212" s="292"/>
    </row>
    <row r="213" spans="1:17">
      <c r="A213" s="302"/>
      <c r="B213" s="293"/>
      <c r="C213" s="17" t="s">
        <v>355</v>
      </c>
      <c r="D213" s="36" t="s">
        <v>327</v>
      </c>
      <c r="F213" s="292"/>
      <c r="G213" s="292"/>
      <c r="H213" s="292"/>
      <c r="I213" s="292"/>
      <c r="J213" s="292"/>
      <c r="K213" s="2"/>
      <c r="L213" s="2"/>
      <c r="M213" s="2" t="s">
        <v>191</v>
      </c>
      <c r="N213" s="17"/>
      <c r="O213" s="17"/>
      <c r="P213" s="292"/>
      <c r="Q213" s="292"/>
    </row>
    <row r="214" spans="1:17">
      <c r="A214" s="302"/>
      <c r="B214" s="293"/>
      <c r="C214" s="17" t="s">
        <v>356</v>
      </c>
      <c r="D214" s="36" t="s">
        <v>341</v>
      </c>
      <c r="F214" s="292"/>
      <c r="G214" s="292"/>
      <c r="H214" s="292"/>
      <c r="I214" s="292"/>
      <c r="J214" s="292"/>
      <c r="K214" s="2"/>
      <c r="L214" s="2"/>
      <c r="M214" s="2"/>
      <c r="N214" s="2" t="s">
        <v>191</v>
      </c>
      <c r="O214" s="17"/>
      <c r="P214" s="292"/>
      <c r="Q214" s="292"/>
    </row>
    <row r="215" spans="1:17">
      <c r="A215" s="302"/>
      <c r="B215" s="291"/>
      <c r="C215" s="17" t="s">
        <v>357</v>
      </c>
      <c r="D215" s="36" t="s">
        <v>346</v>
      </c>
      <c r="F215" s="289"/>
      <c r="G215" s="289"/>
      <c r="H215" s="289"/>
      <c r="I215" s="289"/>
      <c r="J215" s="289"/>
      <c r="K215" s="2"/>
      <c r="L215" s="2"/>
      <c r="M215" s="2"/>
      <c r="N215" s="2"/>
      <c r="O215" s="2" t="s">
        <v>191</v>
      </c>
      <c r="P215" s="289"/>
      <c r="Q215" s="289"/>
    </row>
    <row r="216" spans="1:17">
      <c r="A216" s="302"/>
      <c r="B216" s="10" t="s">
        <v>1031</v>
      </c>
      <c r="C216" s="17" t="s">
        <v>1032</v>
      </c>
      <c r="D216" s="60"/>
      <c r="F216" s="15"/>
      <c r="G216" s="15"/>
      <c r="H216" s="15"/>
      <c r="I216" s="15"/>
      <c r="J216" s="15"/>
      <c r="N216" s="3"/>
      <c r="O216" s="3"/>
      <c r="P216" s="15"/>
      <c r="Q216" s="15"/>
    </row>
    <row r="217" spans="1:17">
      <c r="A217" s="302"/>
      <c r="B217" s="10" t="s">
        <v>1033</v>
      </c>
      <c r="C217" s="17" t="s">
        <v>1034</v>
      </c>
      <c r="D217" s="60"/>
      <c r="F217" s="15"/>
      <c r="G217" s="15"/>
      <c r="H217" s="15"/>
      <c r="I217" s="15"/>
      <c r="J217" s="15"/>
      <c r="N217" s="3"/>
      <c r="O217" s="3"/>
      <c r="P217" s="15"/>
      <c r="Q217" s="15"/>
    </row>
    <row r="218" spans="1:17">
      <c r="A218" s="302"/>
      <c r="B218" s="10" t="s">
        <v>1035</v>
      </c>
      <c r="C218" s="17" t="s">
        <v>1036</v>
      </c>
      <c r="D218" s="60"/>
      <c r="F218" s="15"/>
      <c r="G218" s="15"/>
      <c r="H218" s="15"/>
      <c r="I218" s="15"/>
      <c r="J218" s="15"/>
      <c r="N218" s="3"/>
      <c r="O218" s="3"/>
      <c r="P218" s="15"/>
      <c r="Q218" s="15"/>
    </row>
    <row r="219" spans="1:17">
      <c r="A219" s="302"/>
      <c r="B219" s="10" t="s">
        <v>1037</v>
      </c>
      <c r="C219" s="17" t="s">
        <v>1038</v>
      </c>
      <c r="D219" s="60"/>
      <c r="F219" s="15"/>
      <c r="G219" s="15"/>
      <c r="H219" s="15"/>
      <c r="I219" s="15"/>
      <c r="J219" s="15"/>
      <c r="N219" s="3"/>
      <c r="O219" s="3"/>
      <c r="P219" s="15"/>
      <c r="Q219" s="15"/>
    </row>
    <row r="220" spans="1:17">
      <c r="A220" s="302"/>
      <c r="B220" s="10" t="s">
        <v>1039</v>
      </c>
      <c r="C220" s="17" t="s">
        <v>1040</v>
      </c>
      <c r="D220" s="60"/>
      <c r="F220" s="15"/>
      <c r="G220" s="15"/>
      <c r="H220" s="15"/>
      <c r="I220" s="15"/>
      <c r="J220" s="15"/>
      <c r="N220" s="3"/>
      <c r="O220" s="3"/>
      <c r="P220" s="15"/>
      <c r="Q220" s="15"/>
    </row>
    <row r="221" spans="1:17">
      <c r="A221" s="302"/>
      <c r="B221" s="7" t="s">
        <v>1041</v>
      </c>
      <c r="C221" s="17" t="s">
        <v>1042</v>
      </c>
      <c r="D221" s="60"/>
      <c r="F221" s="15"/>
      <c r="G221" s="15"/>
      <c r="H221" s="15"/>
      <c r="I221" s="15"/>
      <c r="J221" s="15"/>
      <c r="N221" s="3"/>
      <c r="O221" s="3"/>
      <c r="P221" s="15"/>
      <c r="Q221" s="15"/>
    </row>
    <row r="222" spans="1:17">
      <c r="A222" s="302"/>
      <c r="B222" s="7" t="s">
        <v>1043</v>
      </c>
      <c r="C222" s="17" t="s">
        <v>1044</v>
      </c>
      <c r="D222" s="60"/>
      <c r="F222" s="15"/>
      <c r="G222" s="15"/>
      <c r="H222" s="15"/>
      <c r="I222" s="15"/>
      <c r="J222" s="15"/>
      <c r="N222" s="3"/>
      <c r="O222" s="3"/>
      <c r="P222" s="15"/>
      <c r="Q222" s="15"/>
    </row>
    <row r="223" spans="1:17">
      <c r="A223" s="302"/>
      <c r="B223" s="7" t="s">
        <v>1045</v>
      </c>
      <c r="C223" s="17" t="s">
        <v>1046</v>
      </c>
      <c r="D223" s="60"/>
      <c r="F223" s="15"/>
      <c r="G223" s="15"/>
      <c r="H223" s="15"/>
      <c r="I223" s="15"/>
      <c r="J223" s="15"/>
      <c r="N223" s="3"/>
      <c r="O223" s="3"/>
      <c r="P223" s="15"/>
      <c r="Q223" s="15"/>
    </row>
    <row r="224" spans="1:17">
      <c r="A224" s="302"/>
      <c r="B224" s="7" t="s">
        <v>1047</v>
      </c>
      <c r="C224" s="17" t="s">
        <v>1048</v>
      </c>
      <c r="D224" s="60"/>
      <c r="F224" s="15"/>
      <c r="G224" s="15"/>
      <c r="H224" s="15"/>
      <c r="I224" s="15"/>
      <c r="J224" s="15"/>
      <c r="N224" s="3"/>
      <c r="O224" s="3"/>
      <c r="P224" s="15"/>
      <c r="Q224" s="15"/>
    </row>
    <row r="225" spans="1:17">
      <c r="A225" s="302"/>
      <c r="B225" s="7" t="s">
        <v>1049</v>
      </c>
      <c r="C225" s="17" t="s">
        <v>1050</v>
      </c>
      <c r="D225" s="60"/>
      <c r="F225" s="15"/>
      <c r="G225" s="15"/>
      <c r="H225" s="15"/>
      <c r="I225" s="15"/>
      <c r="J225" s="15"/>
      <c r="N225" s="3"/>
      <c r="O225" s="3"/>
      <c r="P225" s="15"/>
      <c r="Q225" s="15"/>
    </row>
    <row r="226" spans="1:17">
      <c r="A226" s="302"/>
      <c r="B226" s="7" t="s">
        <v>1051</v>
      </c>
      <c r="C226" s="17" t="s">
        <v>1052</v>
      </c>
      <c r="D226" s="60"/>
      <c r="F226" s="15"/>
      <c r="G226" s="15"/>
      <c r="H226" s="15"/>
      <c r="I226" s="15"/>
      <c r="J226" s="15"/>
      <c r="N226" s="3"/>
      <c r="O226" s="3"/>
      <c r="P226" s="15"/>
      <c r="Q226" s="15"/>
    </row>
    <row r="227" spans="1:17">
      <c r="A227" s="302"/>
      <c r="B227" s="7" t="s">
        <v>1053</v>
      </c>
      <c r="C227" s="17" t="s">
        <v>1054</v>
      </c>
      <c r="D227" s="60"/>
      <c r="F227" s="15"/>
      <c r="G227" s="15"/>
      <c r="H227" s="15"/>
      <c r="I227" s="15"/>
      <c r="J227" s="15"/>
      <c r="N227" s="3"/>
      <c r="O227" s="3"/>
      <c r="P227" s="15"/>
      <c r="Q227" s="15"/>
    </row>
    <row r="229" spans="1:17">
      <c r="D229" s="14"/>
      <c r="E229" s="4"/>
      <c r="F229" s="23" t="s">
        <v>83</v>
      </c>
      <c r="G229" s="23" t="s">
        <v>82</v>
      </c>
      <c r="H229" s="23" t="s">
        <v>84</v>
      </c>
      <c r="I229" s="23" t="s">
        <v>358</v>
      </c>
      <c r="J229" s="23" t="s">
        <v>359</v>
      </c>
      <c r="K229"/>
      <c r="L229"/>
      <c r="M229"/>
    </row>
    <row r="230" spans="1:17">
      <c r="A230" s="285" t="s">
        <v>360</v>
      </c>
      <c r="B230" s="7" t="s">
        <v>361</v>
      </c>
      <c r="C230" s="25"/>
      <c r="D230" s="1"/>
      <c r="E230" s="6"/>
      <c r="F230" s="67"/>
      <c r="G230" s="67"/>
      <c r="H230" s="67"/>
      <c r="I230" s="67"/>
      <c r="J230" s="67"/>
      <c r="K230"/>
      <c r="L230"/>
      <c r="M230"/>
    </row>
    <row r="231" spans="1:17">
      <c r="A231" s="286"/>
      <c r="B231" s="7" t="s">
        <v>362</v>
      </c>
      <c r="C231" s="25"/>
      <c r="D231" s="1"/>
      <c r="F231" s="67"/>
      <c r="G231" s="67"/>
      <c r="H231" s="67"/>
      <c r="I231" s="67"/>
      <c r="J231" s="67"/>
      <c r="K231"/>
      <c r="L231"/>
      <c r="M231"/>
    </row>
    <row r="232" spans="1:17">
      <c r="A232" s="286"/>
      <c r="B232" s="7" t="s">
        <v>363</v>
      </c>
      <c r="C232" s="25"/>
      <c r="D232" s="1"/>
      <c r="F232" s="67"/>
      <c r="G232" s="67"/>
      <c r="H232" s="67"/>
      <c r="I232" s="67"/>
      <c r="J232" s="67"/>
      <c r="K232"/>
      <c r="L232"/>
      <c r="M232"/>
    </row>
    <row r="233" spans="1:17">
      <c r="A233" s="286"/>
      <c r="B233" s="7" t="s">
        <v>364</v>
      </c>
      <c r="C233" s="25"/>
      <c r="D233" s="1"/>
      <c r="F233" s="67"/>
      <c r="G233" s="67"/>
      <c r="H233" s="67"/>
      <c r="I233" s="67"/>
      <c r="J233" s="67"/>
      <c r="K233"/>
      <c r="L233"/>
      <c r="M233"/>
    </row>
    <row r="234" spans="1:17">
      <c r="A234" s="286"/>
      <c r="B234" s="7" t="s">
        <v>365</v>
      </c>
      <c r="C234" s="25"/>
      <c r="D234" s="1"/>
      <c r="F234" s="67"/>
      <c r="G234" s="67"/>
      <c r="H234" s="67"/>
      <c r="I234" s="67"/>
      <c r="J234" s="67"/>
      <c r="K234"/>
      <c r="L234"/>
      <c r="M234"/>
    </row>
    <row r="235" spans="1:17">
      <c r="A235" s="286"/>
      <c r="B235" s="7" t="s">
        <v>366</v>
      </c>
      <c r="C235" s="25"/>
      <c r="D235" s="1"/>
      <c r="F235" s="67"/>
      <c r="G235" s="67"/>
      <c r="H235" s="67"/>
      <c r="I235" s="67"/>
      <c r="J235" s="67"/>
      <c r="K235"/>
      <c r="L235"/>
      <c r="M235"/>
    </row>
    <row r="236" spans="1:17">
      <c r="A236" s="286"/>
      <c r="B236" s="7" t="s">
        <v>367</v>
      </c>
      <c r="C236" s="25"/>
      <c r="D236" s="1"/>
      <c r="F236" s="67"/>
      <c r="G236" s="67"/>
      <c r="H236" s="67"/>
      <c r="I236" s="67"/>
      <c r="J236" s="67"/>
      <c r="K236"/>
      <c r="L236"/>
      <c r="M236"/>
    </row>
    <row r="237" spans="1:17">
      <c r="A237" s="286"/>
      <c r="B237" s="7" t="s">
        <v>368</v>
      </c>
      <c r="C237" s="25"/>
      <c r="D237" s="1"/>
      <c r="F237" s="67"/>
      <c r="G237" s="67"/>
      <c r="H237" s="67"/>
      <c r="I237" s="67"/>
      <c r="J237" s="67"/>
      <c r="K237"/>
      <c r="L237"/>
      <c r="M237"/>
    </row>
    <row r="238" spans="1:17">
      <c r="A238" s="287"/>
      <c r="B238" s="7" t="s">
        <v>360</v>
      </c>
      <c r="C238" s="25"/>
      <c r="D238" s="1"/>
      <c r="F238" s="67"/>
      <c r="G238" s="67"/>
      <c r="H238" s="67"/>
      <c r="I238" s="67"/>
      <c r="J238" s="67"/>
      <c r="K238"/>
      <c r="L238"/>
      <c r="M238"/>
    </row>
    <row r="239" spans="1:17">
      <c r="A239" s="7" t="s">
        <v>369</v>
      </c>
      <c r="B239" s="7" t="s">
        <v>369</v>
      </c>
      <c r="C239" s="25"/>
      <c r="D239" s="1"/>
      <c r="F239" s="67"/>
      <c r="G239" s="67"/>
      <c r="H239" s="67"/>
      <c r="I239" s="67"/>
      <c r="J239" s="67"/>
      <c r="K239"/>
      <c r="L239"/>
      <c r="M239"/>
    </row>
    <row r="240" spans="1:17">
      <c r="A240" s="7" t="s">
        <v>370</v>
      </c>
      <c r="B240" s="7" t="s">
        <v>370</v>
      </c>
      <c r="C240" s="25"/>
      <c r="D240" s="1"/>
      <c r="F240" s="67"/>
      <c r="G240" s="67"/>
      <c r="H240" s="67"/>
      <c r="I240" s="67"/>
      <c r="J240" s="67"/>
      <c r="K240"/>
      <c r="L240"/>
      <c r="M240"/>
    </row>
    <row r="241" spans="1:18">
      <c r="F241"/>
      <c r="G241"/>
      <c r="H241"/>
      <c r="I241"/>
      <c r="J241"/>
      <c r="K241"/>
      <c r="L241"/>
      <c r="M241"/>
    </row>
    <row r="242" spans="1:18">
      <c r="D242" s="14"/>
      <c r="E242" s="4"/>
      <c r="F242" s="23" t="s">
        <v>83</v>
      </c>
      <c r="G242" s="23" t="s">
        <v>82</v>
      </c>
      <c r="H242" s="23" t="s">
        <v>84</v>
      </c>
      <c r="I242" s="23" t="s">
        <v>79</v>
      </c>
      <c r="J242" s="23" t="s">
        <v>78</v>
      </c>
      <c r="K242" s="23" t="s">
        <v>75</v>
      </c>
      <c r="L242" s="23" t="s">
        <v>372</v>
      </c>
      <c r="M242" s="23" t="s">
        <v>373</v>
      </c>
      <c r="N242" s="23" t="s">
        <v>81</v>
      </c>
      <c r="O242" s="23" t="s">
        <v>80</v>
      </c>
      <c r="P242" s="4"/>
      <c r="R242" s="4"/>
    </row>
    <row r="243" spans="1:18">
      <c r="A243" s="285" t="s">
        <v>374</v>
      </c>
      <c r="B243" s="7" t="s">
        <v>375</v>
      </c>
      <c r="C243" s="25"/>
      <c r="D243" s="1"/>
      <c r="E243" s="6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"/>
      <c r="R243" s="6"/>
    </row>
    <row r="244" spans="1:18">
      <c r="A244" s="286"/>
      <c r="B244" s="7" t="s">
        <v>376</v>
      </c>
      <c r="C244" s="25"/>
      <c r="D244" s="1"/>
      <c r="E244" s="6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"/>
      <c r="R244" s="6"/>
    </row>
    <row r="245" spans="1:18">
      <c r="A245" s="286"/>
      <c r="B245" s="7" t="s">
        <v>377</v>
      </c>
      <c r="C245" s="25"/>
      <c r="D245" s="1"/>
      <c r="E245" s="6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"/>
      <c r="R245" s="6"/>
    </row>
    <row r="246" spans="1:18">
      <c r="A246" s="286"/>
      <c r="B246" s="7" t="s">
        <v>378</v>
      </c>
      <c r="C246" s="25"/>
      <c r="D246" s="1"/>
      <c r="E246" s="6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"/>
      <c r="R246" s="6"/>
    </row>
    <row r="247" spans="1:18">
      <c r="A247" s="286"/>
      <c r="B247" s="7" t="s">
        <v>379</v>
      </c>
      <c r="C247" s="25"/>
      <c r="D247" s="1"/>
      <c r="E247" s="6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"/>
      <c r="R247" s="6"/>
    </row>
    <row r="248" spans="1:18">
      <c r="A248" s="286"/>
      <c r="B248" s="7" t="s">
        <v>380</v>
      </c>
      <c r="C248" s="25"/>
      <c r="D248" s="1"/>
      <c r="E248" s="6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"/>
      <c r="R248" s="6"/>
    </row>
    <row r="249" spans="1:18">
      <c r="A249" s="286"/>
      <c r="B249" s="7" t="s">
        <v>381</v>
      </c>
      <c r="C249" s="25"/>
      <c r="D249" s="1"/>
      <c r="E249" s="6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"/>
      <c r="R249" s="6"/>
    </row>
    <row r="250" spans="1:18">
      <c r="A250" s="286"/>
      <c r="B250" s="7" t="s">
        <v>382</v>
      </c>
      <c r="C250" s="25"/>
      <c r="D250" s="1"/>
      <c r="E250" s="6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"/>
      <c r="R250" s="6"/>
    </row>
    <row r="251" spans="1:18">
      <c r="A251" s="287"/>
      <c r="B251" s="7" t="s">
        <v>374</v>
      </c>
      <c r="C251" s="25"/>
      <c r="D251" s="1"/>
      <c r="E251" s="6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"/>
      <c r="R251" s="6"/>
    </row>
    <row r="253" spans="1:18">
      <c r="D253" s="14"/>
      <c r="E253" s="4"/>
      <c r="F253" s="23" t="s">
        <v>83</v>
      </c>
      <c r="G253" s="23" t="s">
        <v>82</v>
      </c>
      <c r="H253" s="23" t="s">
        <v>84</v>
      </c>
      <c r="I253" s="23" t="s">
        <v>79</v>
      </c>
      <c r="J253" s="23" t="s">
        <v>78</v>
      </c>
      <c r="K253" s="23" t="s">
        <v>75</v>
      </c>
      <c r="L253" s="23" t="s">
        <v>372</v>
      </c>
      <c r="M253" s="23" t="s">
        <v>373</v>
      </c>
      <c r="R253" s="4"/>
    </row>
    <row r="254" spans="1:18">
      <c r="A254" s="285" t="s">
        <v>383</v>
      </c>
      <c r="B254" s="7" t="s">
        <v>384</v>
      </c>
      <c r="C254" s="25"/>
      <c r="D254" s="1"/>
      <c r="E254" s="6"/>
      <c r="F254" s="67"/>
      <c r="G254" s="67"/>
      <c r="H254" s="67"/>
      <c r="I254" s="67"/>
      <c r="J254" s="67"/>
      <c r="K254" s="67"/>
      <c r="L254" s="67"/>
      <c r="M254" s="67"/>
      <c r="R254" s="6"/>
    </row>
    <row r="255" spans="1:18">
      <c r="A255" s="286"/>
      <c r="B255" s="7" t="s">
        <v>385</v>
      </c>
      <c r="C255" s="25"/>
      <c r="D255" s="1"/>
      <c r="E255" s="6"/>
      <c r="F255" s="67"/>
      <c r="G255" s="67"/>
      <c r="H255" s="67"/>
      <c r="I255" s="67"/>
      <c r="J255" s="67"/>
      <c r="K255" s="67"/>
      <c r="L255" s="67"/>
      <c r="M255" s="67"/>
      <c r="R255" s="6"/>
    </row>
    <row r="256" spans="1:18">
      <c r="A256" s="286"/>
      <c r="B256" s="7" t="s">
        <v>386</v>
      </c>
      <c r="C256" s="25"/>
      <c r="D256" s="1"/>
      <c r="E256" s="6"/>
      <c r="F256" s="67"/>
      <c r="G256" s="67"/>
      <c r="H256" s="67"/>
      <c r="I256" s="67"/>
      <c r="J256" s="67"/>
      <c r="K256" s="67"/>
      <c r="L256" s="67"/>
      <c r="M256" s="67"/>
      <c r="R256" s="6"/>
    </row>
    <row r="257" spans="1:23">
      <c r="A257" s="286"/>
      <c r="B257" s="7" t="s">
        <v>387</v>
      </c>
      <c r="C257" s="25"/>
      <c r="D257" s="1"/>
      <c r="E257" s="6"/>
      <c r="F257" s="67"/>
      <c r="G257" s="67"/>
      <c r="H257" s="67"/>
      <c r="I257" s="67"/>
      <c r="J257" s="67"/>
      <c r="K257" s="67"/>
      <c r="L257" s="67"/>
      <c r="M257" s="67"/>
      <c r="R257" s="6"/>
    </row>
    <row r="258" spans="1:23">
      <c r="A258" s="286"/>
      <c r="B258" s="7" t="s">
        <v>388</v>
      </c>
      <c r="C258" s="25"/>
      <c r="D258" s="1"/>
      <c r="E258" s="6"/>
      <c r="F258" s="67"/>
      <c r="G258" s="67"/>
      <c r="H258" s="67"/>
      <c r="I258" s="67"/>
      <c r="J258" s="67"/>
      <c r="K258" s="67"/>
      <c r="L258" s="67"/>
      <c r="M258" s="67"/>
      <c r="R258" s="6"/>
    </row>
    <row r="259" spans="1:23">
      <c r="A259" s="286"/>
      <c r="B259" s="7" t="s">
        <v>389</v>
      </c>
      <c r="C259" s="25"/>
      <c r="D259" s="1"/>
      <c r="E259" s="6"/>
      <c r="F259" s="67"/>
      <c r="G259" s="67"/>
      <c r="H259" s="67"/>
      <c r="I259" s="67"/>
      <c r="J259" s="67"/>
      <c r="K259" s="67"/>
      <c r="L259" s="67"/>
      <c r="M259" s="67"/>
      <c r="R259" s="6"/>
    </row>
    <row r="260" spans="1:23">
      <c r="A260" s="286"/>
      <c r="B260" s="7" t="s">
        <v>390</v>
      </c>
      <c r="C260" s="25"/>
      <c r="D260" s="1"/>
      <c r="E260" s="6"/>
      <c r="F260" s="67"/>
      <c r="G260" s="67"/>
      <c r="H260" s="67"/>
      <c r="I260" s="67"/>
      <c r="J260" s="67"/>
      <c r="K260" s="67"/>
      <c r="L260" s="67"/>
      <c r="M260" s="67"/>
      <c r="R260" s="6"/>
    </row>
    <row r="261" spans="1:23">
      <c r="A261" s="286"/>
      <c r="B261" s="7" t="s">
        <v>391</v>
      </c>
      <c r="C261" s="25"/>
      <c r="D261" s="1"/>
      <c r="E261" s="6"/>
      <c r="F261" s="67"/>
      <c r="G261" s="67"/>
      <c r="H261" s="67"/>
      <c r="I261" s="67"/>
      <c r="J261" s="67"/>
      <c r="K261" s="67"/>
      <c r="L261" s="67"/>
      <c r="M261" s="67"/>
      <c r="R261" s="6"/>
    </row>
    <row r="262" spans="1:23">
      <c r="A262" s="287"/>
      <c r="B262" s="7" t="s">
        <v>383</v>
      </c>
      <c r="C262" s="25"/>
      <c r="D262" s="1"/>
      <c r="E262" s="6"/>
      <c r="F262" s="67"/>
      <c r="G262" s="67"/>
      <c r="H262" s="67"/>
      <c r="I262" s="67"/>
      <c r="J262" s="67"/>
      <c r="K262" s="67"/>
      <c r="L262" s="67"/>
      <c r="M262" s="67"/>
      <c r="R262" s="6"/>
    </row>
    <row r="264" spans="1:23">
      <c r="A264" s="24" t="s">
        <v>149</v>
      </c>
      <c r="B264" s="24" t="s">
        <v>150</v>
      </c>
      <c r="C264" s="28" t="s">
        <v>151</v>
      </c>
      <c r="F264" s="44" t="s">
        <v>113</v>
      </c>
      <c r="G264" s="44" t="s">
        <v>392</v>
      </c>
    </row>
    <row r="265" spans="1:23">
      <c r="A265" s="296" t="s">
        <v>393</v>
      </c>
      <c r="B265" s="33" t="s">
        <v>394</v>
      </c>
      <c r="C265" s="25" t="s">
        <v>1055</v>
      </c>
      <c r="D265" s="1"/>
      <c r="F265" s="67" t="s">
        <v>238</v>
      </c>
      <c r="G265" s="2" t="s">
        <v>239</v>
      </c>
    </row>
    <row r="266" spans="1:23">
      <c r="A266" s="297"/>
      <c r="B266" s="33" t="s">
        <v>396</v>
      </c>
      <c r="C266" s="25" t="s">
        <v>397</v>
      </c>
      <c r="D266" s="1"/>
      <c r="F266" s="67" t="s">
        <v>238</v>
      </c>
      <c r="G266" s="2" t="s">
        <v>239</v>
      </c>
    </row>
    <row r="267" spans="1:23">
      <c r="A267" s="285" t="s">
        <v>398</v>
      </c>
      <c r="B267" s="33" t="s">
        <v>399</v>
      </c>
      <c r="C267" s="25" t="s">
        <v>400</v>
      </c>
      <c r="D267" s="1"/>
      <c r="F267" s="67" t="s">
        <v>153</v>
      </c>
      <c r="G267" s="2" t="s">
        <v>154</v>
      </c>
    </row>
    <row r="268" spans="1:23">
      <c r="A268" s="287"/>
      <c r="B268" s="33" t="s">
        <v>401</v>
      </c>
      <c r="C268" s="25" t="s">
        <v>402</v>
      </c>
      <c r="D268" s="1"/>
      <c r="F268" s="2" t="s">
        <v>154</v>
      </c>
      <c r="G268" s="67" t="s">
        <v>153</v>
      </c>
    </row>
    <row r="269" spans="1:23">
      <c r="A269" s="64" t="s">
        <v>403</v>
      </c>
      <c r="B269" s="64" t="s">
        <v>403</v>
      </c>
      <c r="C269" s="25" t="s">
        <v>404</v>
      </c>
      <c r="D269" s="1"/>
      <c r="F269" s="67" t="s">
        <v>405</v>
      </c>
      <c r="G269" s="67" t="s">
        <v>154</v>
      </c>
    </row>
    <row r="270" spans="1:23" s="3" customFormat="1">
      <c r="A270" s="7" t="s">
        <v>406</v>
      </c>
      <c r="B270" s="7" t="s">
        <v>406</v>
      </c>
      <c r="C270" s="25" t="s">
        <v>287</v>
      </c>
      <c r="D270" s="1"/>
      <c r="E270"/>
      <c r="F270" s="67" t="s">
        <v>407</v>
      </c>
      <c r="G270" s="67" t="s">
        <v>154</v>
      </c>
      <c r="N270"/>
      <c r="O270"/>
      <c r="P270"/>
      <c r="Q270"/>
      <c r="R270"/>
      <c r="S270"/>
      <c r="T270"/>
      <c r="U270"/>
      <c r="V270"/>
      <c r="W270"/>
    </row>
    <row r="271" spans="1:23" s="3" customFormat="1">
      <c r="A271" s="64" t="s">
        <v>408</v>
      </c>
      <c r="B271" s="64" t="s">
        <v>408</v>
      </c>
      <c r="C271" s="25" t="s">
        <v>409</v>
      </c>
      <c r="D271" s="1"/>
      <c r="E271"/>
      <c r="F271" s="67" t="s">
        <v>405</v>
      </c>
      <c r="G271" s="67" t="s">
        <v>154</v>
      </c>
      <c r="N271"/>
      <c r="O271"/>
      <c r="P271"/>
      <c r="Q271"/>
      <c r="R271"/>
      <c r="S271"/>
      <c r="T271"/>
      <c r="U271"/>
      <c r="V271"/>
      <c r="W271"/>
    </row>
    <row r="273" spans="1:23" s="3" customFormat="1">
      <c r="A273"/>
      <c r="B273"/>
      <c r="C273"/>
      <c r="D273"/>
      <c r="E273"/>
      <c r="F273" s="44" t="s">
        <v>113</v>
      </c>
      <c r="G273" s="44" t="s">
        <v>392</v>
      </c>
      <c r="H273" s="44" t="s">
        <v>58</v>
      </c>
      <c r="N273"/>
      <c r="O273"/>
      <c r="P273"/>
      <c r="Q273"/>
      <c r="R273"/>
      <c r="S273"/>
      <c r="T273"/>
      <c r="U273"/>
      <c r="V273"/>
      <c r="W273"/>
    </row>
    <row r="274" spans="1:23" s="3" customFormat="1">
      <c r="A274" s="7" t="s">
        <v>410</v>
      </c>
      <c r="B274" s="7" t="s">
        <v>410</v>
      </c>
      <c r="C274" s="25" t="s">
        <v>287</v>
      </c>
      <c r="D274" s="1"/>
      <c r="E274"/>
      <c r="F274" s="67" t="s">
        <v>407</v>
      </c>
      <c r="G274" s="67" t="s">
        <v>154</v>
      </c>
      <c r="H274" s="67" t="s">
        <v>154</v>
      </c>
      <c r="N274"/>
      <c r="O274"/>
      <c r="P274"/>
      <c r="Q274"/>
      <c r="R274"/>
      <c r="S274"/>
      <c r="T274"/>
      <c r="U274"/>
      <c r="V274"/>
      <c r="W274"/>
    </row>
    <row r="276" spans="1:23" s="3" customFormat="1">
      <c r="A276"/>
      <c r="B276"/>
      <c r="C276"/>
      <c r="D276"/>
      <c r="E276"/>
      <c r="F276" s="44" t="s">
        <v>113</v>
      </c>
      <c r="G276" s="44" t="s">
        <v>392</v>
      </c>
      <c r="H276" s="44" t="s">
        <v>114</v>
      </c>
      <c r="N276"/>
      <c r="O276"/>
      <c r="P276"/>
      <c r="Q276"/>
      <c r="R276"/>
      <c r="S276"/>
      <c r="T276"/>
      <c r="U276"/>
      <c r="V276"/>
      <c r="W276"/>
    </row>
    <row r="277" spans="1:23" s="3" customFormat="1">
      <c r="A277" s="7" t="s">
        <v>411</v>
      </c>
      <c r="B277" s="7" t="s">
        <v>411</v>
      </c>
      <c r="C277" s="25" t="s">
        <v>287</v>
      </c>
      <c r="D277" s="1"/>
      <c r="E277"/>
      <c r="F277" s="67" t="s">
        <v>407</v>
      </c>
      <c r="G277" s="67" t="s">
        <v>154</v>
      </c>
      <c r="H277" s="67" t="s">
        <v>154</v>
      </c>
      <c r="N277"/>
      <c r="O277"/>
      <c r="P277"/>
      <c r="Q277"/>
      <c r="R277"/>
      <c r="S277"/>
      <c r="T277"/>
      <c r="U277"/>
      <c r="V277"/>
      <c r="W277"/>
    </row>
    <row r="279" spans="1:23" s="3" customFormat="1">
      <c r="A279" s="24" t="s">
        <v>149</v>
      </c>
      <c r="B279" s="24" t="s">
        <v>150</v>
      </c>
      <c r="C279" s="28" t="s">
        <v>151</v>
      </c>
      <c r="D279"/>
      <c r="E279"/>
      <c r="F279" s="44" t="s">
        <v>113</v>
      </c>
      <c r="G279" s="44" t="s">
        <v>82</v>
      </c>
      <c r="H279" s="44" t="s">
        <v>412</v>
      </c>
      <c r="N279"/>
      <c r="O279"/>
      <c r="P279"/>
      <c r="Q279"/>
      <c r="R279"/>
      <c r="S279"/>
      <c r="T279"/>
      <c r="U279"/>
      <c r="V279"/>
      <c r="W279"/>
    </row>
    <row r="280" spans="1:23" s="3" customFormat="1">
      <c r="A280" s="285" t="s">
        <v>413</v>
      </c>
      <c r="B280" s="33" t="s">
        <v>414</v>
      </c>
      <c r="C280" s="25" t="s">
        <v>1055</v>
      </c>
      <c r="D280" s="1"/>
      <c r="E280"/>
      <c r="F280" s="67" t="s">
        <v>238</v>
      </c>
      <c r="G280" s="2" t="s">
        <v>239</v>
      </c>
      <c r="H280" s="2" t="s">
        <v>239</v>
      </c>
      <c r="N280"/>
      <c r="O280"/>
      <c r="P280"/>
      <c r="Q280"/>
      <c r="R280"/>
      <c r="S280"/>
      <c r="T280"/>
      <c r="U280"/>
      <c r="V280"/>
      <c r="W280"/>
    </row>
    <row r="281" spans="1:23" s="3" customFormat="1">
      <c r="A281" s="286"/>
      <c r="B281" s="33" t="s">
        <v>415</v>
      </c>
      <c r="C281" s="25" t="s">
        <v>397</v>
      </c>
      <c r="D281" s="1"/>
      <c r="E281"/>
      <c r="F281" s="67" t="s">
        <v>238</v>
      </c>
      <c r="G281" s="2" t="s">
        <v>239</v>
      </c>
      <c r="H281" s="2" t="s">
        <v>239</v>
      </c>
      <c r="N281"/>
      <c r="O281"/>
      <c r="P281"/>
      <c r="Q281"/>
      <c r="R281"/>
      <c r="S281"/>
      <c r="T281"/>
      <c r="U281"/>
      <c r="V281"/>
      <c r="W281"/>
    </row>
    <row r="282" spans="1:23" s="3" customFormat="1">
      <c r="A282" s="286"/>
      <c r="B282" s="33" t="s">
        <v>416</v>
      </c>
      <c r="C282" s="25" t="s">
        <v>417</v>
      </c>
      <c r="D282" s="1"/>
      <c r="E282"/>
      <c r="F282" s="67" t="s">
        <v>238</v>
      </c>
      <c r="G282" s="2" t="s">
        <v>239</v>
      </c>
      <c r="H282" s="2" t="s">
        <v>242</v>
      </c>
      <c r="N282"/>
      <c r="O282"/>
      <c r="P282"/>
      <c r="Q282"/>
      <c r="R282"/>
      <c r="S282"/>
      <c r="T282"/>
      <c r="U282"/>
      <c r="V282"/>
      <c r="W282"/>
    </row>
    <row r="283" spans="1:23" s="3" customFormat="1">
      <c r="A283" s="287"/>
      <c r="B283" s="33" t="s">
        <v>418</v>
      </c>
      <c r="C283" s="25" t="s">
        <v>419</v>
      </c>
      <c r="D283" s="1"/>
      <c r="E283"/>
      <c r="F283" s="67" t="s">
        <v>238</v>
      </c>
      <c r="G283" s="2" t="s">
        <v>242</v>
      </c>
      <c r="H283" s="2" t="s">
        <v>239</v>
      </c>
      <c r="N283"/>
      <c r="O283"/>
      <c r="P283"/>
      <c r="Q283"/>
      <c r="R283"/>
      <c r="S283"/>
      <c r="T283"/>
      <c r="U283"/>
      <c r="V283"/>
      <c r="W283"/>
    </row>
    <row r="284" spans="1:23" s="3" customFormat="1">
      <c r="A284" s="302" t="s">
        <v>420</v>
      </c>
      <c r="B284" s="37" t="s">
        <v>421</v>
      </c>
      <c r="C284" s="25" t="s">
        <v>422</v>
      </c>
      <c r="D284" s="1"/>
      <c r="E284"/>
      <c r="F284" s="67" t="s">
        <v>153</v>
      </c>
      <c r="G284" s="2" t="s">
        <v>154</v>
      </c>
      <c r="H284" s="2" t="s">
        <v>154</v>
      </c>
      <c r="N284"/>
      <c r="O284"/>
      <c r="P284"/>
      <c r="Q284"/>
      <c r="R284"/>
      <c r="S284"/>
      <c r="T284"/>
      <c r="U284"/>
      <c r="V284"/>
      <c r="W284"/>
    </row>
    <row r="285" spans="1:23" s="3" customFormat="1" ht="42.75">
      <c r="A285" s="302"/>
      <c r="B285" s="10" t="s">
        <v>423</v>
      </c>
      <c r="C285" s="131" t="s">
        <v>1056</v>
      </c>
      <c r="D285" s="1"/>
      <c r="E285"/>
      <c r="F285" s="67" t="s">
        <v>162</v>
      </c>
      <c r="G285" s="67" t="s">
        <v>153</v>
      </c>
      <c r="H285" s="67" t="s">
        <v>162</v>
      </c>
      <c r="N285"/>
      <c r="O285"/>
      <c r="P285"/>
      <c r="Q285"/>
      <c r="R285"/>
      <c r="S285"/>
      <c r="T285"/>
      <c r="U285"/>
      <c r="V285"/>
      <c r="W285"/>
    </row>
    <row r="286" spans="1:23" s="3" customFormat="1">
      <c r="A286" s="64" t="s">
        <v>427</v>
      </c>
      <c r="B286" s="64" t="s">
        <v>427</v>
      </c>
      <c r="C286" s="25" t="s">
        <v>404</v>
      </c>
      <c r="D286" s="1"/>
      <c r="E286"/>
      <c r="F286" s="67" t="s">
        <v>405</v>
      </c>
      <c r="G286" s="67" t="s">
        <v>154</v>
      </c>
      <c r="H286" s="67" t="s">
        <v>154</v>
      </c>
      <c r="N286"/>
      <c r="O286"/>
      <c r="P286"/>
      <c r="Q286"/>
      <c r="R286"/>
      <c r="S286"/>
      <c r="T286"/>
      <c r="U286"/>
      <c r="V286"/>
      <c r="W286"/>
    </row>
    <row r="287" spans="1:23" s="3" customFormat="1">
      <c r="A287" s="7" t="s">
        <v>428</v>
      </c>
      <c r="B287" s="7" t="s">
        <v>428</v>
      </c>
      <c r="C287" s="25" t="s">
        <v>287</v>
      </c>
      <c r="D287" s="1"/>
      <c r="E287"/>
      <c r="F287" s="67" t="s">
        <v>407</v>
      </c>
      <c r="G287" s="67" t="s">
        <v>154</v>
      </c>
      <c r="H287" s="67" t="s">
        <v>154</v>
      </c>
      <c r="N287"/>
      <c r="O287"/>
      <c r="P287"/>
      <c r="Q287"/>
      <c r="R287"/>
      <c r="S287"/>
      <c r="T287"/>
      <c r="U287"/>
      <c r="V287"/>
      <c r="W287"/>
    </row>
    <row r="288" spans="1:23" s="3" customFormat="1">
      <c r="A288" s="64" t="s">
        <v>429</v>
      </c>
      <c r="B288" s="64" t="s">
        <v>429</v>
      </c>
      <c r="C288" s="25" t="s">
        <v>409</v>
      </c>
      <c r="D288" s="1"/>
      <c r="E288"/>
      <c r="F288" s="67" t="s">
        <v>405</v>
      </c>
      <c r="G288" s="67" t="s">
        <v>154</v>
      </c>
      <c r="H288" s="67" t="s">
        <v>154</v>
      </c>
      <c r="N288"/>
      <c r="O288"/>
      <c r="P288"/>
      <c r="Q288"/>
      <c r="R288"/>
      <c r="S288"/>
      <c r="T288"/>
      <c r="U288"/>
      <c r="V288"/>
      <c r="W288"/>
    </row>
    <row r="290" spans="1:23" s="3" customFormat="1">
      <c r="A290"/>
      <c r="B290"/>
      <c r="C290"/>
      <c r="D290"/>
      <c r="E290"/>
      <c r="F290" s="44" t="s">
        <v>113</v>
      </c>
      <c r="G290" s="44" t="s">
        <v>82</v>
      </c>
      <c r="H290" s="44" t="s">
        <v>412</v>
      </c>
      <c r="I290" s="44" t="s">
        <v>58</v>
      </c>
      <c r="N290"/>
      <c r="O290"/>
      <c r="P290"/>
      <c r="Q290"/>
      <c r="R290"/>
      <c r="S290"/>
      <c r="T290"/>
      <c r="U290"/>
      <c r="V290"/>
      <c r="W290"/>
    </row>
    <row r="291" spans="1:23" s="3" customFormat="1">
      <c r="A291" s="296" t="s">
        <v>430</v>
      </c>
      <c r="B291" s="33" t="s">
        <v>431</v>
      </c>
      <c r="C291" s="25" t="s">
        <v>1055</v>
      </c>
      <c r="D291" s="1"/>
      <c r="E291"/>
      <c r="F291" s="67" t="s">
        <v>238</v>
      </c>
      <c r="G291" s="2" t="s">
        <v>239</v>
      </c>
      <c r="H291" s="2" t="s">
        <v>239</v>
      </c>
      <c r="I291" s="2" t="s">
        <v>242</v>
      </c>
      <c r="N291"/>
      <c r="O291"/>
      <c r="P291"/>
      <c r="Q291"/>
      <c r="R291"/>
      <c r="S291"/>
      <c r="T291"/>
      <c r="U291"/>
      <c r="V291"/>
      <c r="W291"/>
    </row>
    <row r="292" spans="1:23" s="3" customFormat="1">
      <c r="A292" s="297"/>
      <c r="B292" s="33" t="s">
        <v>432</v>
      </c>
      <c r="C292" s="25" t="s">
        <v>397</v>
      </c>
      <c r="D292" s="1"/>
      <c r="E292"/>
      <c r="F292" s="67" t="s">
        <v>238</v>
      </c>
      <c r="G292" s="2" t="s">
        <v>239</v>
      </c>
      <c r="H292" s="2" t="s">
        <v>239</v>
      </c>
      <c r="I292" s="2" t="s">
        <v>242</v>
      </c>
      <c r="N292"/>
      <c r="O292"/>
      <c r="P292"/>
      <c r="Q292"/>
      <c r="R292"/>
      <c r="S292"/>
      <c r="T292"/>
      <c r="U292"/>
      <c r="V292"/>
      <c r="W292"/>
    </row>
    <row r="293" spans="1:23" s="3" customFormat="1">
      <c r="A293" s="302" t="s">
        <v>433</v>
      </c>
      <c r="B293" s="37" t="s">
        <v>434</v>
      </c>
      <c r="C293" s="25" t="s">
        <v>435</v>
      </c>
      <c r="D293" s="1"/>
      <c r="E293"/>
      <c r="F293" s="67" t="s">
        <v>153</v>
      </c>
      <c r="G293" s="67" t="s">
        <v>154</v>
      </c>
      <c r="H293" s="67" t="s">
        <v>154</v>
      </c>
      <c r="I293" s="67" t="s">
        <v>154</v>
      </c>
      <c r="N293"/>
      <c r="O293"/>
      <c r="P293"/>
      <c r="Q293"/>
      <c r="R293"/>
      <c r="S293"/>
      <c r="T293"/>
      <c r="U293"/>
      <c r="V293"/>
      <c r="W293"/>
    </row>
    <row r="294" spans="1:23" s="3" customFormat="1" ht="57.2">
      <c r="A294" s="302"/>
      <c r="B294" s="63" t="s">
        <v>436</v>
      </c>
      <c r="C294" s="131" t="s">
        <v>1057</v>
      </c>
      <c r="D294" s="1"/>
      <c r="E294"/>
      <c r="F294" s="67" t="s">
        <v>162</v>
      </c>
      <c r="G294" s="67" t="s">
        <v>153</v>
      </c>
      <c r="H294" s="67" t="s">
        <v>162</v>
      </c>
      <c r="I294" s="67" t="s">
        <v>162</v>
      </c>
      <c r="N294"/>
      <c r="O294"/>
      <c r="P294"/>
      <c r="Q294"/>
      <c r="R294"/>
      <c r="S294"/>
      <c r="T294"/>
      <c r="U294"/>
      <c r="V294"/>
      <c r="W294"/>
    </row>
    <row r="295" spans="1:23" s="3" customFormat="1">
      <c r="A295" s="302"/>
      <c r="B295" s="10" t="s">
        <v>1058</v>
      </c>
      <c r="C295" s="25" t="s">
        <v>400</v>
      </c>
      <c r="D295" s="1"/>
      <c r="E295"/>
      <c r="F295" s="67" t="s">
        <v>153</v>
      </c>
      <c r="G295" s="67" t="s">
        <v>154</v>
      </c>
      <c r="H295" s="67"/>
      <c r="I295" s="67"/>
      <c r="N295"/>
      <c r="O295"/>
      <c r="P295"/>
      <c r="Q295"/>
      <c r="R295"/>
      <c r="S295"/>
      <c r="T295"/>
      <c r="U295"/>
      <c r="V295"/>
      <c r="W295"/>
    </row>
    <row r="296" spans="1:23" s="3" customFormat="1">
      <c r="A296" s="302"/>
      <c r="B296" s="10" t="s">
        <v>438</v>
      </c>
      <c r="C296" s="25" t="s">
        <v>439</v>
      </c>
      <c r="D296" s="1"/>
      <c r="E296"/>
      <c r="F296" s="67"/>
      <c r="G296" s="67" t="s">
        <v>440</v>
      </c>
      <c r="H296" s="67" t="s">
        <v>440</v>
      </c>
      <c r="I296" s="67" t="s">
        <v>162</v>
      </c>
      <c r="N296"/>
      <c r="O296"/>
      <c r="P296"/>
      <c r="Q296"/>
      <c r="R296"/>
      <c r="S296"/>
      <c r="T296"/>
      <c r="U296"/>
      <c r="V296"/>
      <c r="W296"/>
    </row>
    <row r="297" spans="1:23" s="3" customFormat="1">
      <c r="A297" s="302"/>
      <c r="B297" s="10" t="s">
        <v>441</v>
      </c>
      <c r="C297" s="25" t="s">
        <v>442</v>
      </c>
      <c r="D297" s="1"/>
      <c r="E297"/>
      <c r="F297" s="67" t="s">
        <v>153</v>
      </c>
      <c r="G297" s="67"/>
      <c r="H297" s="67"/>
      <c r="I297" s="67" t="s">
        <v>154</v>
      </c>
      <c r="N297"/>
      <c r="O297"/>
      <c r="P297"/>
      <c r="Q297"/>
      <c r="R297"/>
      <c r="S297"/>
      <c r="T297"/>
      <c r="U297"/>
      <c r="V297"/>
      <c r="W297"/>
    </row>
    <row r="298" spans="1:23" s="3" customFormat="1">
      <c r="A298" s="64" t="s">
        <v>443</v>
      </c>
      <c r="B298" s="64" t="s">
        <v>443</v>
      </c>
      <c r="C298" s="25" t="s">
        <v>404</v>
      </c>
      <c r="D298" s="1"/>
      <c r="E298"/>
      <c r="F298" s="67" t="s">
        <v>405</v>
      </c>
      <c r="G298" s="67" t="s">
        <v>154</v>
      </c>
      <c r="H298" s="67" t="s">
        <v>154</v>
      </c>
      <c r="I298" s="67" t="s">
        <v>154</v>
      </c>
      <c r="N298"/>
      <c r="O298"/>
      <c r="P298"/>
      <c r="Q298"/>
      <c r="R298"/>
      <c r="S298"/>
      <c r="T298"/>
      <c r="U298"/>
      <c r="V298"/>
      <c r="W298"/>
    </row>
    <row r="299" spans="1:23" s="3" customFormat="1">
      <c r="A299" s="7" t="s">
        <v>444</v>
      </c>
      <c r="B299" s="7" t="s">
        <v>444</v>
      </c>
      <c r="C299" s="25" t="s">
        <v>287</v>
      </c>
      <c r="D299" s="1"/>
      <c r="E299"/>
      <c r="F299" s="67" t="s">
        <v>407</v>
      </c>
      <c r="G299" s="67" t="s">
        <v>154</v>
      </c>
      <c r="H299" s="67" t="s">
        <v>154</v>
      </c>
      <c r="I299" s="67" t="s">
        <v>154</v>
      </c>
      <c r="N299"/>
      <c r="O299"/>
      <c r="P299"/>
      <c r="Q299"/>
      <c r="R299"/>
      <c r="S299"/>
      <c r="T299"/>
      <c r="U299"/>
      <c r="V299"/>
      <c r="W299"/>
    </row>
    <row r="300" spans="1:23" s="3" customFormat="1">
      <c r="A300" s="64" t="s">
        <v>445</v>
      </c>
      <c r="B300" s="64" t="s">
        <v>445</v>
      </c>
      <c r="C300" s="25" t="s">
        <v>409</v>
      </c>
      <c r="D300" s="1"/>
      <c r="E300"/>
      <c r="F300" s="67" t="s">
        <v>405</v>
      </c>
      <c r="G300" s="67" t="s">
        <v>154</v>
      </c>
      <c r="H300" s="67" t="s">
        <v>154</v>
      </c>
      <c r="I300" s="67" t="s">
        <v>154</v>
      </c>
      <c r="N300"/>
      <c r="O300"/>
      <c r="P300"/>
      <c r="Q300"/>
      <c r="R300"/>
      <c r="S300"/>
      <c r="T300"/>
      <c r="U300"/>
      <c r="V300"/>
      <c r="W300"/>
    </row>
    <row r="302" spans="1:23" s="3" customFormat="1">
      <c r="A302"/>
      <c r="B302"/>
      <c r="C302"/>
      <c r="D302"/>
      <c r="E302"/>
      <c r="F302" s="44" t="s">
        <v>113</v>
      </c>
      <c r="G302" s="44" t="s">
        <v>392</v>
      </c>
      <c r="H302" s="44" t="s">
        <v>58</v>
      </c>
      <c r="N302"/>
      <c r="O302"/>
      <c r="P302"/>
      <c r="Q302"/>
      <c r="R302"/>
      <c r="S302"/>
      <c r="T302"/>
      <c r="U302"/>
      <c r="V302"/>
      <c r="W302"/>
    </row>
    <row r="303" spans="1:23" s="3" customFormat="1">
      <c r="A303" s="296" t="s">
        <v>446</v>
      </c>
      <c r="B303" s="33" t="s">
        <v>447</v>
      </c>
      <c r="C303" s="25" t="s">
        <v>1055</v>
      </c>
      <c r="D303" s="1"/>
      <c r="E303"/>
      <c r="F303" s="67" t="s">
        <v>238</v>
      </c>
      <c r="G303" s="2" t="s">
        <v>239</v>
      </c>
      <c r="H303" s="2" t="s">
        <v>242</v>
      </c>
      <c r="N303"/>
      <c r="O303"/>
      <c r="P303"/>
      <c r="Q303"/>
      <c r="R303"/>
      <c r="S303"/>
      <c r="T303"/>
      <c r="U303"/>
      <c r="V303"/>
      <c r="W303"/>
    </row>
    <row r="304" spans="1:23" s="3" customFormat="1">
      <c r="A304" s="297"/>
      <c r="B304" s="33" t="s">
        <v>448</v>
      </c>
      <c r="C304" s="25" t="s">
        <v>397</v>
      </c>
      <c r="D304" s="1"/>
      <c r="E304"/>
      <c r="F304" s="67" t="s">
        <v>238</v>
      </c>
      <c r="G304" s="2" t="s">
        <v>239</v>
      </c>
      <c r="H304" s="2" t="s">
        <v>242</v>
      </c>
      <c r="N304"/>
      <c r="O304"/>
      <c r="P304"/>
      <c r="Q304"/>
      <c r="R304"/>
      <c r="S304"/>
      <c r="T304"/>
      <c r="U304"/>
      <c r="V304"/>
      <c r="W304"/>
    </row>
    <row r="305" spans="1:23" s="3" customFormat="1">
      <c r="A305" s="285" t="s">
        <v>449</v>
      </c>
      <c r="B305" s="33" t="s">
        <v>450</v>
      </c>
      <c r="C305" s="25" t="s">
        <v>400</v>
      </c>
      <c r="D305" s="1"/>
      <c r="E305"/>
      <c r="F305" s="67" t="s">
        <v>153</v>
      </c>
      <c r="G305" s="2" t="s">
        <v>154</v>
      </c>
      <c r="H305" s="67" t="s">
        <v>154</v>
      </c>
      <c r="N305"/>
      <c r="O305"/>
      <c r="P305"/>
      <c r="Q305"/>
      <c r="R305"/>
      <c r="S305"/>
      <c r="T305"/>
      <c r="U305"/>
      <c r="V305"/>
      <c r="W305"/>
    </row>
    <row r="306" spans="1:23" s="3" customFormat="1">
      <c r="A306" s="287"/>
      <c r="B306" s="33" t="s">
        <v>451</v>
      </c>
      <c r="C306" s="25" t="s">
        <v>402</v>
      </c>
      <c r="D306" s="1"/>
      <c r="E306"/>
      <c r="F306" s="2" t="s">
        <v>154</v>
      </c>
      <c r="G306" s="67" t="s">
        <v>153</v>
      </c>
      <c r="H306" s="67" t="s">
        <v>154</v>
      </c>
      <c r="N306"/>
      <c r="O306"/>
      <c r="P306"/>
      <c r="Q306"/>
      <c r="R306"/>
      <c r="S306"/>
      <c r="T306"/>
      <c r="U306"/>
      <c r="V306"/>
      <c r="W306"/>
    </row>
    <row r="308" spans="1:23" s="3" customFormat="1">
      <c r="A308"/>
      <c r="B308"/>
      <c r="C308"/>
      <c r="D308"/>
      <c r="E308"/>
      <c r="F308" s="44" t="s">
        <v>82</v>
      </c>
      <c r="G308" s="44" t="s">
        <v>412</v>
      </c>
      <c r="N308"/>
      <c r="O308"/>
      <c r="P308"/>
      <c r="Q308"/>
      <c r="R308"/>
      <c r="S308"/>
      <c r="T308"/>
      <c r="U308"/>
      <c r="V308"/>
      <c r="W308"/>
    </row>
    <row r="309" spans="1:23" s="3" customFormat="1">
      <c r="A309" s="296" t="s">
        <v>452</v>
      </c>
      <c r="B309" s="33" t="s">
        <v>453</v>
      </c>
      <c r="C309" s="25" t="s">
        <v>454</v>
      </c>
      <c r="D309" s="1"/>
      <c r="E309"/>
      <c r="F309" s="2" t="s">
        <v>238</v>
      </c>
      <c r="G309" s="2" t="s">
        <v>239</v>
      </c>
      <c r="N309"/>
      <c r="O309"/>
      <c r="P309"/>
      <c r="Q309"/>
      <c r="R309"/>
      <c r="S309"/>
      <c r="T309"/>
      <c r="U309"/>
      <c r="V309"/>
      <c r="W309"/>
    </row>
    <row r="310" spans="1:23" s="3" customFormat="1">
      <c r="A310" s="297"/>
      <c r="B310" s="33" t="s">
        <v>455</v>
      </c>
      <c r="C310" s="25" t="s">
        <v>456</v>
      </c>
      <c r="D310" s="1"/>
      <c r="E310"/>
      <c r="F310" s="2" t="s">
        <v>239</v>
      </c>
      <c r="G310" s="2" t="s">
        <v>238</v>
      </c>
      <c r="N310"/>
      <c r="O310"/>
      <c r="P310"/>
      <c r="Q310"/>
      <c r="R310"/>
      <c r="S310"/>
      <c r="T310"/>
      <c r="U310"/>
      <c r="V310"/>
      <c r="W310"/>
    </row>
    <row r="311" spans="1:23" s="3" customFormat="1">
      <c r="A311" s="285" t="s">
        <v>457</v>
      </c>
      <c r="B311" s="37" t="s">
        <v>458</v>
      </c>
      <c r="C311" s="25" t="s">
        <v>459</v>
      </c>
      <c r="D311" s="1"/>
      <c r="E311"/>
      <c r="F311" s="2" t="s">
        <v>154</v>
      </c>
      <c r="G311" s="67" t="s">
        <v>153</v>
      </c>
      <c r="N311"/>
      <c r="O311"/>
      <c r="P311"/>
      <c r="Q311"/>
      <c r="R311"/>
      <c r="S311"/>
      <c r="T311"/>
      <c r="U311"/>
      <c r="V311"/>
      <c r="W311"/>
    </row>
    <row r="312" spans="1:23" s="3" customFormat="1">
      <c r="A312" s="287"/>
      <c r="B312" s="10" t="s">
        <v>460</v>
      </c>
      <c r="C312" s="25" t="s">
        <v>461</v>
      </c>
      <c r="D312" s="1"/>
      <c r="E312"/>
      <c r="F312" s="25" t="s">
        <v>153</v>
      </c>
      <c r="G312" s="2" t="s">
        <v>154</v>
      </c>
      <c r="N312"/>
      <c r="O312"/>
      <c r="P312"/>
      <c r="Q312"/>
      <c r="R312"/>
      <c r="S312"/>
      <c r="T312"/>
      <c r="U312"/>
      <c r="V312"/>
      <c r="W312"/>
    </row>
    <row r="314" spans="1:23" s="3" customFormat="1">
      <c r="A314"/>
      <c r="B314"/>
      <c r="C314"/>
      <c r="D314"/>
      <c r="E314"/>
      <c r="F314" s="44" t="s">
        <v>113</v>
      </c>
      <c r="G314" s="44" t="s">
        <v>412</v>
      </c>
      <c r="N314"/>
      <c r="O314"/>
      <c r="P314"/>
      <c r="Q314"/>
      <c r="R314"/>
      <c r="S314"/>
      <c r="T314"/>
      <c r="U314"/>
      <c r="V314"/>
      <c r="W314"/>
    </row>
    <row r="315" spans="1:23" s="3" customFormat="1">
      <c r="A315" s="296" t="s">
        <v>462</v>
      </c>
      <c r="B315" s="33" t="s">
        <v>463</v>
      </c>
      <c r="C315" s="25" t="s">
        <v>464</v>
      </c>
      <c r="D315" s="1"/>
      <c r="E315"/>
      <c r="F315" s="2" t="s">
        <v>238</v>
      </c>
      <c r="G315" s="2" t="s">
        <v>239</v>
      </c>
      <c r="N315"/>
      <c r="O315"/>
      <c r="P315"/>
      <c r="Q315"/>
      <c r="R315"/>
      <c r="S315"/>
      <c r="T315"/>
      <c r="U315"/>
      <c r="V315"/>
      <c r="W315"/>
    </row>
    <row r="316" spans="1:23" s="3" customFormat="1">
      <c r="A316" s="297"/>
      <c r="B316" s="33" t="s">
        <v>465</v>
      </c>
      <c r="C316" s="25" t="s">
        <v>456</v>
      </c>
      <c r="D316" s="1"/>
      <c r="E316"/>
      <c r="F316" s="2" t="s">
        <v>239</v>
      </c>
      <c r="G316" s="2" t="s">
        <v>238</v>
      </c>
      <c r="N316"/>
      <c r="O316"/>
      <c r="P316"/>
      <c r="Q316"/>
      <c r="R316"/>
      <c r="S316"/>
      <c r="T316"/>
      <c r="U316"/>
      <c r="V316"/>
      <c r="W316"/>
    </row>
    <row r="317" spans="1:23" s="3" customFormat="1">
      <c r="A317" s="285" t="s">
        <v>466</v>
      </c>
      <c r="B317" s="37" t="s">
        <v>467</v>
      </c>
      <c r="C317" s="25" t="s">
        <v>468</v>
      </c>
      <c r="D317" s="1"/>
      <c r="E317"/>
      <c r="F317" s="2" t="s">
        <v>154</v>
      </c>
      <c r="G317" s="67" t="s">
        <v>153</v>
      </c>
      <c r="N317"/>
      <c r="O317"/>
      <c r="P317"/>
      <c r="Q317"/>
      <c r="R317"/>
      <c r="S317"/>
      <c r="T317"/>
      <c r="U317"/>
      <c r="V317"/>
      <c r="W317"/>
    </row>
    <row r="318" spans="1:23" s="3" customFormat="1">
      <c r="A318" s="287"/>
      <c r="B318" s="10" t="s">
        <v>469</v>
      </c>
      <c r="C318" s="25" t="s">
        <v>470</v>
      </c>
      <c r="D318" s="1"/>
      <c r="E318"/>
      <c r="F318" s="25" t="s">
        <v>153</v>
      </c>
      <c r="G318" s="2" t="s">
        <v>154</v>
      </c>
      <c r="N318"/>
      <c r="O318"/>
      <c r="P318"/>
      <c r="Q318"/>
      <c r="R318"/>
      <c r="S318"/>
      <c r="T318"/>
      <c r="U318"/>
      <c r="V318"/>
      <c r="W318"/>
    </row>
    <row r="320" spans="1:23" s="3" customFormat="1">
      <c r="A320"/>
      <c r="B320"/>
      <c r="C320"/>
      <c r="D320"/>
      <c r="E320"/>
      <c r="F320" s="44" t="s">
        <v>113</v>
      </c>
      <c r="G320" s="44" t="s">
        <v>82</v>
      </c>
      <c r="N320"/>
      <c r="O320"/>
      <c r="P320"/>
      <c r="Q320"/>
      <c r="R320"/>
      <c r="S320"/>
      <c r="T320"/>
      <c r="U320"/>
      <c r="V320"/>
      <c r="W320"/>
    </row>
    <row r="321" spans="1:23" s="3" customFormat="1">
      <c r="A321" s="296" t="s">
        <v>471</v>
      </c>
      <c r="B321" s="33" t="s">
        <v>472</v>
      </c>
      <c r="C321" s="25" t="s">
        <v>464</v>
      </c>
      <c r="D321" s="1"/>
      <c r="E321"/>
      <c r="F321" s="2" t="s">
        <v>238</v>
      </c>
      <c r="G321" s="2" t="s">
        <v>239</v>
      </c>
      <c r="N321"/>
      <c r="O321"/>
      <c r="P321"/>
      <c r="Q321"/>
      <c r="R321"/>
      <c r="S321"/>
      <c r="T321"/>
      <c r="U321"/>
      <c r="V321"/>
      <c r="W321"/>
    </row>
    <row r="322" spans="1:23" s="3" customFormat="1">
      <c r="A322" s="297"/>
      <c r="B322" s="33" t="s">
        <v>473</v>
      </c>
      <c r="C322" s="25" t="s">
        <v>454</v>
      </c>
      <c r="D322" s="1"/>
      <c r="E322"/>
      <c r="F322" s="2" t="s">
        <v>239</v>
      </c>
      <c r="G322" s="2" t="s">
        <v>238</v>
      </c>
      <c r="N322"/>
      <c r="O322"/>
      <c r="P322"/>
      <c r="Q322"/>
      <c r="R322"/>
      <c r="S322"/>
      <c r="T322"/>
      <c r="U322"/>
      <c r="V322"/>
      <c r="W322"/>
    </row>
    <row r="323" spans="1:23" s="3" customFormat="1">
      <c r="A323" s="285" t="s">
        <v>474</v>
      </c>
      <c r="B323" s="37" t="s">
        <v>401</v>
      </c>
      <c r="C323" s="25" t="s">
        <v>402</v>
      </c>
      <c r="D323" s="1"/>
      <c r="E323"/>
      <c r="F323" s="2" t="s">
        <v>154</v>
      </c>
      <c r="G323" s="67" t="s">
        <v>153</v>
      </c>
      <c r="N323"/>
      <c r="O323"/>
      <c r="P323"/>
      <c r="Q323"/>
      <c r="R323"/>
      <c r="S323"/>
      <c r="T323"/>
      <c r="U323"/>
      <c r="V323"/>
      <c r="W323"/>
    </row>
    <row r="324" spans="1:23" s="3" customFormat="1">
      <c r="A324" s="287"/>
      <c r="B324" s="10" t="s">
        <v>475</v>
      </c>
      <c r="C324" s="25" t="s">
        <v>476</v>
      </c>
      <c r="D324" s="1"/>
      <c r="E324"/>
      <c r="F324" s="25" t="s">
        <v>153</v>
      </c>
      <c r="G324" s="2" t="s">
        <v>154</v>
      </c>
      <c r="N324"/>
      <c r="O324"/>
      <c r="P324"/>
      <c r="Q324"/>
      <c r="R324"/>
      <c r="S324"/>
      <c r="T324"/>
      <c r="U324"/>
      <c r="V324"/>
      <c r="W324"/>
    </row>
    <row r="326" spans="1:23" s="3" customFormat="1">
      <c r="A326"/>
      <c r="B326"/>
      <c r="C326"/>
      <c r="E326"/>
      <c r="F326" s="43" t="s">
        <v>478</v>
      </c>
      <c r="G326" s="44" t="s">
        <v>479</v>
      </c>
      <c r="H326" s="44" t="s">
        <v>480</v>
      </c>
      <c r="I326" s="44" t="s">
        <v>481</v>
      </c>
      <c r="N326"/>
      <c r="O326"/>
      <c r="P326"/>
      <c r="Q326"/>
      <c r="R326"/>
      <c r="S326"/>
      <c r="T326"/>
      <c r="U326"/>
      <c r="V326"/>
      <c r="W326"/>
    </row>
    <row r="327" spans="1:23" s="3" customFormat="1">
      <c r="A327" s="37" t="s">
        <v>482</v>
      </c>
      <c r="B327" s="37" t="s">
        <v>482</v>
      </c>
      <c r="C327" s="17" t="s">
        <v>312</v>
      </c>
      <c r="D327" s="17" t="s">
        <v>483</v>
      </c>
      <c r="E327"/>
      <c r="F327" s="2" t="s">
        <v>484</v>
      </c>
      <c r="G327" s="2" t="s">
        <v>485</v>
      </c>
      <c r="H327" s="2" t="s">
        <v>486</v>
      </c>
      <c r="I327" s="2" t="s">
        <v>162</v>
      </c>
      <c r="N327"/>
      <c r="O327"/>
      <c r="P327"/>
      <c r="Q327"/>
      <c r="R327"/>
      <c r="S327"/>
      <c r="T327"/>
      <c r="U327"/>
      <c r="V327"/>
      <c r="W327"/>
    </row>
    <row r="329" spans="1:23" s="3" customFormat="1">
      <c r="A329"/>
      <c r="B329"/>
      <c r="C329"/>
      <c r="E329"/>
      <c r="F329" s="44" t="s">
        <v>487</v>
      </c>
      <c r="G329" s="44" t="s">
        <v>488</v>
      </c>
      <c r="N329"/>
      <c r="O329"/>
      <c r="P329"/>
      <c r="Q329"/>
      <c r="R329"/>
      <c r="S329"/>
      <c r="T329"/>
      <c r="U329"/>
      <c r="V329"/>
      <c r="W329"/>
    </row>
    <row r="330" spans="1:23" s="3" customFormat="1">
      <c r="A330" s="37" t="s">
        <v>489</v>
      </c>
      <c r="B330" s="37" t="s">
        <v>489</v>
      </c>
      <c r="C330" s="17" t="s">
        <v>490</v>
      </c>
      <c r="D330" s="17" t="s">
        <v>491</v>
      </c>
      <c r="E330"/>
      <c r="F330" s="2" t="s">
        <v>492</v>
      </c>
      <c r="G330" s="2" t="s">
        <v>154</v>
      </c>
      <c r="N330"/>
      <c r="O330"/>
      <c r="P330"/>
      <c r="Q330"/>
      <c r="R330"/>
      <c r="S330"/>
      <c r="T330"/>
      <c r="U330"/>
      <c r="V330"/>
      <c r="W330"/>
    </row>
    <row r="331" spans="1:23" s="3" customFormat="1">
      <c r="A331" s="37" t="s">
        <v>493</v>
      </c>
      <c r="B331" s="37" t="s">
        <v>493</v>
      </c>
      <c r="C331" s="17" t="s">
        <v>152</v>
      </c>
      <c r="D331" s="17" t="s">
        <v>494</v>
      </c>
      <c r="E331"/>
      <c r="F331" s="2" t="s">
        <v>153</v>
      </c>
      <c r="G331" s="2" t="s">
        <v>154</v>
      </c>
      <c r="N331"/>
      <c r="O331"/>
      <c r="P331"/>
      <c r="Q331"/>
      <c r="R331"/>
      <c r="S331"/>
      <c r="T331"/>
      <c r="U331"/>
      <c r="V331"/>
      <c r="W331"/>
    </row>
    <row r="332" spans="1:23" s="3" customFormat="1">
      <c r="A332" s="37" t="s">
        <v>495</v>
      </c>
      <c r="B332" s="37" t="s">
        <v>495</v>
      </c>
      <c r="C332" s="17" t="s">
        <v>496</v>
      </c>
      <c r="D332" s="17" t="s">
        <v>494</v>
      </c>
      <c r="E332"/>
      <c r="F332" s="2" t="s">
        <v>497</v>
      </c>
      <c r="G332" s="2" t="s">
        <v>239</v>
      </c>
      <c r="N332"/>
      <c r="O332"/>
      <c r="P332"/>
      <c r="Q332"/>
      <c r="R332"/>
      <c r="S332"/>
      <c r="T332"/>
      <c r="U332"/>
      <c r="V332"/>
      <c r="W332"/>
    </row>
    <row r="333" spans="1:23" s="3" customFormat="1">
      <c r="A333" s="37" t="s">
        <v>498</v>
      </c>
      <c r="B333" s="37" t="s">
        <v>498</v>
      </c>
      <c r="C333" s="17" t="s">
        <v>499</v>
      </c>
      <c r="D333" s="17" t="s">
        <v>500</v>
      </c>
      <c r="E333"/>
      <c r="F333" s="2" t="s">
        <v>193</v>
      </c>
      <c r="G333" s="40" t="s">
        <v>162</v>
      </c>
      <c r="N333"/>
      <c r="O333"/>
      <c r="P333"/>
      <c r="Q333"/>
      <c r="R333"/>
      <c r="S333"/>
      <c r="T333"/>
      <c r="U333"/>
      <c r="V333"/>
      <c r="W333"/>
    </row>
    <row r="335" spans="1:23" s="3" customFormat="1">
      <c r="A335"/>
      <c r="B335"/>
      <c r="C335"/>
      <c r="E335"/>
      <c r="F335" s="44" t="s">
        <v>501</v>
      </c>
      <c r="G335" s="44" t="s">
        <v>502</v>
      </c>
      <c r="H335" s="44" t="s">
        <v>503</v>
      </c>
      <c r="N335"/>
      <c r="O335"/>
      <c r="P335"/>
      <c r="Q335"/>
      <c r="R335"/>
      <c r="S335"/>
      <c r="T335"/>
      <c r="U335"/>
      <c r="V335"/>
      <c r="W335"/>
    </row>
    <row r="336" spans="1:23" s="3" customFormat="1">
      <c r="A336" s="37" t="s">
        <v>504</v>
      </c>
      <c r="B336" s="37" t="s">
        <v>504</v>
      </c>
      <c r="C336" s="17" t="s">
        <v>499</v>
      </c>
      <c r="D336" s="17" t="s">
        <v>500</v>
      </c>
      <c r="E336"/>
      <c r="F336" s="40" t="s">
        <v>193</v>
      </c>
      <c r="G336" s="40" t="s">
        <v>162</v>
      </c>
      <c r="H336" s="40" t="s">
        <v>162</v>
      </c>
      <c r="N336"/>
      <c r="O336"/>
      <c r="P336"/>
      <c r="Q336"/>
      <c r="R336"/>
      <c r="S336"/>
      <c r="T336"/>
      <c r="U336"/>
      <c r="V336"/>
      <c r="W336"/>
    </row>
    <row r="337" spans="1:23" s="3" customFormat="1">
      <c r="A337" s="299" t="s">
        <v>505</v>
      </c>
      <c r="B337" s="296" t="s">
        <v>505</v>
      </c>
      <c r="C337" s="41" t="s">
        <v>506</v>
      </c>
      <c r="D337" s="17"/>
      <c r="E337"/>
      <c r="F337" s="42"/>
      <c r="G337" s="42" t="s">
        <v>154</v>
      </c>
      <c r="H337" s="42" t="s">
        <v>507</v>
      </c>
      <c r="N337"/>
      <c r="O337"/>
      <c r="P337"/>
      <c r="Q337"/>
      <c r="R337"/>
      <c r="S337"/>
      <c r="T337"/>
      <c r="U337"/>
      <c r="V337"/>
      <c r="W337"/>
    </row>
    <row r="338" spans="1:23">
      <c r="A338" s="300"/>
      <c r="B338" s="297"/>
      <c r="C338" s="41" t="s">
        <v>508</v>
      </c>
      <c r="D338" s="17"/>
      <c r="F338" s="42" t="s">
        <v>509</v>
      </c>
      <c r="G338" s="42" t="s">
        <v>154</v>
      </c>
      <c r="H338" s="42" t="s">
        <v>154</v>
      </c>
    </row>
    <row r="339" spans="1:23">
      <c r="A339" s="284" t="s">
        <v>510</v>
      </c>
      <c r="B339" s="284" t="s">
        <v>510</v>
      </c>
      <c r="C339" s="17" t="s">
        <v>511</v>
      </c>
      <c r="D339" s="17"/>
      <c r="F339" s="42" t="s">
        <v>512</v>
      </c>
      <c r="G339" s="42" t="s">
        <v>162</v>
      </c>
      <c r="H339" s="42" t="s">
        <v>162</v>
      </c>
    </row>
    <row r="340" spans="1:23">
      <c r="A340" s="284"/>
      <c r="B340" s="284"/>
      <c r="C340" s="17" t="s">
        <v>513</v>
      </c>
      <c r="D340" s="17"/>
      <c r="F340" s="42" t="s">
        <v>514</v>
      </c>
      <c r="G340" s="42" t="s">
        <v>162</v>
      </c>
      <c r="H340" s="42" t="s">
        <v>162</v>
      </c>
    </row>
    <row r="341" spans="1:23">
      <c r="A341" s="284"/>
      <c r="B341" s="284"/>
      <c r="C341" s="17" t="s">
        <v>515</v>
      </c>
      <c r="D341" s="17"/>
      <c r="F341" s="42" t="s">
        <v>516</v>
      </c>
      <c r="G341" s="42" t="s">
        <v>162</v>
      </c>
      <c r="H341" s="42" t="s">
        <v>162</v>
      </c>
    </row>
    <row r="342" spans="1:23">
      <c r="A342" s="284"/>
      <c r="B342" s="284"/>
      <c r="C342" s="17" t="s">
        <v>517</v>
      </c>
      <c r="D342" s="17"/>
      <c r="F342" s="42" t="s">
        <v>518</v>
      </c>
      <c r="G342" s="42" t="s">
        <v>162</v>
      </c>
      <c r="H342" s="42" t="s">
        <v>162</v>
      </c>
    </row>
    <row r="343" spans="1:23">
      <c r="A343" s="284"/>
      <c r="B343" s="284"/>
      <c r="C343" s="17" t="s">
        <v>519</v>
      </c>
      <c r="D343" s="17"/>
      <c r="F343" s="42" t="s">
        <v>520</v>
      </c>
      <c r="G343" s="42" t="s">
        <v>162</v>
      </c>
      <c r="H343" s="42" t="s">
        <v>162</v>
      </c>
    </row>
    <row r="344" spans="1:23">
      <c r="A344" s="284"/>
      <c r="B344" s="284"/>
      <c r="C344" s="17" t="s">
        <v>521</v>
      </c>
      <c r="D344" s="17"/>
      <c r="F344" s="42" t="s">
        <v>522</v>
      </c>
      <c r="G344" s="42" t="s">
        <v>162</v>
      </c>
      <c r="H344" s="42" t="s">
        <v>162</v>
      </c>
    </row>
    <row r="345" spans="1:23" ht="28.5">
      <c r="A345" s="10" t="s">
        <v>1059</v>
      </c>
      <c r="B345" s="10" t="s">
        <v>1059</v>
      </c>
      <c r="C345" s="41" t="s">
        <v>1060</v>
      </c>
    </row>
    <row r="347" spans="1:23">
      <c r="D347" s="14"/>
      <c r="E347" s="4"/>
      <c r="F347" s="23" t="s">
        <v>83</v>
      </c>
      <c r="G347" s="23" t="s">
        <v>82</v>
      </c>
      <c r="H347" s="23" t="s">
        <v>84</v>
      </c>
      <c r="I347" s="23" t="s">
        <v>79</v>
      </c>
      <c r="J347" s="23" t="s">
        <v>78</v>
      </c>
      <c r="K347" s="23" t="s">
        <v>75</v>
      </c>
      <c r="L347"/>
      <c r="M347"/>
      <c r="R347" s="4"/>
    </row>
    <row r="348" spans="1:23">
      <c r="A348" s="37" t="s">
        <v>523</v>
      </c>
      <c r="B348" s="37" t="s">
        <v>523</v>
      </c>
      <c r="C348" s="17"/>
      <c r="D348" s="36"/>
      <c r="F348" s="2" t="s">
        <v>524</v>
      </c>
      <c r="G348" s="2" t="s">
        <v>524</v>
      </c>
      <c r="H348" s="2" t="s">
        <v>524</v>
      </c>
      <c r="I348" s="2" t="s">
        <v>524</v>
      </c>
      <c r="J348" s="39" t="s">
        <v>524</v>
      </c>
      <c r="K348" s="2" t="s">
        <v>524</v>
      </c>
      <c r="L348"/>
      <c r="M348"/>
    </row>
    <row r="350" spans="1:23">
      <c r="D350" s="28"/>
      <c r="F350" s="44" t="s">
        <v>10</v>
      </c>
      <c r="G350" s="44" t="s">
        <v>9</v>
      </c>
      <c r="H350" s="44" t="s">
        <v>525</v>
      </c>
      <c r="I350" s="44" t="s">
        <v>526</v>
      </c>
    </row>
    <row r="351" spans="1:23">
      <c r="A351" s="37" t="s">
        <v>527</v>
      </c>
      <c r="B351" s="37" t="s">
        <v>527</v>
      </c>
      <c r="C351" s="17" t="s">
        <v>152</v>
      </c>
      <c r="D351" s="36"/>
      <c r="F351" s="2" t="s">
        <v>153</v>
      </c>
      <c r="G351" s="2" t="s">
        <v>154</v>
      </c>
      <c r="H351" s="2" t="s">
        <v>154</v>
      </c>
    </row>
    <row r="353" spans="1:23" s="3" customFormat="1">
      <c r="A353"/>
      <c r="B353"/>
      <c r="C353"/>
      <c r="D353"/>
      <c r="E353"/>
      <c r="F353" s="44" t="s">
        <v>501</v>
      </c>
      <c r="G353" s="44" t="s">
        <v>502</v>
      </c>
      <c r="N353"/>
      <c r="O353"/>
      <c r="P353"/>
      <c r="Q353"/>
      <c r="R353"/>
      <c r="S353"/>
      <c r="T353"/>
      <c r="U353"/>
      <c r="V353"/>
      <c r="W353"/>
    </row>
    <row r="354" spans="1:23" s="3" customFormat="1">
      <c r="A354" s="37" t="s">
        <v>528</v>
      </c>
      <c r="B354" s="37" t="s">
        <v>528</v>
      </c>
      <c r="C354" s="17" t="s">
        <v>499</v>
      </c>
      <c r="D354" s="17"/>
      <c r="E354"/>
      <c r="F354" s="40" t="s">
        <v>193</v>
      </c>
      <c r="G354" s="40" t="s">
        <v>162</v>
      </c>
      <c r="N354"/>
      <c r="O354"/>
      <c r="P354"/>
      <c r="Q354"/>
      <c r="R354"/>
      <c r="S354"/>
      <c r="T354"/>
      <c r="U354"/>
      <c r="V354"/>
      <c r="W354"/>
    </row>
    <row r="355" spans="1:23" s="3" customFormat="1">
      <c r="A355" s="10" t="s">
        <v>529</v>
      </c>
      <c r="B355" s="10" t="s">
        <v>529</v>
      </c>
      <c r="C355" s="41" t="s">
        <v>508</v>
      </c>
      <c r="D355" s="17"/>
      <c r="E355"/>
      <c r="F355" s="42" t="s">
        <v>509</v>
      </c>
      <c r="G355" s="42" t="s">
        <v>154</v>
      </c>
      <c r="N355"/>
      <c r="O355"/>
      <c r="P355"/>
      <c r="Q355"/>
      <c r="R355"/>
      <c r="S355"/>
      <c r="T355"/>
      <c r="U355"/>
      <c r="V355"/>
      <c r="W355"/>
    </row>
    <row r="356" spans="1:23" s="3" customFormat="1">
      <c r="A356" s="284" t="s">
        <v>530</v>
      </c>
      <c r="B356" s="284" t="s">
        <v>530</v>
      </c>
      <c r="C356" s="17" t="s">
        <v>531</v>
      </c>
      <c r="D356" s="17"/>
      <c r="E356"/>
      <c r="F356" s="42" t="s">
        <v>512</v>
      </c>
      <c r="G356" s="42" t="s">
        <v>162</v>
      </c>
      <c r="N356"/>
      <c r="O356"/>
      <c r="P356"/>
      <c r="Q356"/>
      <c r="R356"/>
      <c r="S356"/>
      <c r="T356"/>
      <c r="U356"/>
      <c r="V356"/>
      <c r="W356"/>
    </row>
    <row r="357" spans="1:23" s="3" customFormat="1">
      <c r="A357" s="284"/>
      <c r="B357" s="284"/>
      <c r="C357" s="17" t="s">
        <v>532</v>
      </c>
      <c r="D357" s="17"/>
      <c r="E357"/>
      <c r="F357" s="42" t="s">
        <v>514</v>
      </c>
      <c r="G357" s="42" t="s">
        <v>162</v>
      </c>
      <c r="N357"/>
      <c r="O357"/>
      <c r="P357"/>
      <c r="Q357"/>
      <c r="R357"/>
      <c r="S357"/>
      <c r="T357"/>
      <c r="U357"/>
      <c r="V357"/>
      <c r="W357"/>
    </row>
    <row r="358" spans="1:23" s="3" customFormat="1">
      <c r="A358" s="284"/>
      <c r="B358" s="284"/>
      <c r="C358" s="17" t="s">
        <v>533</v>
      </c>
      <c r="D358" s="17"/>
      <c r="E358"/>
      <c r="F358" s="42" t="s">
        <v>516</v>
      </c>
      <c r="G358" s="42" t="s">
        <v>162</v>
      </c>
      <c r="N358"/>
      <c r="O358"/>
      <c r="P358"/>
      <c r="Q358"/>
      <c r="R358"/>
      <c r="S358"/>
      <c r="T358"/>
      <c r="U358"/>
      <c r="V358"/>
      <c r="W358"/>
    </row>
    <row r="359" spans="1:23" s="3" customFormat="1">
      <c r="A359" s="284"/>
      <c r="B359" s="284"/>
      <c r="C359" s="17" t="s">
        <v>534</v>
      </c>
      <c r="D359" s="17"/>
      <c r="E359"/>
      <c r="F359" s="42" t="s">
        <v>518</v>
      </c>
      <c r="G359" s="42" t="s">
        <v>162</v>
      </c>
      <c r="N359"/>
      <c r="O359"/>
      <c r="P359"/>
      <c r="Q359"/>
      <c r="R359"/>
      <c r="S359"/>
      <c r="T359"/>
      <c r="U359"/>
      <c r="V359"/>
      <c r="W359"/>
    </row>
    <row r="360" spans="1:23" s="3" customFormat="1">
      <c r="A360" s="284"/>
      <c r="B360" s="284"/>
      <c r="C360" s="17" t="s">
        <v>535</v>
      </c>
      <c r="D360" s="17"/>
      <c r="E360"/>
      <c r="F360" s="42" t="s">
        <v>520</v>
      </c>
      <c r="G360" s="42" t="s">
        <v>162</v>
      </c>
      <c r="N360"/>
      <c r="O360"/>
      <c r="P360"/>
      <c r="Q360"/>
      <c r="R360"/>
      <c r="S360"/>
      <c r="T360"/>
      <c r="U360"/>
      <c r="V360"/>
      <c r="W360"/>
    </row>
    <row r="361" spans="1:23" s="3" customFormat="1">
      <c r="A361" s="284"/>
      <c r="B361" s="284"/>
      <c r="C361" s="17" t="s">
        <v>536</v>
      </c>
      <c r="D361" s="17"/>
      <c r="E361"/>
      <c r="F361" s="42" t="s">
        <v>522</v>
      </c>
      <c r="G361" s="42" t="s">
        <v>162</v>
      </c>
      <c r="N361"/>
      <c r="O361"/>
      <c r="P361"/>
      <c r="Q361"/>
      <c r="R361"/>
      <c r="S361"/>
      <c r="T361"/>
      <c r="U361"/>
      <c r="V361"/>
      <c r="W361"/>
    </row>
    <row r="363" spans="1:23" s="3" customFormat="1">
      <c r="A363"/>
      <c r="B363"/>
      <c r="C363"/>
      <c r="D363" s="28"/>
      <c r="E363"/>
      <c r="F363" s="44" t="s">
        <v>10</v>
      </c>
      <c r="G363" s="44" t="s">
        <v>9</v>
      </c>
      <c r="H363" s="44" t="s">
        <v>525</v>
      </c>
      <c r="I363" s="44" t="s">
        <v>526</v>
      </c>
      <c r="N363"/>
      <c r="O363"/>
      <c r="P363"/>
      <c r="Q363"/>
      <c r="R363"/>
      <c r="S363"/>
      <c r="T363"/>
      <c r="U363"/>
      <c r="V363"/>
      <c r="W363"/>
    </row>
    <row r="364" spans="1:23" s="3" customFormat="1">
      <c r="A364" s="37" t="s">
        <v>537</v>
      </c>
      <c r="B364" s="37" t="s">
        <v>537</v>
      </c>
      <c r="C364" s="17" t="s">
        <v>152</v>
      </c>
      <c r="D364" s="36"/>
      <c r="E364"/>
      <c r="H364" s="2" t="s">
        <v>153</v>
      </c>
      <c r="I364" s="2" t="s">
        <v>154</v>
      </c>
      <c r="N364"/>
      <c r="O364"/>
      <c r="P364"/>
      <c r="Q364"/>
      <c r="R364"/>
      <c r="S364"/>
      <c r="T364"/>
      <c r="U364"/>
      <c r="V364"/>
      <c r="W364"/>
    </row>
    <row r="366" spans="1:23" s="3" customFormat="1">
      <c r="A366"/>
      <c r="B366"/>
      <c r="C366"/>
      <c r="D366"/>
      <c r="E366"/>
      <c r="F366" s="44" t="s">
        <v>1226</v>
      </c>
      <c r="G366" s="44" t="s">
        <v>1061</v>
      </c>
      <c r="H366" s="44" t="s">
        <v>1063</v>
      </c>
      <c r="I366" s="44" t="s">
        <v>1227</v>
      </c>
      <c r="J366" s="44" t="s">
        <v>1065</v>
      </c>
      <c r="N366"/>
      <c r="O366"/>
      <c r="P366"/>
      <c r="Q366"/>
      <c r="R366"/>
      <c r="S366"/>
      <c r="T366"/>
      <c r="U366"/>
      <c r="V366"/>
      <c r="W366"/>
    </row>
    <row r="367" spans="1:23" s="3" customFormat="1">
      <c r="A367" s="37" t="s">
        <v>1066</v>
      </c>
      <c r="B367" s="37" t="s">
        <v>1066</v>
      </c>
      <c r="C367" s="17" t="s">
        <v>1067</v>
      </c>
      <c r="D367" s="17" t="s">
        <v>1228</v>
      </c>
      <c r="E367"/>
      <c r="F367" s="2" t="s">
        <v>1069</v>
      </c>
      <c r="G367" s="2" t="s">
        <v>154</v>
      </c>
      <c r="H367" s="2" t="s">
        <v>1069</v>
      </c>
      <c r="I367" s="2" t="s">
        <v>1229</v>
      </c>
      <c r="J367" s="2" t="s">
        <v>1071</v>
      </c>
      <c r="N367"/>
      <c r="O367"/>
      <c r="P367"/>
      <c r="Q367"/>
      <c r="R367"/>
      <c r="S367"/>
      <c r="T367"/>
      <c r="U367"/>
      <c r="V367"/>
      <c r="W367"/>
    </row>
    <row r="368" spans="1:23">
      <c r="A368" s="37" t="s">
        <v>1072</v>
      </c>
      <c r="B368" s="37" t="s">
        <v>1072</v>
      </c>
      <c r="C368" s="17" t="s">
        <v>1073</v>
      </c>
      <c r="D368" s="17" t="s">
        <v>1228</v>
      </c>
      <c r="F368" s="2" t="s">
        <v>1069</v>
      </c>
      <c r="G368" s="2" t="s">
        <v>154</v>
      </c>
      <c r="H368" s="2" t="s">
        <v>1069</v>
      </c>
      <c r="I368" s="2" t="s">
        <v>1229</v>
      </c>
      <c r="J368" s="2" t="s">
        <v>1074</v>
      </c>
    </row>
    <row r="369" spans="1:23">
      <c r="A369" s="37" t="s">
        <v>1075</v>
      </c>
      <c r="B369" s="37" t="s">
        <v>1075</v>
      </c>
      <c r="C369" s="17" t="s">
        <v>1076</v>
      </c>
      <c r="D369" s="17" t="s">
        <v>1228</v>
      </c>
      <c r="F369" s="2" t="s">
        <v>1069</v>
      </c>
      <c r="G369" s="2" t="s">
        <v>154</v>
      </c>
      <c r="H369" s="2" t="s">
        <v>1069</v>
      </c>
      <c r="I369" s="2" t="s">
        <v>1229</v>
      </c>
      <c r="J369" s="2" t="s">
        <v>1077</v>
      </c>
    </row>
    <row r="371" spans="1:23">
      <c r="F371" s="44" t="s">
        <v>82</v>
      </c>
      <c r="G371" s="44" t="s">
        <v>76</v>
      </c>
      <c r="H371" s="44" t="s">
        <v>84</v>
      </c>
      <c r="I371" s="44" t="s">
        <v>77</v>
      </c>
      <c r="J371" s="44" t="s">
        <v>78</v>
      </c>
      <c r="K371" s="44" t="s">
        <v>79</v>
      </c>
      <c r="L371" s="44" t="s">
        <v>83</v>
      </c>
      <c r="M371" s="44" t="s">
        <v>75</v>
      </c>
    </row>
    <row r="372" spans="1:23" ht="156.94999999999999">
      <c r="A372" s="10" t="s">
        <v>1078</v>
      </c>
      <c r="B372" s="10" t="s">
        <v>1078</v>
      </c>
      <c r="C372" s="41" t="s">
        <v>1079</v>
      </c>
      <c r="D372" s="133" t="s">
        <v>1080</v>
      </c>
      <c r="F372" s="67" t="s">
        <v>1069</v>
      </c>
      <c r="G372" s="67" t="s">
        <v>1081</v>
      </c>
      <c r="H372" s="67" t="s">
        <v>1069</v>
      </c>
      <c r="I372" s="67" t="s">
        <v>1069</v>
      </c>
      <c r="J372" s="67" t="s">
        <v>1069</v>
      </c>
      <c r="K372" s="67" t="s">
        <v>154</v>
      </c>
      <c r="L372" s="67" t="s">
        <v>1071</v>
      </c>
      <c r="M372" s="67" t="s">
        <v>1071</v>
      </c>
    </row>
    <row r="373" spans="1:23" ht="156.94999999999999">
      <c r="A373" s="10" t="s">
        <v>1082</v>
      </c>
      <c r="B373" s="10" t="s">
        <v>1082</v>
      </c>
      <c r="C373" s="41" t="s">
        <v>1083</v>
      </c>
      <c r="D373" s="133" t="s">
        <v>1080</v>
      </c>
      <c r="F373" s="67" t="s">
        <v>1069</v>
      </c>
      <c r="G373" s="67" t="s">
        <v>1081</v>
      </c>
      <c r="H373" s="67" t="s">
        <v>1069</v>
      </c>
      <c r="I373" s="67" t="s">
        <v>1069</v>
      </c>
      <c r="J373" s="67" t="s">
        <v>1069</v>
      </c>
      <c r="K373" s="67" t="s">
        <v>154</v>
      </c>
      <c r="L373" s="67" t="s">
        <v>1074</v>
      </c>
      <c r="M373" s="67" t="s">
        <v>1074</v>
      </c>
    </row>
    <row r="374" spans="1:23" ht="156.94999999999999">
      <c r="A374" s="10" t="s">
        <v>1084</v>
      </c>
      <c r="B374" s="10" t="s">
        <v>1084</v>
      </c>
      <c r="C374" s="41" t="s">
        <v>1085</v>
      </c>
      <c r="D374" s="133" t="s">
        <v>1080</v>
      </c>
      <c r="F374" s="67" t="s">
        <v>1069</v>
      </c>
      <c r="G374" s="67" t="s">
        <v>1081</v>
      </c>
      <c r="H374" s="67" t="s">
        <v>1069</v>
      </c>
      <c r="I374" s="67" t="s">
        <v>1069</v>
      </c>
      <c r="J374" s="67" t="s">
        <v>1069</v>
      </c>
      <c r="K374" s="67" t="s">
        <v>154</v>
      </c>
      <c r="L374" s="67" t="s">
        <v>1077</v>
      </c>
      <c r="M374" s="67" t="s">
        <v>1077</v>
      </c>
    </row>
    <row r="376" spans="1:23" s="3" customFormat="1">
      <c r="A376"/>
      <c r="B376"/>
      <c r="C376"/>
      <c r="D376"/>
      <c r="E376" s="4"/>
      <c r="F376" s="23" t="s">
        <v>82</v>
      </c>
      <c r="G376" s="23" t="s">
        <v>79</v>
      </c>
      <c r="H376" s="23" t="s">
        <v>113</v>
      </c>
      <c r="N376"/>
      <c r="O376"/>
      <c r="P376"/>
      <c r="Q376"/>
      <c r="R376"/>
      <c r="S376"/>
      <c r="T376"/>
      <c r="U376"/>
      <c r="V376"/>
      <c r="W376"/>
    </row>
    <row r="377" spans="1:23" s="3" customFormat="1">
      <c r="A377" s="7" t="s">
        <v>1086</v>
      </c>
      <c r="B377" s="7" t="s">
        <v>1086</v>
      </c>
      <c r="C377" s="25" t="s">
        <v>1087</v>
      </c>
      <c r="D377" s="1"/>
      <c r="E377" s="6"/>
      <c r="F377" s="67" t="s">
        <v>153</v>
      </c>
      <c r="G377" s="67" t="s">
        <v>154</v>
      </c>
      <c r="H377" s="67" t="s">
        <v>154</v>
      </c>
      <c r="N377"/>
      <c r="O377"/>
      <c r="P377"/>
      <c r="Q377"/>
      <c r="R377"/>
      <c r="S377"/>
      <c r="T377"/>
      <c r="U377"/>
      <c r="V377"/>
      <c r="W377"/>
    </row>
    <row r="379" spans="1:23" s="3" customFormat="1">
      <c r="A379"/>
      <c r="B379"/>
      <c r="C379"/>
      <c r="D379"/>
      <c r="E379" s="4"/>
      <c r="F379" s="23" t="s">
        <v>82</v>
      </c>
      <c r="G379" s="23" t="s">
        <v>79</v>
      </c>
      <c r="H379" s="23" t="s">
        <v>58</v>
      </c>
      <c r="N379"/>
      <c r="O379"/>
      <c r="P379"/>
      <c r="Q379"/>
      <c r="R379"/>
      <c r="S379"/>
      <c r="T379"/>
      <c r="U379"/>
      <c r="V379"/>
      <c r="W379"/>
    </row>
    <row r="380" spans="1:23" s="3" customFormat="1" ht="42.75">
      <c r="A380" s="7" t="s">
        <v>1088</v>
      </c>
      <c r="B380" s="7" t="s">
        <v>1088</v>
      </c>
      <c r="C380" s="131" t="s">
        <v>1089</v>
      </c>
      <c r="D380" s="1"/>
      <c r="E380" s="6"/>
      <c r="F380" s="67" t="s">
        <v>153</v>
      </c>
      <c r="G380" s="67" t="s">
        <v>162</v>
      </c>
      <c r="H380" s="67" t="s">
        <v>162</v>
      </c>
      <c r="N380"/>
      <c r="O380"/>
      <c r="P380"/>
      <c r="Q380"/>
      <c r="R380"/>
      <c r="S380"/>
      <c r="T380"/>
      <c r="U380"/>
      <c r="V380"/>
      <c r="W380"/>
    </row>
    <row r="381" spans="1:23" s="3" customFormat="1" ht="42.75">
      <c r="A381" s="7" t="s">
        <v>1090</v>
      </c>
      <c r="B381" s="7" t="s">
        <v>1090</v>
      </c>
      <c r="C381" s="131" t="s">
        <v>1091</v>
      </c>
      <c r="D381" s="1"/>
      <c r="E381" s="6"/>
      <c r="F381" s="67" t="s">
        <v>162</v>
      </c>
      <c r="G381" s="67" t="s">
        <v>153</v>
      </c>
      <c r="H381" s="67" t="s">
        <v>162</v>
      </c>
      <c r="N381"/>
      <c r="O381"/>
      <c r="P381"/>
      <c r="Q381"/>
      <c r="R381"/>
      <c r="S381"/>
      <c r="T381"/>
      <c r="U381"/>
      <c r="V381"/>
      <c r="W381"/>
    </row>
    <row r="383" spans="1:23" s="22" customFormat="1">
      <c r="F383" s="27"/>
      <c r="G383" s="27"/>
      <c r="H383" s="27"/>
      <c r="I383" s="27"/>
      <c r="J383" s="27"/>
      <c r="K383" s="27"/>
      <c r="L383" s="27"/>
      <c r="M383" s="27"/>
    </row>
    <row r="384" spans="1:23" s="3" customFormat="1">
      <c r="A384"/>
      <c r="B384"/>
      <c r="C384"/>
      <c r="D384"/>
      <c r="E384"/>
      <c r="F384" s="44" t="s">
        <v>1092</v>
      </c>
      <c r="G384" s="44" t="s">
        <v>1093</v>
      </c>
      <c r="H384" s="44" t="s">
        <v>1094</v>
      </c>
      <c r="I384" s="44" t="s">
        <v>1095</v>
      </c>
      <c r="J384" s="44" t="s">
        <v>1096</v>
      </c>
      <c r="N384"/>
      <c r="O384"/>
      <c r="P384"/>
      <c r="Q384"/>
      <c r="R384"/>
      <c r="S384"/>
      <c r="T384"/>
      <c r="U384"/>
      <c r="V384"/>
      <c r="W384"/>
    </row>
    <row r="385" spans="1:23" s="3" customFormat="1" ht="71.45">
      <c r="A385" s="10" t="s">
        <v>1097</v>
      </c>
      <c r="B385" s="10" t="s">
        <v>1097</v>
      </c>
      <c r="C385" s="41" t="s">
        <v>1098</v>
      </c>
      <c r="D385"/>
      <c r="E385"/>
      <c r="F385" s="2" t="s">
        <v>153</v>
      </c>
      <c r="G385" s="2" t="s">
        <v>153</v>
      </c>
      <c r="H385" s="2">
        <v>0</v>
      </c>
      <c r="I385" s="2" t="s">
        <v>153</v>
      </c>
      <c r="J385" s="2">
        <v>0</v>
      </c>
      <c r="N385"/>
      <c r="O385"/>
      <c r="P385"/>
      <c r="Q385"/>
      <c r="R385"/>
      <c r="S385"/>
      <c r="T385"/>
      <c r="U385"/>
      <c r="V385"/>
      <c r="W385"/>
    </row>
    <row r="387" spans="1:23" s="3" customFormat="1">
      <c r="A387"/>
      <c r="B387"/>
      <c r="C387"/>
      <c r="D387"/>
      <c r="E387"/>
      <c r="F387" s="44" t="s">
        <v>1099</v>
      </c>
      <c r="G387" s="44" t="s">
        <v>1100</v>
      </c>
      <c r="H387" s="44" t="s">
        <v>1101</v>
      </c>
      <c r="I387" s="44" t="s">
        <v>1102</v>
      </c>
      <c r="J387" s="44" t="s">
        <v>1103</v>
      </c>
      <c r="K387" s="44" t="s">
        <v>1104</v>
      </c>
      <c r="L387" s="44" t="s">
        <v>1105</v>
      </c>
      <c r="N387"/>
      <c r="O387"/>
      <c r="P387"/>
      <c r="Q387"/>
      <c r="R387"/>
      <c r="S387"/>
      <c r="T387"/>
      <c r="U387"/>
      <c r="V387"/>
      <c r="W387"/>
    </row>
    <row r="388" spans="1:23" s="3" customFormat="1" ht="99.95">
      <c r="A388" s="10" t="s">
        <v>1106</v>
      </c>
      <c r="B388" s="10" t="s">
        <v>1106</v>
      </c>
      <c r="C388" s="41" t="s">
        <v>1107</v>
      </c>
      <c r="D388"/>
      <c r="E388"/>
      <c r="F388" s="2" t="s">
        <v>153</v>
      </c>
      <c r="G388" s="2" t="s">
        <v>153</v>
      </c>
      <c r="H388" s="2">
        <v>0</v>
      </c>
      <c r="I388" s="2" t="s">
        <v>153</v>
      </c>
      <c r="J388" s="2">
        <v>0</v>
      </c>
      <c r="K388" s="2">
        <v>0</v>
      </c>
      <c r="L388" s="2" t="s">
        <v>153</v>
      </c>
      <c r="N388"/>
      <c r="O388"/>
      <c r="P388"/>
      <c r="Q388"/>
      <c r="R388"/>
      <c r="S388"/>
      <c r="T388"/>
      <c r="U388"/>
      <c r="V388"/>
      <c r="W388"/>
    </row>
    <row r="389" spans="1:23" s="3" customFormat="1">
      <c r="A389" s="1"/>
      <c r="B389" s="1"/>
      <c r="C389" s="6"/>
      <c r="D389"/>
      <c r="E389"/>
      <c r="N389"/>
      <c r="O389"/>
      <c r="P389"/>
      <c r="Q389"/>
      <c r="R389"/>
      <c r="S389"/>
      <c r="T389"/>
      <c r="U389"/>
      <c r="V389"/>
      <c r="W389"/>
    </row>
    <row r="390" spans="1:23" s="3" customFormat="1">
      <c r="A390"/>
      <c r="B390"/>
      <c r="C390"/>
      <c r="D390"/>
      <c r="E390"/>
      <c r="F390" s="270" t="s">
        <v>1092</v>
      </c>
      <c r="G390" s="270" t="s">
        <v>1093</v>
      </c>
      <c r="H390" s="270" t="s">
        <v>1094</v>
      </c>
      <c r="I390" s="270" t="s">
        <v>1095</v>
      </c>
      <c r="J390" s="270" t="s">
        <v>1096</v>
      </c>
      <c r="K390" s="141"/>
      <c r="L390" s="141"/>
      <c r="N390"/>
      <c r="O390"/>
      <c r="P390"/>
      <c r="Q390"/>
      <c r="R390"/>
      <c r="S390"/>
      <c r="T390"/>
      <c r="U390"/>
      <c r="V390"/>
      <c r="W390"/>
    </row>
    <row r="391" spans="1:23" s="3" customFormat="1">
      <c r="A391" s="306" t="s">
        <v>1230</v>
      </c>
      <c r="B391" s="306" t="s">
        <v>1230</v>
      </c>
      <c r="C391" s="13" t="s">
        <v>1231</v>
      </c>
      <c r="D391" s="271" t="s">
        <v>1232</v>
      </c>
      <c r="E391"/>
      <c r="F391" s="213" t="s">
        <v>242</v>
      </c>
      <c r="G391" s="213" t="s">
        <v>238</v>
      </c>
      <c r="H391" s="213" t="s">
        <v>239</v>
      </c>
      <c r="I391" s="213" t="s">
        <v>242</v>
      </c>
      <c r="J391" s="213" t="s">
        <v>242</v>
      </c>
      <c r="K391" s="141"/>
      <c r="L391" s="141"/>
      <c r="N391"/>
      <c r="O391"/>
      <c r="P391"/>
      <c r="Q391"/>
      <c r="R391"/>
      <c r="S391"/>
      <c r="T391"/>
      <c r="U391"/>
      <c r="V391"/>
      <c r="W391"/>
    </row>
    <row r="392" spans="1:23" s="3" customFormat="1">
      <c r="A392" s="310"/>
      <c r="B392" s="310"/>
      <c r="C392" s="47" t="s">
        <v>1233</v>
      </c>
      <c r="D392"/>
      <c r="E392"/>
      <c r="F392" s="213" t="s">
        <v>239</v>
      </c>
      <c r="G392" s="213" t="s">
        <v>238</v>
      </c>
      <c r="H392" s="213" t="s">
        <v>242</v>
      </c>
      <c r="I392" s="213" t="s">
        <v>242</v>
      </c>
      <c r="J392" s="213" t="s">
        <v>242</v>
      </c>
      <c r="K392" s="141"/>
      <c r="L392" s="141"/>
      <c r="N392"/>
      <c r="O392"/>
      <c r="P392"/>
      <c r="Q392"/>
      <c r="R392"/>
      <c r="S392"/>
      <c r="T392"/>
      <c r="U392"/>
      <c r="V392"/>
      <c r="W392"/>
    </row>
    <row r="393" spans="1:23" s="3" customFormat="1">
      <c r="A393" s="307"/>
      <c r="B393" s="307"/>
      <c r="C393" s="48" t="s">
        <v>1234</v>
      </c>
      <c r="D393"/>
      <c r="E393"/>
      <c r="F393" s="213" t="s">
        <v>242</v>
      </c>
      <c r="G393" s="213" t="s">
        <v>238</v>
      </c>
      <c r="H393" s="213" t="s">
        <v>242</v>
      </c>
      <c r="I393" s="213" t="s">
        <v>242</v>
      </c>
      <c r="J393" s="213" t="s">
        <v>239</v>
      </c>
      <c r="K393" s="141"/>
      <c r="L393" s="141"/>
      <c r="N393"/>
      <c r="O393"/>
      <c r="P393"/>
      <c r="Q393"/>
      <c r="R393"/>
      <c r="S393"/>
      <c r="T393"/>
      <c r="U393"/>
      <c r="V393"/>
      <c r="W393"/>
    </row>
    <row r="394" spans="1:23" s="3" customFormat="1">
      <c r="A394" s="15"/>
      <c r="B394" s="15"/>
      <c r="C394"/>
      <c r="D394"/>
      <c r="E394"/>
      <c r="F394" s="141"/>
      <c r="G394" s="141"/>
      <c r="H394" s="141"/>
      <c r="I394" s="141"/>
      <c r="J394" s="141"/>
      <c r="K394" s="141"/>
      <c r="L394" s="141"/>
      <c r="N394"/>
      <c r="O394"/>
      <c r="P394"/>
      <c r="Q394"/>
      <c r="R394"/>
      <c r="S394"/>
      <c r="T394"/>
      <c r="U394"/>
      <c r="V394"/>
      <c r="W394"/>
    </row>
    <row r="395" spans="1:23" s="3" customFormat="1">
      <c r="A395"/>
      <c r="B395"/>
      <c r="C395"/>
      <c r="D395"/>
      <c r="E395"/>
      <c r="F395" s="270" t="s">
        <v>1099</v>
      </c>
      <c r="G395" s="270" t="s">
        <v>1100</v>
      </c>
      <c r="H395" s="270" t="s">
        <v>1101</v>
      </c>
      <c r="I395" s="270" t="s">
        <v>1102</v>
      </c>
      <c r="J395" s="270" t="s">
        <v>1103</v>
      </c>
      <c r="K395" s="270" t="s">
        <v>1104</v>
      </c>
      <c r="L395" s="270" t="s">
        <v>1105</v>
      </c>
      <c r="N395"/>
      <c r="O395"/>
      <c r="P395"/>
      <c r="Q395"/>
      <c r="R395"/>
      <c r="S395"/>
      <c r="T395"/>
      <c r="U395"/>
      <c r="V395"/>
      <c r="W395"/>
    </row>
    <row r="396" spans="1:23" s="3" customFormat="1">
      <c r="A396" s="306" t="s">
        <v>1235</v>
      </c>
      <c r="B396" s="306" t="s">
        <v>1235</v>
      </c>
      <c r="C396" s="13" t="s">
        <v>1236</v>
      </c>
      <c r="D396" s="271" t="s">
        <v>1232</v>
      </c>
      <c r="E396"/>
      <c r="F396" s="213" t="s">
        <v>242</v>
      </c>
      <c r="G396" s="213" t="s">
        <v>238</v>
      </c>
      <c r="H396" s="213" t="s">
        <v>239</v>
      </c>
      <c r="I396" s="213" t="s">
        <v>242</v>
      </c>
      <c r="J396" s="213" t="s">
        <v>242</v>
      </c>
      <c r="K396" s="213" t="s">
        <v>242</v>
      </c>
      <c r="L396" s="213" t="s">
        <v>242</v>
      </c>
      <c r="N396"/>
      <c r="O396"/>
      <c r="P396"/>
      <c r="Q396"/>
      <c r="R396"/>
      <c r="S396"/>
      <c r="T396"/>
      <c r="U396"/>
      <c r="V396"/>
      <c r="W396"/>
    </row>
    <row r="397" spans="1:23" s="3" customFormat="1">
      <c r="A397" s="310"/>
      <c r="B397" s="310"/>
      <c r="C397" s="47" t="s">
        <v>1237</v>
      </c>
      <c r="D397"/>
      <c r="E397"/>
      <c r="F397" s="213" t="s">
        <v>242</v>
      </c>
      <c r="G397" s="213" t="s">
        <v>238</v>
      </c>
      <c r="H397" s="213" t="s">
        <v>242</v>
      </c>
      <c r="I397" s="213" t="s">
        <v>242</v>
      </c>
      <c r="J397" s="213" t="s">
        <v>242</v>
      </c>
      <c r="K397" s="213" t="s">
        <v>239</v>
      </c>
      <c r="L397" s="213" t="s">
        <v>242</v>
      </c>
      <c r="N397"/>
      <c r="O397"/>
      <c r="P397"/>
      <c r="Q397"/>
      <c r="R397"/>
      <c r="S397"/>
      <c r="T397"/>
      <c r="U397"/>
      <c r="V397"/>
      <c r="W397"/>
    </row>
    <row r="398" spans="1:23" s="3" customFormat="1">
      <c r="A398" s="310"/>
      <c r="B398" s="310"/>
      <c r="C398" s="47" t="s">
        <v>1238</v>
      </c>
      <c r="D398"/>
      <c r="E398"/>
      <c r="F398" s="213" t="s">
        <v>239</v>
      </c>
      <c r="G398" s="213" t="s">
        <v>238</v>
      </c>
      <c r="H398" s="213" t="s">
        <v>242</v>
      </c>
      <c r="I398" s="213" t="s">
        <v>242</v>
      </c>
      <c r="J398" s="213" t="s">
        <v>242</v>
      </c>
      <c r="K398" s="213" t="s">
        <v>242</v>
      </c>
      <c r="L398" s="213" t="s">
        <v>242</v>
      </c>
      <c r="N398"/>
      <c r="O398"/>
      <c r="P398"/>
      <c r="Q398"/>
      <c r="R398"/>
      <c r="S398"/>
      <c r="T398"/>
      <c r="U398"/>
      <c r="V398"/>
      <c r="W398"/>
    </row>
    <row r="399" spans="1:23" s="3" customFormat="1">
      <c r="A399" s="310"/>
      <c r="B399" s="310"/>
      <c r="C399" s="47" t="s">
        <v>1239</v>
      </c>
      <c r="D399"/>
      <c r="E399"/>
      <c r="F399" s="213" t="s">
        <v>242</v>
      </c>
      <c r="G399" s="213" t="s">
        <v>238</v>
      </c>
      <c r="H399" s="213" t="s">
        <v>242</v>
      </c>
      <c r="I399" s="213" t="s">
        <v>242</v>
      </c>
      <c r="J399" s="213" t="s">
        <v>239</v>
      </c>
      <c r="K399" s="213" t="s">
        <v>242</v>
      </c>
      <c r="L399" s="213" t="s">
        <v>242</v>
      </c>
      <c r="N399"/>
      <c r="O399"/>
      <c r="P399"/>
      <c r="Q399"/>
      <c r="R399"/>
      <c r="S399"/>
      <c r="T399"/>
      <c r="U399"/>
      <c r="V399"/>
      <c r="W399"/>
    </row>
    <row r="400" spans="1:23" s="3" customFormat="1">
      <c r="A400" s="310"/>
      <c r="B400" s="310"/>
      <c r="C400" s="47" t="s">
        <v>1240</v>
      </c>
      <c r="D400"/>
      <c r="E400"/>
      <c r="F400" s="213" t="s">
        <v>242</v>
      </c>
      <c r="G400" s="213" t="s">
        <v>242</v>
      </c>
      <c r="H400" s="213" t="s">
        <v>239</v>
      </c>
      <c r="I400" s="213" t="s">
        <v>242</v>
      </c>
      <c r="J400" s="213" t="s">
        <v>242</v>
      </c>
      <c r="K400" s="213" t="s">
        <v>242</v>
      </c>
      <c r="L400" s="213" t="s">
        <v>238</v>
      </c>
      <c r="N400"/>
      <c r="O400"/>
      <c r="P400"/>
      <c r="Q400"/>
      <c r="R400"/>
      <c r="S400"/>
      <c r="T400"/>
      <c r="U400"/>
      <c r="V400"/>
      <c r="W400"/>
    </row>
    <row r="401" spans="1:23" s="3" customFormat="1">
      <c r="A401" s="310"/>
      <c r="B401" s="310"/>
      <c r="C401" s="47" t="s">
        <v>1241</v>
      </c>
      <c r="D401"/>
      <c r="E401"/>
      <c r="F401" s="213" t="s">
        <v>242</v>
      </c>
      <c r="G401" s="213" t="s">
        <v>242</v>
      </c>
      <c r="H401" s="213" t="s">
        <v>242</v>
      </c>
      <c r="I401" s="213" t="s">
        <v>242</v>
      </c>
      <c r="J401" s="213" t="s">
        <v>242</v>
      </c>
      <c r="K401" s="213" t="s">
        <v>239</v>
      </c>
      <c r="L401" s="213" t="s">
        <v>238</v>
      </c>
      <c r="N401"/>
      <c r="O401"/>
      <c r="P401"/>
      <c r="Q401"/>
      <c r="R401"/>
      <c r="S401"/>
      <c r="T401"/>
      <c r="U401"/>
      <c r="V401"/>
      <c r="W401"/>
    </row>
    <row r="402" spans="1:23" s="3" customFormat="1">
      <c r="A402" s="310"/>
      <c r="B402" s="310"/>
      <c r="C402" s="47" t="s">
        <v>1242</v>
      </c>
      <c r="D402"/>
      <c r="E402"/>
      <c r="F402" s="213" t="s">
        <v>239</v>
      </c>
      <c r="G402" s="213" t="s">
        <v>242</v>
      </c>
      <c r="H402" s="213" t="s">
        <v>242</v>
      </c>
      <c r="I402" s="213" t="s">
        <v>242</v>
      </c>
      <c r="J402" s="213" t="s">
        <v>242</v>
      </c>
      <c r="K402" s="213" t="s">
        <v>242</v>
      </c>
      <c r="L402" s="213" t="s">
        <v>238</v>
      </c>
      <c r="N402"/>
      <c r="O402"/>
      <c r="P402"/>
      <c r="Q402"/>
      <c r="R402"/>
      <c r="S402"/>
      <c r="T402"/>
      <c r="U402"/>
      <c r="V402"/>
      <c r="W402"/>
    </row>
    <row r="403" spans="1:23" s="3" customFormat="1">
      <c r="A403" s="307"/>
      <c r="B403" s="307"/>
      <c r="C403" s="48" t="s">
        <v>1243</v>
      </c>
      <c r="D403"/>
      <c r="E403"/>
      <c r="F403" s="213" t="s">
        <v>242</v>
      </c>
      <c r="G403" s="213" t="s">
        <v>242</v>
      </c>
      <c r="H403" s="213" t="s">
        <v>242</v>
      </c>
      <c r="I403" s="213" t="s">
        <v>242</v>
      </c>
      <c r="J403" s="213" t="s">
        <v>239</v>
      </c>
      <c r="K403" s="213" t="s">
        <v>242</v>
      </c>
      <c r="L403" s="213" t="s">
        <v>238</v>
      </c>
      <c r="N403"/>
      <c r="O403"/>
      <c r="P403"/>
      <c r="Q403"/>
      <c r="R403"/>
      <c r="S403"/>
      <c r="T403"/>
      <c r="U403"/>
      <c r="V403"/>
      <c r="W403"/>
    </row>
    <row r="418" spans="1:3">
      <c r="A418" s="37" t="s">
        <v>1108</v>
      </c>
      <c r="B418" s="37" t="s">
        <v>1108</v>
      </c>
      <c r="C418" s="17" t="s">
        <v>1109</v>
      </c>
    </row>
    <row r="419" spans="1:3">
      <c r="A419" s="37" t="s">
        <v>1110</v>
      </c>
      <c r="B419" s="37" t="s">
        <v>1110</v>
      </c>
      <c r="C419" s="18" t="s">
        <v>1111</v>
      </c>
    </row>
    <row r="420" spans="1:3">
      <c r="A420" s="37" t="s">
        <v>1112</v>
      </c>
      <c r="B420" s="37" t="s">
        <v>1112</v>
      </c>
      <c r="C420" s="18" t="s">
        <v>1113</v>
      </c>
    </row>
    <row r="421" spans="1:3">
      <c r="A421" s="37" t="s">
        <v>1114</v>
      </c>
      <c r="B421" s="37" t="s">
        <v>1114</v>
      </c>
      <c r="C421" s="18" t="s">
        <v>1115</v>
      </c>
    </row>
    <row r="422" spans="1:3">
      <c r="A422" s="37" t="s">
        <v>1116</v>
      </c>
      <c r="B422" s="37" t="s">
        <v>1116</v>
      </c>
      <c r="C422" s="18" t="s">
        <v>1117</v>
      </c>
    </row>
    <row r="423" spans="1:3">
      <c r="A423" s="37" t="s">
        <v>1118</v>
      </c>
      <c r="B423" s="37" t="s">
        <v>1118</v>
      </c>
      <c r="C423" s="17" t="s">
        <v>1119</v>
      </c>
    </row>
    <row r="424" spans="1:3">
      <c r="A424" s="37" t="s">
        <v>1120</v>
      </c>
      <c r="B424" s="37" t="s">
        <v>1120</v>
      </c>
      <c r="C424" s="18" t="s">
        <v>1121</v>
      </c>
    </row>
    <row r="425" spans="1:3">
      <c r="A425" s="37" t="s">
        <v>1122</v>
      </c>
      <c r="B425" s="37" t="s">
        <v>1122</v>
      </c>
      <c r="C425" s="17" t="s">
        <v>1122</v>
      </c>
    </row>
    <row r="428" spans="1:3">
      <c r="A428" s="296" t="s">
        <v>1123</v>
      </c>
      <c r="B428" s="33" t="s">
        <v>1124</v>
      </c>
      <c r="C428" s="25" t="s">
        <v>1125</v>
      </c>
    </row>
    <row r="429" spans="1:3">
      <c r="A429" s="297"/>
      <c r="B429" s="33" t="s">
        <v>1126</v>
      </c>
      <c r="C429" s="25" t="s">
        <v>397</v>
      </c>
    </row>
    <row r="432" spans="1:3">
      <c r="A432" s="37" t="s">
        <v>1127</v>
      </c>
      <c r="B432" s="37" t="s">
        <v>1127</v>
      </c>
      <c r="C432" s="17" t="s">
        <v>1128</v>
      </c>
    </row>
    <row r="433" spans="1:3">
      <c r="A433" s="37" t="s">
        <v>1129</v>
      </c>
      <c r="B433" s="37" t="s">
        <v>1129</v>
      </c>
      <c r="C433" s="17" t="s">
        <v>1130</v>
      </c>
    </row>
    <row r="435" spans="1:3">
      <c r="A435" s="37" t="s">
        <v>1131</v>
      </c>
      <c r="B435" s="37" t="s">
        <v>1131</v>
      </c>
      <c r="C435" s="17" t="s">
        <v>1132</v>
      </c>
    </row>
    <row r="436" spans="1:3">
      <c r="A436" s="37" t="s">
        <v>1133</v>
      </c>
      <c r="B436" s="37" t="s">
        <v>1133</v>
      </c>
      <c r="C436" s="17" t="s">
        <v>1134</v>
      </c>
    </row>
    <row r="437" spans="1:3">
      <c r="A437" s="37" t="s">
        <v>1135</v>
      </c>
      <c r="B437" s="37" t="s">
        <v>1135</v>
      </c>
      <c r="C437" s="17" t="s">
        <v>1136</v>
      </c>
    </row>
    <row r="440" spans="1:3">
      <c r="A440" s="37" t="s">
        <v>1137</v>
      </c>
      <c r="B440" s="37" t="s">
        <v>1137</v>
      </c>
      <c r="C440" s="17" t="s">
        <v>404</v>
      </c>
    </row>
    <row r="441" spans="1:3">
      <c r="A441" s="37" t="s">
        <v>287</v>
      </c>
      <c r="B441" s="37" t="s">
        <v>287</v>
      </c>
      <c r="C441" s="17" t="s">
        <v>287</v>
      </c>
    </row>
    <row r="442" spans="1:3">
      <c r="A442" s="37" t="s">
        <v>1138</v>
      </c>
      <c r="B442" s="37" t="s">
        <v>1138</v>
      </c>
      <c r="C442" s="17" t="s">
        <v>1139</v>
      </c>
    </row>
    <row r="445" spans="1:3">
      <c r="A445" s="37" t="s">
        <v>1140</v>
      </c>
      <c r="B445" s="37" t="s">
        <v>1140</v>
      </c>
      <c r="C445" s="17" t="s">
        <v>404</v>
      </c>
    </row>
    <row r="446" spans="1:3">
      <c r="A446" s="37" t="s">
        <v>287</v>
      </c>
      <c r="B446" s="37" t="s">
        <v>287</v>
      </c>
      <c r="C446" s="17" t="s">
        <v>287</v>
      </c>
    </row>
    <row r="447" spans="1:3">
      <c r="A447" s="37" t="s">
        <v>1141</v>
      </c>
      <c r="B447" s="37" t="s">
        <v>1141</v>
      </c>
      <c r="C447" s="17" t="s">
        <v>1139</v>
      </c>
    </row>
    <row r="450" spans="1:3">
      <c r="A450" s="37" t="s">
        <v>1142</v>
      </c>
      <c r="B450" s="37" t="s">
        <v>1142</v>
      </c>
      <c r="C450" s="17" t="s">
        <v>404</v>
      </c>
    </row>
    <row r="451" spans="1:3">
      <c r="A451" s="37" t="s">
        <v>287</v>
      </c>
      <c r="B451" s="37" t="s">
        <v>287</v>
      </c>
      <c r="C451" s="17" t="s">
        <v>287</v>
      </c>
    </row>
    <row r="452" spans="1:3">
      <c r="A452" s="37" t="s">
        <v>1143</v>
      </c>
      <c r="B452" s="37" t="s">
        <v>1143</v>
      </c>
      <c r="C452" s="17" t="s">
        <v>1139</v>
      </c>
    </row>
    <row r="455" spans="1:3">
      <c r="A455" s="37" t="s">
        <v>1144</v>
      </c>
      <c r="B455" s="37" t="s">
        <v>1144</v>
      </c>
      <c r="C455" s="17" t="s">
        <v>404</v>
      </c>
    </row>
    <row r="456" spans="1:3">
      <c r="A456" s="37" t="s">
        <v>287</v>
      </c>
      <c r="B456" s="37" t="s">
        <v>287</v>
      </c>
      <c r="C456" s="17" t="s">
        <v>287</v>
      </c>
    </row>
    <row r="457" spans="1:3">
      <c r="A457" s="37" t="s">
        <v>1145</v>
      </c>
      <c r="B457" s="37" t="s">
        <v>1145</v>
      </c>
      <c r="C457" s="17" t="s">
        <v>1139</v>
      </c>
    </row>
    <row r="460" spans="1:3">
      <c r="A460" s="37" t="s">
        <v>1146</v>
      </c>
      <c r="B460" s="37" t="s">
        <v>1146</v>
      </c>
      <c r="C460" s="17" t="s">
        <v>1147</v>
      </c>
    </row>
    <row r="461" spans="1:3">
      <c r="A461" s="37" t="s">
        <v>1148</v>
      </c>
      <c r="B461" s="37" t="s">
        <v>1148</v>
      </c>
      <c r="C461" s="17" t="s">
        <v>1149</v>
      </c>
    </row>
    <row r="462" spans="1:3">
      <c r="A462" s="37" t="s">
        <v>1150</v>
      </c>
      <c r="B462" s="37" t="s">
        <v>1150</v>
      </c>
      <c r="C462" s="17" t="s">
        <v>1151</v>
      </c>
    </row>
    <row r="463" spans="1:3">
      <c r="A463" s="37" t="s">
        <v>1152</v>
      </c>
      <c r="B463" s="37" t="s">
        <v>1152</v>
      </c>
      <c r="C463" s="17" t="s">
        <v>1153</v>
      </c>
    </row>
    <row r="464" spans="1:3">
      <c r="A464" s="37" t="s">
        <v>1154</v>
      </c>
      <c r="B464" s="37" t="s">
        <v>1154</v>
      </c>
      <c r="C464" s="17" t="s">
        <v>1155</v>
      </c>
    </row>
    <row r="467" spans="1:23">
      <c r="A467" s="37" t="s">
        <v>1156</v>
      </c>
      <c r="B467" s="37" t="s">
        <v>1156</v>
      </c>
      <c r="C467" s="17"/>
    </row>
    <row r="470" spans="1:23">
      <c r="A470" s="37" t="s">
        <v>1157</v>
      </c>
      <c r="B470" s="37" t="s">
        <v>1157</v>
      </c>
      <c r="C470" s="17" t="s">
        <v>1158</v>
      </c>
    </row>
    <row r="473" spans="1:23" ht="42.75">
      <c r="A473" s="284" t="s">
        <v>1159</v>
      </c>
      <c r="B473" s="301" t="s">
        <v>1159</v>
      </c>
      <c r="C473" s="41" t="s">
        <v>1160</v>
      </c>
    </row>
    <row r="474" spans="1:23" ht="42.75">
      <c r="A474" s="284"/>
      <c r="B474" s="301"/>
      <c r="C474" s="41" t="s">
        <v>1161</v>
      </c>
    </row>
    <row r="475" spans="1:23" ht="42.75">
      <c r="A475" s="284"/>
      <c r="B475" s="301"/>
      <c r="C475" s="41" t="s">
        <v>1162</v>
      </c>
    </row>
    <row r="476" spans="1:23" ht="42.75">
      <c r="A476" s="284"/>
      <c r="B476" s="301"/>
      <c r="C476" s="41" t="s">
        <v>1163</v>
      </c>
    </row>
    <row r="477" spans="1:23" ht="57.2">
      <c r="A477" s="302" t="s">
        <v>1164</v>
      </c>
      <c r="B477" s="301" t="s">
        <v>1164</v>
      </c>
      <c r="C477" s="41" t="s">
        <v>1165</v>
      </c>
    </row>
    <row r="478" spans="1:23" ht="57.2">
      <c r="A478" s="302"/>
      <c r="B478" s="301"/>
      <c r="C478" s="41" t="s">
        <v>1166</v>
      </c>
    </row>
    <row r="479" spans="1:23" ht="57.2">
      <c r="A479" s="302"/>
      <c r="B479" s="301"/>
      <c r="C479" s="41" t="s">
        <v>1167</v>
      </c>
    </row>
    <row r="480" spans="1:23" s="3" customFormat="1" ht="57.2">
      <c r="A480" s="302"/>
      <c r="B480" s="301"/>
      <c r="C480" s="41" t="s">
        <v>1168</v>
      </c>
      <c r="D480"/>
      <c r="E480"/>
      <c r="N480"/>
      <c r="O480"/>
      <c r="P480"/>
      <c r="Q480"/>
      <c r="R480"/>
      <c r="S480"/>
      <c r="T480"/>
      <c r="U480"/>
      <c r="V480"/>
      <c r="W480"/>
    </row>
    <row r="481" spans="1:23" s="3" customFormat="1" ht="57.2">
      <c r="A481" s="302"/>
      <c r="B481" s="301"/>
      <c r="C481" s="41" t="s">
        <v>1169</v>
      </c>
      <c r="D481"/>
      <c r="E481"/>
      <c r="N481"/>
      <c r="O481"/>
      <c r="P481"/>
      <c r="Q481"/>
      <c r="R481"/>
      <c r="S481"/>
      <c r="T481"/>
      <c r="U481"/>
      <c r="V481"/>
      <c r="W481"/>
    </row>
    <row r="483" spans="1:23" s="3" customFormat="1">
      <c r="A483"/>
      <c r="B483"/>
      <c r="C483"/>
      <c r="D483"/>
      <c r="E483"/>
      <c r="F483" s="2" t="s">
        <v>1170</v>
      </c>
      <c r="G483" s="2" t="s">
        <v>1171</v>
      </c>
      <c r="N483"/>
      <c r="O483"/>
      <c r="P483"/>
      <c r="Q483"/>
      <c r="R483"/>
      <c r="S483"/>
      <c r="T483"/>
      <c r="U483"/>
      <c r="V483"/>
      <c r="W483"/>
    </row>
    <row r="484" spans="1:23" s="3" customFormat="1">
      <c r="A484" s="284" t="s">
        <v>1172</v>
      </c>
      <c r="B484" s="301" t="s">
        <v>1172</v>
      </c>
      <c r="C484" s="159" t="s">
        <v>1173</v>
      </c>
      <c r="D484"/>
      <c r="E484"/>
      <c r="F484" s="2" t="s">
        <v>1174</v>
      </c>
      <c r="G484" s="2" t="s">
        <v>1175</v>
      </c>
      <c r="N484"/>
      <c r="O484"/>
      <c r="P484"/>
      <c r="Q484"/>
      <c r="R484"/>
      <c r="S484"/>
      <c r="T484"/>
      <c r="U484"/>
      <c r="V484"/>
      <c r="W484"/>
    </row>
    <row r="485" spans="1:23" s="3" customFormat="1">
      <c r="A485" s="284"/>
      <c r="B485" s="301"/>
      <c r="C485" s="160" t="s">
        <v>1176</v>
      </c>
      <c r="D485"/>
      <c r="E485"/>
      <c r="N485"/>
      <c r="O485"/>
      <c r="P485"/>
      <c r="Q485"/>
      <c r="R485"/>
      <c r="S485"/>
      <c r="T485"/>
      <c r="U485"/>
      <c r="V485"/>
      <c r="W485"/>
    </row>
    <row r="487" spans="1:23" s="3" customFormat="1">
      <c r="A487" s="170" t="s">
        <v>1177</v>
      </c>
      <c r="B487" s="170" t="s">
        <v>1177</v>
      </c>
      <c r="C487" s="13" t="s">
        <v>1178</v>
      </c>
      <c r="D487"/>
      <c r="E487"/>
      <c r="F487" s="2" t="s">
        <v>1170</v>
      </c>
      <c r="G487" s="2" t="s">
        <v>1171</v>
      </c>
      <c r="N487"/>
      <c r="O487"/>
      <c r="P487"/>
      <c r="Q487"/>
      <c r="R487"/>
      <c r="S487"/>
      <c r="T487"/>
      <c r="U487"/>
      <c r="V487"/>
      <c r="W487"/>
    </row>
    <row r="488" spans="1:23" s="3" customFormat="1">
      <c r="A488" s="171"/>
      <c r="B488" s="171"/>
      <c r="C488" s="47" t="s">
        <v>1179</v>
      </c>
      <c r="D488"/>
      <c r="E488"/>
      <c r="F488" s="2" t="s">
        <v>1174</v>
      </c>
      <c r="G488" s="2" t="s">
        <v>1175</v>
      </c>
      <c r="N488"/>
      <c r="O488"/>
      <c r="P488"/>
      <c r="Q488"/>
      <c r="R488"/>
      <c r="S488"/>
      <c r="T488"/>
      <c r="U488"/>
      <c r="V488"/>
      <c r="W488"/>
    </row>
    <row r="489" spans="1:23" s="3" customFormat="1">
      <c r="A489" s="171"/>
      <c r="B489" s="171"/>
      <c r="C489" s="47" t="s">
        <v>1180</v>
      </c>
      <c r="D489"/>
      <c r="E489"/>
      <c r="N489"/>
      <c r="O489"/>
      <c r="P489"/>
      <c r="Q489"/>
      <c r="R489"/>
      <c r="S489"/>
      <c r="T489"/>
      <c r="U489"/>
      <c r="V489"/>
      <c r="W489"/>
    </row>
    <row r="490" spans="1:23" s="3" customFormat="1">
      <c r="A490" s="172"/>
      <c r="B490" s="172"/>
      <c r="C490" s="48" t="s">
        <v>1181</v>
      </c>
      <c r="D490"/>
      <c r="E490"/>
      <c r="N490"/>
      <c r="O490"/>
      <c r="P490"/>
      <c r="Q490"/>
      <c r="R490"/>
      <c r="S490"/>
      <c r="T490"/>
      <c r="U490"/>
      <c r="V490"/>
      <c r="W490"/>
    </row>
    <row r="492" spans="1:23" s="3" customFormat="1">
      <c r="A492" s="33" t="s">
        <v>1182</v>
      </c>
      <c r="B492" s="161" t="s">
        <v>1182</v>
      </c>
      <c r="C492" s="17" t="s">
        <v>1183</v>
      </c>
      <c r="D492" s="17" t="s">
        <v>1184</v>
      </c>
      <c r="E492"/>
      <c r="N492"/>
      <c r="O492"/>
      <c r="P492"/>
      <c r="Q492"/>
      <c r="R492"/>
      <c r="S492"/>
      <c r="T492"/>
      <c r="U492"/>
      <c r="V492"/>
      <c r="W492"/>
    </row>
    <row r="493" spans="1:23" s="3" customFormat="1">
      <c r="A493"/>
      <c r="C493"/>
      <c r="D493"/>
      <c r="E493"/>
      <c r="N493"/>
      <c r="O493"/>
      <c r="P493"/>
      <c r="Q493"/>
      <c r="R493"/>
      <c r="S493"/>
      <c r="T493"/>
      <c r="U493"/>
      <c r="V493"/>
      <c r="W493"/>
    </row>
    <row r="494" spans="1:23" s="3" customFormat="1">
      <c r="A494" s="33" t="s">
        <v>1185</v>
      </c>
      <c r="B494" s="161" t="s">
        <v>1185</v>
      </c>
      <c r="C494" s="17" t="s">
        <v>1186</v>
      </c>
      <c r="D494" s="17" t="s">
        <v>1184</v>
      </c>
      <c r="E494"/>
      <c r="N494"/>
      <c r="O494"/>
      <c r="P494"/>
      <c r="Q494"/>
      <c r="R494"/>
      <c r="S494"/>
      <c r="T494"/>
      <c r="U494"/>
      <c r="V494"/>
      <c r="W494"/>
    </row>
    <row r="495" spans="1:23" s="3" customFormat="1">
      <c r="A495"/>
      <c r="C495"/>
      <c r="D495"/>
      <c r="E495"/>
      <c r="N495"/>
      <c r="O495"/>
      <c r="P495"/>
      <c r="Q495"/>
      <c r="R495"/>
      <c r="S495"/>
      <c r="T495"/>
      <c r="U495"/>
      <c r="V495"/>
      <c r="W495"/>
    </row>
    <row r="496" spans="1:23" s="3" customFormat="1">
      <c r="A496" s="296" t="s">
        <v>1187</v>
      </c>
      <c r="B496" s="306" t="s">
        <v>1187</v>
      </c>
      <c r="C496" s="17" t="s">
        <v>1188</v>
      </c>
      <c r="D496" s="17" t="s">
        <v>1184</v>
      </c>
      <c r="E496"/>
      <c r="N496"/>
      <c r="O496"/>
      <c r="P496"/>
      <c r="Q496"/>
      <c r="R496"/>
      <c r="S496"/>
      <c r="T496"/>
      <c r="U496"/>
      <c r="V496"/>
      <c r="W496"/>
    </row>
    <row r="497" spans="1:23" s="3" customFormat="1">
      <c r="A497" s="297"/>
      <c r="B497" s="307"/>
      <c r="C497" s="17" t="s">
        <v>1189</v>
      </c>
      <c r="D497" s="17" t="s">
        <v>1190</v>
      </c>
      <c r="E497"/>
      <c r="N497"/>
      <c r="O497"/>
      <c r="P497"/>
      <c r="Q497"/>
      <c r="R497"/>
      <c r="S497"/>
      <c r="T497"/>
      <c r="U497"/>
      <c r="V497"/>
      <c r="W497"/>
    </row>
    <row r="499" spans="1:23" s="3" customFormat="1">
      <c r="A499" s="296" t="s">
        <v>1191</v>
      </c>
      <c r="B499" s="306" t="s">
        <v>1191</v>
      </c>
      <c r="C499" s="17" t="s">
        <v>1192</v>
      </c>
      <c r="D499" s="17" t="s">
        <v>1184</v>
      </c>
      <c r="E499"/>
      <c r="N499"/>
      <c r="O499"/>
      <c r="P499"/>
      <c r="Q499"/>
      <c r="R499"/>
      <c r="S499"/>
      <c r="T499"/>
      <c r="U499"/>
      <c r="V499"/>
      <c r="W499"/>
    </row>
    <row r="500" spans="1:23" s="3" customFormat="1">
      <c r="A500" s="297"/>
      <c r="B500" s="307"/>
      <c r="C500" s="17" t="s">
        <v>1193</v>
      </c>
      <c r="D500" s="17" t="s">
        <v>1190</v>
      </c>
      <c r="E500"/>
      <c r="N500"/>
      <c r="O500"/>
      <c r="P500"/>
      <c r="Q500"/>
      <c r="R500"/>
      <c r="S500"/>
      <c r="T500"/>
      <c r="U500"/>
      <c r="V500"/>
      <c r="W500"/>
    </row>
    <row r="502" spans="1:23" s="3" customFormat="1">
      <c r="A502" s="296" t="s">
        <v>1194</v>
      </c>
      <c r="B502" s="306" t="s">
        <v>1194</v>
      </c>
      <c r="C502" s="17" t="s">
        <v>1195</v>
      </c>
      <c r="D502" s="17" t="s">
        <v>1190</v>
      </c>
      <c r="E502"/>
      <c r="N502"/>
      <c r="O502"/>
      <c r="P502"/>
      <c r="Q502"/>
      <c r="R502"/>
      <c r="S502"/>
      <c r="T502"/>
      <c r="U502"/>
      <c r="V502"/>
      <c r="W502"/>
    </row>
    <row r="503" spans="1:23" s="3" customFormat="1">
      <c r="A503" s="297"/>
      <c r="B503" s="307"/>
      <c r="C503" s="17" t="s">
        <v>1196</v>
      </c>
      <c r="D503" s="17" t="s">
        <v>1184</v>
      </c>
      <c r="E503"/>
      <c r="N503"/>
      <c r="O503"/>
      <c r="P503"/>
      <c r="Q503"/>
      <c r="R503"/>
      <c r="S503"/>
      <c r="T503"/>
      <c r="U503"/>
      <c r="V503"/>
      <c r="W503"/>
    </row>
    <row r="505" spans="1:23" s="3" customFormat="1">
      <c r="A505" s="33" t="s">
        <v>1197</v>
      </c>
      <c r="B505" s="33" t="s">
        <v>1197</v>
      </c>
      <c r="C505" s="17" t="s">
        <v>1198</v>
      </c>
      <c r="D505"/>
      <c r="E505"/>
      <c r="N505"/>
      <c r="O505"/>
      <c r="P505"/>
      <c r="Q505"/>
      <c r="R505"/>
      <c r="S505"/>
      <c r="T505"/>
      <c r="U505"/>
      <c r="V505"/>
      <c r="W505"/>
    </row>
    <row r="507" spans="1:23" s="3" customFormat="1">
      <c r="A507" s="33" t="s">
        <v>1199</v>
      </c>
      <c r="B507" s="33" t="s">
        <v>1199</v>
      </c>
      <c r="C507" s="17" t="s">
        <v>1200</v>
      </c>
      <c r="D507"/>
      <c r="E507"/>
      <c r="N507"/>
      <c r="O507"/>
      <c r="P507"/>
      <c r="Q507"/>
      <c r="R507"/>
      <c r="S507"/>
      <c r="T507"/>
      <c r="U507"/>
      <c r="V507"/>
      <c r="W507"/>
    </row>
    <row r="509" spans="1:23" s="3" customFormat="1">
      <c r="A509" s="33" t="s">
        <v>1244</v>
      </c>
      <c r="B509" s="33" t="s">
        <v>1245</v>
      </c>
      <c r="C509" s="17" t="s">
        <v>1246</v>
      </c>
      <c r="D509"/>
      <c r="E509"/>
      <c r="F509" s="2" t="s">
        <v>1247</v>
      </c>
      <c r="G509" s="2" t="s">
        <v>1248</v>
      </c>
      <c r="H509" s="2" t="s">
        <v>1249</v>
      </c>
      <c r="I509" s="2" t="s">
        <v>1250</v>
      </c>
      <c r="J509" s="2" t="s">
        <v>1251</v>
      </c>
      <c r="K509" s="2" t="s">
        <v>1252</v>
      </c>
      <c r="N509"/>
      <c r="O509"/>
      <c r="P509"/>
      <c r="Q509"/>
      <c r="R509"/>
      <c r="S509"/>
      <c r="T509"/>
      <c r="U509"/>
      <c r="V509"/>
      <c r="W509"/>
    </row>
    <row r="510" spans="1:23" s="3" customFormat="1">
      <c r="A510"/>
      <c r="B510"/>
      <c r="C510"/>
      <c r="D510"/>
      <c r="E510"/>
      <c r="F510" s="2" t="s">
        <v>1253</v>
      </c>
      <c r="G510" s="2" t="s">
        <v>1253</v>
      </c>
      <c r="H510" s="2" t="s">
        <v>1254</v>
      </c>
      <c r="I510" s="2" t="s">
        <v>1255</v>
      </c>
      <c r="J510" s="2" t="s">
        <v>1256</v>
      </c>
      <c r="K510" s="2" t="s">
        <v>1257</v>
      </c>
      <c r="N510"/>
      <c r="O510"/>
      <c r="P510"/>
      <c r="Q510"/>
      <c r="R510"/>
      <c r="S510"/>
      <c r="T510"/>
      <c r="U510"/>
      <c r="V510"/>
      <c r="W510"/>
    </row>
    <row r="513" spans="1:21">
      <c r="A513" s="316" t="s">
        <v>1258</v>
      </c>
      <c r="B513" s="316" t="s">
        <v>1258</v>
      </c>
      <c r="C513" s="17" t="s">
        <v>1259</v>
      </c>
      <c r="F513" s="17" t="s">
        <v>1260</v>
      </c>
      <c r="G513" s="17" t="s">
        <v>1261</v>
      </c>
      <c r="H513" s="17" t="s">
        <v>1262</v>
      </c>
      <c r="I513" s="17" t="s">
        <v>1263</v>
      </c>
      <c r="J513" s="17" t="s">
        <v>1264</v>
      </c>
      <c r="K513" s="17" t="s">
        <v>1249</v>
      </c>
      <c r="L513" s="17" t="s">
        <v>1250</v>
      </c>
      <c r="M513" s="17" t="s">
        <v>1265</v>
      </c>
      <c r="N513" s="17" t="s">
        <v>1266</v>
      </c>
      <c r="O513" s="17" t="s">
        <v>1267</v>
      </c>
      <c r="P513" s="17" t="s">
        <v>1268</v>
      </c>
      <c r="Q513" s="17" t="s">
        <v>1269</v>
      </c>
      <c r="R513" s="17" t="s">
        <v>1270</v>
      </c>
      <c r="S513" s="17" t="s">
        <v>1271</v>
      </c>
      <c r="T513" s="17" t="s">
        <v>1272</v>
      </c>
      <c r="U513" s="17" t="s">
        <v>1273</v>
      </c>
    </row>
    <row r="514" spans="1:21">
      <c r="A514" s="317"/>
      <c r="B514" s="317"/>
      <c r="C514" s="17" t="s">
        <v>1274</v>
      </c>
      <c r="F514" s="2" t="s">
        <v>1253</v>
      </c>
      <c r="G514" s="2" t="s">
        <v>1253</v>
      </c>
      <c r="H514" s="2" t="s">
        <v>1253</v>
      </c>
      <c r="I514" s="2" t="s">
        <v>1253</v>
      </c>
      <c r="J514" s="2" t="s">
        <v>1253</v>
      </c>
      <c r="K514" s="2" t="s">
        <v>1254</v>
      </c>
      <c r="L514" s="2" t="s">
        <v>1255</v>
      </c>
      <c r="M514" s="2" t="s">
        <v>1275</v>
      </c>
      <c r="N514" s="2" t="s">
        <v>1276</v>
      </c>
      <c r="O514" s="2" t="s">
        <v>1276</v>
      </c>
      <c r="P514" s="2" t="s">
        <v>1276</v>
      </c>
      <c r="Q514" s="2" t="s">
        <v>1276</v>
      </c>
      <c r="R514" s="2" t="s">
        <v>1276</v>
      </c>
      <c r="S514" s="2" t="s">
        <v>1276</v>
      </c>
      <c r="T514" s="2" t="s">
        <v>1276</v>
      </c>
      <c r="U514" s="2" t="s">
        <v>1276</v>
      </c>
    </row>
    <row r="515" spans="1:21">
      <c r="A515" s="317"/>
      <c r="B515" s="317"/>
      <c r="C515" s="17" t="s">
        <v>1277</v>
      </c>
    </row>
    <row r="516" spans="1:21">
      <c r="A516" s="317"/>
      <c r="B516" s="317"/>
      <c r="C516" s="17" t="s">
        <v>1278</v>
      </c>
    </row>
    <row r="517" spans="1:21">
      <c r="A517" s="317"/>
      <c r="B517" s="317"/>
      <c r="C517" s="17" t="s">
        <v>1279</v>
      </c>
    </row>
    <row r="518" spans="1:21">
      <c r="A518" s="317"/>
      <c r="B518" s="317"/>
      <c r="C518" s="17" t="s">
        <v>1280</v>
      </c>
    </row>
    <row r="519" spans="1:21">
      <c r="A519" s="317"/>
      <c r="B519" s="317"/>
      <c r="C519" s="17" t="s">
        <v>1281</v>
      </c>
    </row>
    <row r="520" spans="1:21">
      <c r="A520" s="318"/>
      <c r="B520" s="318"/>
      <c r="C520" s="17" t="s">
        <v>1282</v>
      </c>
    </row>
    <row r="526" spans="1:21">
      <c r="B526" t="s">
        <v>1260</v>
      </c>
    </row>
    <row r="527" spans="1:21">
      <c r="B527" t="s">
        <v>1261</v>
      </c>
    </row>
    <row r="528" spans="1:21">
      <c r="B528" t="s">
        <v>1262</v>
      </c>
    </row>
    <row r="529" spans="2:2">
      <c r="B529" t="s">
        <v>1263</v>
      </c>
    </row>
    <row r="530" spans="2:2">
      <c r="B530" t="s">
        <v>1264</v>
      </c>
    </row>
    <row r="531" spans="2:2">
      <c r="B531" t="s">
        <v>1249</v>
      </c>
    </row>
    <row r="532" spans="2:2">
      <c r="B532" t="s">
        <v>1250</v>
      </c>
    </row>
    <row r="533" spans="2:2">
      <c r="B533" t="s">
        <v>1265</v>
      </c>
    </row>
    <row r="534" spans="2:2">
      <c r="B534" t="s">
        <v>1266</v>
      </c>
    </row>
    <row r="535" spans="2:2">
      <c r="B535" t="s">
        <v>1267</v>
      </c>
    </row>
    <row r="536" spans="2:2">
      <c r="B536" t="s">
        <v>1268</v>
      </c>
    </row>
    <row r="537" spans="2:2">
      <c r="B537" t="s">
        <v>1269</v>
      </c>
    </row>
    <row r="538" spans="2:2">
      <c r="B538" t="s">
        <v>1270</v>
      </c>
    </row>
    <row r="539" spans="2:2">
      <c r="B539" t="s">
        <v>1271</v>
      </c>
    </row>
    <row r="540" spans="2:2">
      <c r="B540" t="s">
        <v>1272</v>
      </c>
    </row>
    <row r="541" spans="2:2">
      <c r="B541" t="s">
        <v>1273</v>
      </c>
    </row>
  </sheetData>
  <autoFilter ref="A1:C383" xr:uid="{8E3F79CB-D784-409C-8264-830D7DBF82CD}"/>
  <mergeCells count="117">
    <mergeCell ref="F1:Q1"/>
    <mergeCell ref="A9:A11"/>
    <mergeCell ref="A12:A14"/>
    <mergeCell ref="A15:A17"/>
    <mergeCell ref="A44:A45"/>
    <mergeCell ref="B44:B45"/>
    <mergeCell ref="A66:A71"/>
    <mergeCell ref="A72:A78"/>
    <mergeCell ref="A81:A85"/>
    <mergeCell ref="A86:A90"/>
    <mergeCell ref="A93:A97"/>
    <mergeCell ref="A98:A102"/>
    <mergeCell ref="A46:A47"/>
    <mergeCell ref="B46:B47"/>
    <mergeCell ref="A53:A54"/>
    <mergeCell ref="A55:A57"/>
    <mergeCell ref="A58:A60"/>
    <mergeCell ref="A61:A63"/>
    <mergeCell ref="G150:I150"/>
    <mergeCell ref="G153:I153"/>
    <mergeCell ref="G155:I155"/>
    <mergeCell ref="G158:I158"/>
    <mergeCell ref="A164:A165"/>
    <mergeCell ref="A180:A184"/>
    <mergeCell ref="G140:I140"/>
    <mergeCell ref="G143:I143"/>
    <mergeCell ref="F144:I144"/>
    <mergeCell ref="G145:I145"/>
    <mergeCell ref="G148:I148"/>
    <mergeCell ref="F149:I149"/>
    <mergeCell ref="Q197:Q198"/>
    <mergeCell ref="B199:B200"/>
    <mergeCell ref="G199:G200"/>
    <mergeCell ref="H199:H200"/>
    <mergeCell ref="P199:P200"/>
    <mergeCell ref="Q199:Q200"/>
    <mergeCell ref="A192:A227"/>
    <mergeCell ref="B195:B196"/>
    <mergeCell ref="F195:F196"/>
    <mergeCell ref="G195:G196"/>
    <mergeCell ref="P195:P196"/>
    <mergeCell ref="Q195:Q196"/>
    <mergeCell ref="B197:B198"/>
    <mergeCell ref="F197:F198"/>
    <mergeCell ref="H197:H198"/>
    <mergeCell ref="P197:P198"/>
    <mergeCell ref="B204:B206"/>
    <mergeCell ref="F204:F206"/>
    <mergeCell ref="H204:H206"/>
    <mergeCell ref="J204:J206"/>
    <mergeCell ref="P204:P206"/>
    <mergeCell ref="Q204:Q206"/>
    <mergeCell ref="B201:B203"/>
    <mergeCell ref="G201:G203"/>
    <mergeCell ref="H201:H203"/>
    <mergeCell ref="I201:I203"/>
    <mergeCell ref="P201:P203"/>
    <mergeCell ref="Q201:Q203"/>
    <mergeCell ref="A230:A238"/>
    <mergeCell ref="A243:A251"/>
    <mergeCell ref="A254:A262"/>
    <mergeCell ref="A265:A266"/>
    <mergeCell ref="A267:A268"/>
    <mergeCell ref="A280:A283"/>
    <mergeCell ref="Q207:Q210"/>
    <mergeCell ref="B211:B215"/>
    <mergeCell ref="F211:F215"/>
    <mergeCell ref="G211:G215"/>
    <mergeCell ref="H211:H215"/>
    <mergeCell ref="I211:I215"/>
    <mergeCell ref="J211:J215"/>
    <mergeCell ref="P211:P215"/>
    <mergeCell ref="Q211:Q215"/>
    <mergeCell ref="B207:B210"/>
    <mergeCell ref="F207:F210"/>
    <mergeCell ref="G207:G210"/>
    <mergeCell ref="H207:H210"/>
    <mergeCell ref="I207:I210"/>
    <mergeCell ref="P207:P210"/>
    <mergeCell ref="A391:A393"/>
    <mergeCell ref="B391:B393"/>
    <mergeCell ref="A311:A312"/>
    <mergeCell ref="A315:A316"/>
    <mergeCell ref="A317:A318"/>
    <mergeCell ref="A321:A322"/>
    <mergeCell ref="A323:A324"/>
    <mergeCell ref="A337:A338"/>
    <mergeCell ref="A284:A285"/>
    <mergeCell ref="A291:A292"/>
    <mergeCell ref="A293:A297"/>
    <mergeCell ref="A303:A304"/>
    <mergeCell ref="A305:A306"/>
    <mergeCell ref="A309:A310"/>
    <mergeCell ref="A502:A503"/>
    <mergeCell ref="B502:B503"/>
    <mergeCell ref="A513:A520"/>
    <mergeCell ref="B513:B520"/>
    <mergeCell ref="A105:A107"/>
    <mergeCell ref="A108:A110"/>
    <mergeCell ref="A484:A485"/>
    <mergeCell ref="B484:B485"/>
    <mergeCell ref="A496:A497"/>
    <mergeCell ref="B496:B497"/>
    <mergeCell ref="A499:A500"/>
    <mergeCell ref="B499:B500"/>
    <mergeCell ref="A396:A403"/>
    <mergeCell ref="B396:B403"/>
    <mergeCell ref="A428:A429"/>
    <mergeCell ref="A473:A476"/>
    <mergeCell ref="B473:B476"/>
    <mergeCell ref="A477:A481"/>
    <mergeCell ref="B477:B481"/>
    <mergeCell ref="B337:B338"/>
    <mergeCell ref="A339:A344"/>
    <mergeCell ref="B339:B344"/>
    <mergeCell ref="A356:A361"/>
    <mergeCell ref="B356:B36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58A3-4541-4405-9F35-FA923A142E2A}">
  <sheetPr>
    <tabColor theme="4"/>
  </sheetPr>
  <dimension ref="A1:P635"/>
  <sheetViews>
    <sheetView zoomScale="85" zoomScaleNormal="85" workbookViewId="0">
      <pane ySplit="1" topLeftCell="A227" activePane="bottomLeft" state="frozen"/>
      <selection pane="bottomLeft" activeCell="A311" sqref="A311:XFD311"/>
    </sheetView>
  </sheetViews>
  <sheetFormatPr defaultRowHeight="14.25"/>
  <cols>
    <col min="1" max="1" width="21" bestFit="1" customWidth="1"/>
    <col min="2" max="2" width="43.42578125" customWidth="1"/>
    <col min="3" max="3" width="34.42578125" customWidth="1"/>
    <col min="4" max="4" width="17.5703125" bestFit="1" customWidth="1"/>
    <col min="5" max="5" width="11.85546875" bestFit="1" customWidth="1"/>
    <col min="6" max="6" width="14.42578125" style="3" bestFit="1" customWidth="1"/>
    <col min="7" max="7" width="11.140625" style="61" bestFit="1" customWidth="1"/>
    <col min="8" max="8" width="58.5703125" style="15" bestFit="1" customWidth="1"/>
    <col min="9" max="9" width="15.42578125" style="15" bestFit="1" customWidth="1"/>
    <col min="10" max="10" width="8.5703125" style="15" customWidth="1"/>
    <col min="11" max="12" width="15.140625" style="15" bestFit="1" customWidth="1"/>
    <col min="13" max="13" width="11.140625" style="3" bestFit="1" customWidth="1"/>
    <col min="14" max="14" width="13.5703125" bestFit="1" customWidth="1"/>
  </cols>
  <sheetData>
    <row r="1" spans="1:13">
      <c r="A1" s="32" t="s">
        <v>371</v>
      </c>
      <c r="B1" s="78" t="s">
        <v>149</v>
      </c>
      <c r="C1" s="192" t="s">
        <v>296</v>
      </c>
      <c r="D1" s="193" t="s">
        <v>538</v>
      </c>
      <c r="E1" s="127" t="s">
        <v>539</v>
      </c>
      <c r="F1" s="79" t="s">
        <v>540</v>
      </c>
      <c r="G1" s="128" t="s">
        <v>541</v>
      </c>
      <c r="H1" s="80" t="s">
        <v>83</v>
      </c>
      <c r="I1" s="80" t="s">
        <v>82</v>
      </c>
      <c r="J1" s="80" t="s">
        <v>84</v>
      </c>
      <c r="K1" s="80" t="s">
        <v>358</v>
      </c>
      <c r="L1" s="80" t="s">
        <v>359</v>
      </c>
      <c r="M1" s="80" t="s">
        <v>1509</v>
      </c>
    </row>
    <row r="2" spans="1:13" s="53" customFormat="1">
      <c r="A2" s="63" t="s">
        <v>361</v>
      </c>
      <c r="B2" s="63" t="s">
        <v>361</v>
      </c>
      <c r="C2" s="13" t="s">
        <v>542</v>
      </c>
      <c r="D2" s="81" t="s">
        <v>543</v>
      </c>
      <c r="F2" s="81">
        <f>(1/0.05)+1</f>
        <v>21</v>
      </c>
      <c r="G2" s="82">
        <v>1547.91</v>
      </c>
      <c r="H2" s="83" t="s">
        <v>544</v>
      </c>
      <c r="I2" s="83" t="s">
        <v>545</v>
      </c>
      <c r="J2" s="83" t="s">
        <v>546</v>
      </c>
      <c r="K2" s="83" t="s">
        <v>547</v>
      </c>
      <c r="L2" s="83" t="s">
        <v>546</v>
      </c>
      <c r="M2" s="55" t="s">
        <v>547</v>
      </c>
    </row>
    <row r="3" spans="1:13">
      <c r="A3" s="66"/>
      <c r="B3" s="66"/>
      <c r="C3" s="47" t="s">
        <v>548</v>
      </c>
      <c r="D3" s="1" t="s">
        <v>543</v>
      </c>
      <c r="F3" s="1">
        <f>1/0.1+1</f>
        <v>11</v>
      </c>
      <c r="G3" s="61">
        <v>921.77099999999996</v>
      </c>
      <c r="H3" s="15" t="s">
        <v>549</v>
      </c>
      <c r="I3" s="15" t="s">
        <v>550</v>
      </c>
      <c r="J3" s="15" t="s">
        <v>546</v>
      </c>
      <c r="K3" s="15" t="s">
        <v>547</v>
      </c>
      <c r="L3" s="15" t="s">
        <v>546</v>
      </c>
      <c r="M3" s="56" t="s">
        <v>547</v>
      </c>
    </row>
    <row r="4" spans="1:13">
      <c r="A4" s="66"/>
      <c r="B4" s="66"/>
      <c r="C4" s="47" t="s">
        <v>551</v>
      </c>
      <c r="D4" s="1" t="s">
        <v>543</v>
      </c>
      <c r="F4" s="1">
        <f>1/0.1+1</f>
        <v>11</v>
      </c>
      <c r="G4" s="61">
        <v>982.66600000000005</v>
      </c>
      <c r="H4" s="15" t="s">
        <v>549</v>
      </c>
      <c r="I4" s="15" t="s">
        <v>552</v>
      </c>
      <c r="J4" s="15" t="s">
        <v>546</v>
      </c>
      <c r="K4" s="15" t="s">
        <v>547</v>
      </c>
      <c r="L4" s="15" t="s">
        <v>546</v>
      </c>
      <c r="M4" s="56" t="s">
        <v>547</v>
      </c>
    </row>
    <row r="5" spans="1:13">
      <c r="A5" s="64"/>
      <c r="B5" s="64"/>
      <c r="C5" s="48" t="s">
        <v>553</v>
      </c>
      <c r="D5" s="84" t="s">
        <v>543</v>
      </c>
      <c r="E5" s="54"/>
      <c r="F5" s="84">
        <f>1/0.1+1</f>
        <v>11</v>
      </c>
      <c r="G5" s="85">
        <v>1086.02</v>
      </c>
      <c r="H5" s="86" t="s">
        <v>549</v>
      </c>
      <c r="I5" s="86" t="s">
        <v>554</v>
      </c>
      <c r="J5" s="86" t="s">
        <v>546</v>
      </c>
      <c r="K5" s="86" t="s">
        <v>547</v>
      </c>
      <c r="L5" s="86" t="s">
        <v>546</v>
      </c>
      <c r="M5" s="57" t="s">
        <v>547</v>
      </c>
    </row>
    <row r="7" spans="1:13">
      <c r="A7" s="63" t="s">
        <v>360</v>
      </c>
      <c r="B7" s="63" t="s">
        <v>362</v>
      </c>
      <c r="C7" s="16" t="s">
        <v>560</v>
      </c>
      <c r="D7" s="53" t="s">
        <v>561</v>
      </c>
      <c r="E7" s="53"/>
      <c r="F7" s="53">
        <v>1</v>
      </c>
      <c r="G7" s="82">
        <v>41.522300000000001</v>
      </c>
      <c r="H7" s="83"/>
      <c r="I7" s="83" t="s">
        <v>552</v>
      </c>
      <c r="J7" s="83" t="s">
        <v>547</v>
      </c>
      <c r="K7" s="83"/>
      <c r="L7" s="83"/>
      <c r="M7" s="55"/>
    </row>
    <row r="8" spans="1:13">
      <c r="A8" s="66"/>
      <c r="B8" s="66"/>
      <c r="C8" s="45" t="s">
        <v>562</v>
      </c>
      <c r="D8" t="s">
        <v>561</v>
      </c>
      <c r="F8">
        <v>1</v>
      </c>
      <c r="G8" s="61">
        <v>41.316299999999998</v>
      </c>
      <c r="K8" s="15" t="s">
        <v>552</v>
      </c>
      <c r="L8" s="15" t="s">
        <v>547</v>
      </c>
      <c r="M8" s="56"/>
    </row>
    <row r="9" spans="1:13">
      <c r="A9" s="66"/>
      <c r="B9" s="66"/>
      <c r="C9" s="45" t="s">
        <v>563</v>
      </c>
      <c r="D9" t="s">
        <v>561</v>
      </c>
      <c r="F9">
        <v>1</v>
      </c>
      <c r="G9" s="61">
        <v>54.264800000000001</v>
      </c>
      <c r="H9" s="15" t="s">
        <v>554</v>
      </c>
      <c r="K9" s="15" t="s">
        <v>547</v>
      </c>
      <c r="M9" s="56"/>
    </row>
    <row r="10" spans="1:13">
      <c r="A10" s="66"/>
      <c r="B10" s="66"/>
      <c r="C10" s="45" t="s">
        <v>564</v>
      </c>
      <c r="D10" t="s">
        <v>561</v>
      </c>
      <c r="F10">
        <v>1</v>
      </c>
      <c r="G10" s="61">
        <v>55.015099999999997</v>
      </c>
      <c r="H10" s="15" t="s">
        <v>554</v>
      </c>
      <c r="I10" s="15" t="s">
        <v>547</v>
      </c>
      <c r="M10" s="56"/>
    </row>
    <row r="11" spans="1:13">
      <c r="A11" s="66"/>
      <c r="B11" s="66"/>
      <c r="C11" s="45" t="s">
        <v>565</v>
      </c>
      <c r="D11" t="s">
        <v>561</v>
      </c>
      <c r="F11">
        <v>1</v>
      </c>
      <c r="G11" s="61">
        <v>57.929400000000001</v>
      </c>
      <c r="H11" s="15" t="s">
        <v>547</v>
      </c>
      <c r="I11" s="15" t="s">
        <v>554</v>
      </c>
      <c r="K11" s="15" t="s">
        <v>547</v>
      </c>
      <c r="M11" s="56"/>
    </row>
    <row r="12" spans="1:13">
      <c r="A12" s="64"/>
      <c r="B12" s="64"/>
      <c r="C12" s="46" t="s">
        <v>1510</v>
      </c>
      <c r="D12" s="54" t="s">
        <v>561</v>
      </c>
      <c r="E12" s="54"/>
      <c r="F12" s="54">
        <v>1</v>
      </c>
      <c r="G12" s="85">
        <v>50.990299999999998</v>
      </c>
      <c r="H12" s="86"/>
      <c r="I12" s="86" t="s">
        <v>554</v>
      </c>
      <c r="J12" s="86"/>
      <c r="K12" s="86" t="s">
        <v>547</v>
      </c>
      <c r="L12" s="86"/>
      <c r="M12" s="57"/>
    </row>
    <row r="14" spans="1:13">
      <c r="A14" s="63" t="s">
        <v>360</v>
      </c>
      <c r="B14" s="63" t="s">
        <v>363</v>
      </c>
      <c r="C14" s="13" t="s">
        <v>567</v>
      </c>
      <c r="D14" s="81" t="s">
        <v>543</v>
      </c>
      <c r="E14" s="53"/>
      <c r="F14" s="81">
        <v>1</v>
      </c>
      <c r="G14" s="82">
        <v>103.48699999999999</v>
      </c>
      <c r="H14" s="83" t="s">
        <v>554</v>
      </c>
      <c r="I14" s="83" t="s">
        <v>547</v>
      </c>
      <c r="J14" s="83" t="s">
        <v>546</v>
      </c>
      <c r="K14" s="83" t="s">
        <v>547</v>
      </c>
      <c r="L14" s="83" t="s">
        <v>546</v>
      </c>
      <c r="M14" s="55" t="s">
        <v>547</v>
      </c>
    </row>
    <row r="15" spans="1:13">
      <c r="A15" s="66"/>
      <c r="B15" s="66"/>
      <c r="C15" s="47" t="s">
        <v>568</v>
      </c>
      <c r="D15" s="1" t="s">
        <v>569</v>
      </c>
      <c r="F15" s="1"/>
      <c r="H15" s="15" t="s">
        <v>554</v>
      </c>
      <c r="I15" s="15" t="s">
        <v>547</v>
      </c>
      <c r="K15" s="15" t="s">
        <v>547</v>
      </c>
      <c r="M15" s="56"/>
    </row>
    <row r="16" spans="1:13">
      <c r="A16" s="66"/>
      <c r="B16" s="66"/>
      <c r="C16" s="47" t="s">
        <v>570</v>
      </c>
      <c r="D16" s="1" t="s">
        <v>543</v>
      </c>
      <c r="F16" s="1">
        <v>1</v>
      </c>
      <c r="G16" s="61">
        <v>92.689899999999994</v>
      </c>
      <c r="H16" s="15" t="s">
        <v>554</v>
      </c>
      <c r="I16" s="15" t="s">
        <v>571</v>
      </c>
      <c r="J16" s="15" t="s">
        <v>546</v>
      </c>
      <c r="K16" s="15" t="s">
        <v>547</v>
      </c>
      <c r="L16" s="15" t="s">
        <v>546</v>
      </c>
      <c r="M16" s="56" t="s">
        <v>547</v>
      </c>
    </row>
    <row r="17" spans="1:13">
      <c r="A17" s="66"/>
      <c r="B17" s="66"/>
      <c r="C17" s="47" t="s">
        <v>572</v>
      </c>
      <c r="D17" s="1" t="s">
        <v>569</v>
      </c>
      <c r="F17" s="1"/>
      <c r="H17" s="15" t="s">
        <v>554</v>
      </c>
      <c r="I17" s="15" t="s">
        <v>571</v>
      </c>
      <c r="K17" s="15" t="s">
        <v>547</v>
      </c>
      <c r="M17" s="56"/>
    </row>
    <row r="18" spans="1:13">
      <c r="A18" s="66"/>
      <c r="B18" s="66"/>
      <c r="C18" s="47" t="s">
        <v>573</v>
      </c>
      <c r="D18" s="1" t="s">
        <v>543</v>
      </c>
      <c r="F18" s="1">
        <v>1</v>
      </c>
      <c r="G18" s="61">
        <v>98.132099999999994</v>
      </c>
      <c r="H18" s="15" t="s">
        <v>554</v>
      </c>
      <c r="I18" s="15" t="s">
        <v>550</v>
      </c>
      <c r="J18" s="15" t="s">
        <v>546</v>
      </c>
      <c r="K18" s="15" t="s">
        <v>547</v>
      </c>
      <c r="L18" s="15" t="s">
        <v>546</v>
      </c>
      <c r="M18" s="56" t="s">
        <v>547</v>
      </c>
    </row>
    <row r="19" spans="1:13">
      <c r="A19" s="66"/>
      <c r="B19" s="66"/>
      <c r="C19" s="47" t="s">
        <v>574</v>
      </c>
      <c r="D19" s="1" t="s">
        <v>569</v>
      </c>
      <c r="F19" s="1"/>
      <c r="H19" s="15" t="s">
        <v>554</v>
      </c>
      <c r="I19" s="15" t="s">
        <v>550</v>
      </c>
      <c r="K19" s="15" t="s">
        <v>547</v>
      </c>
      <c r="M19" s="56"/>
    </row>
    <row r="20" spans="1:13">
      <c r="A20" s="66"/>
      <c r="B20" s="66"/>
      <c r="C20" s="47" t="s">
        <v>575</v>
      </c>
      <c r="D20" s="1" t="s">
        <v>543</v>
      </c>
      <c r="F20" s="1">
        <v>1</v>
      </c>
      <c r="G20" s="61">
        <v>100.773</v>
      </c>
      <c r="H20" s="15" t="s">
        <v>554</v>
      </c>
      <c r="I20" s="15" t="s">
        <v>576</v>
      </c>
      <c r="J20" s="15" t="s">
        <v>546</v>
      </c>
      <c r="K20" s="15" t="s">
        <v>547</v>
      </c>
      <c r="L20" s="15" t="s">
        <v>546</v>
      </c>
      <c r="M20" s="56" t="s">
        <v>547</v>
      </c>
    </row>
    <row r="21" spans="1:13">
      <c r="A21" s="66"/>
      <c r="B21" s="66"/>
      <c r="C21" s="47" t="s">
        <v>577</v>
      </c>
      <c r="D21" s="1" t="s">
        <v>569</v>
      </c>
      <c r="F21" s="1"/>
      <c r="H21" s="15" t="s">
        <v>554</v>
      </c>
      <c r="I21" s="15" t="s">
        <v>576</v>
      </c>
      <c r="K21" s="15" t="s">
        <v>547</v>
      </c>
      <c r="M21" s="56"/>
    </row>
    <row r="22" spans="1:13" s="137" customFormat="1">
      <c r="A22" s="134"/>
      <c r="B22" s="134"/>
      <c r="C22" s="135" t="s">
        <v>578</v>
      </c>
      <c r="D22" s="136" t="s">
        <v>543</v>
      </c>
      <c r="F22" s="136">
        <v>1</v>
      </c>
      <c r="G22" s="138">
        <v>75.372</v>
      </c>
      <c r="H22" s="139" t="s">
        <v>554</v>
      </c>
      <c r="I22" s="139" t="s">
        <v>545</v>
      </c>
      <c r="J22" s="139" t="s">
        <v>546</v>
      </c>
      <c r="K22" s="139" t="s">
        <v>547</v>
      </c>
      <c r="L22" s="139" t="s">
        <v>546</v>
      </c>
      <c r="M22" s="140" t="s">
        <v>547</v>
      </c>
    </row>
    <row r="23" spans="1:13" s="137" customFormat="1">
      <c r="A23" s="134"/>
      <c r="B23" s="134"/>
      <c r="C23" s="135" t="s">
        <v>579</v>
      </c>
      <c r="D23" s="136" t="s">
        <v>569</v>
      </c>
      <c r="F23" s="136"/>
      <c r="G23" s="138"/>
      <c r="H23" s="139" t="s">
        <v>554</v>
      </c>
      <c r="I23" s="139" t="s">
        <v>545</v>
      </c>
      <c r="J23" s="139"/>
      <c r="K23" s="139" t="s">
        <v>547</v>
      </c>
      <c r="L23" s="139"/>
      <c r="M23" s="140"/>
    </row>
    <row r="24" spans="1:13">
      <c r="A24" s="66"/>
      <c r="B24" s="66"/>
      <c r="C24" s="47" t="s">
        <v>580</v>
      </c>
      <c r="D24" s="1" t="s">
        <v>543</v>
      </c>
      <c r="F24" s="1">
        <v>1</v>
      </c>
      <c r="G24" s="61">
        <v>85.988699999999994</v>
      </c>
      <c r="H24" s="15" t="s">
        <v>554</v>
      </c>
      <c r="I24" s="15" t="s">
        <v>547</v>
      </c>
      <c r="J24" s="15" t="s">
        <v>546</v>
      </c>
      <c r="K24" s="15" t="s">
        <v>547</v>
      </c>
      <c r="L24" s="15" t="s">
        <v>546</v>
      </c>
      <c r="M24" s="56" t="s">
        <v>547</v>
      </c>
    </row>
    <row r="25" spans="1:13">
      <c r="A25" s="64"/>
      <c r="B25" s="64"/>
      <c r="C25" s="48" t="s">
        <v>581</v>
      </c>
      <c r="D25" s="84" t="s">
        <v>569</v>
      </c>
      <c r="E25" s="54"/>
      <c r="F25" s="84"/>
      <c r="G25" s="85"/>
      <c r="H25" s="86" t="s">
        <v>554</v>
      </c>
      <c r="I25" s="86" t="s">
        <v>547</v>
      </c>
      <c r="J25" s="86"/>
      <c r="K25" s="86" t="s">
        <v>547</v>
      </c>
      <c r="L25" s="86"/>
      <c r="M25" s="57"/>
    </row>
    <row r="27" spans="1:13" s="53" customFormat="1">
      <c r="A27" s="87" t="s">
        <v>360</v>
      </c>
      <c r="B27" s="87" t="s">
        <v>914</v>
      </c>
      <c r="C27" s="13" t="s">
        <v>915</v>
      </c>
      <c r="D27" s="81" t="s">
        <v>543</v>
      </c>
      <c r="F27" s="81">
        <f>1.5/0.05+1</f>
        <v>31</v>
      </c>
      <c r="G27" s="61">
        <f>31.5*F27+44</f>
        <v>1020.5</v>
      </c>
      <c r="H27" s="83" t="s">
        <v>916</v>
      </c>
      <c r="I27" s="83" t="s">
        <v>545</v>
      </c>
      <c r="J27" s="83" t="s">
        <v>546</v>
      </c>
      <c r="K27" s="83" t="s">
        <v>547</v>
      </c>
      <c r="L27" s="83" t="s">
        <v>546</v>
      </c>
      <c r="M27" s="55" t="s">
        <v>547</v>
      </c>
    </row>
    <row r="28" spans="1:13">
      <c r="A28" s="52"/>
      <c r="B28" s="66"/>
      <c r="C28" s="47" t="s">
        <v>557</v>
      </c>
      <c r="D28" s="1" t="s">
        <v>558</v>
      </c>
      <c r="F28" s="1"/>
      <c r="G28" s="61">
        <v>15</v>
      </c>
      <c r="M28" s="56"/>
    </row>
    <row r="29" spans="1:13">
      <c r="A29" s="66"/>
      <c r="B29" s="52"/>
      <c r="C29" s="90" t="s">
        <v>636</v>
      </c>
      <c r="D29" t="s">
        <v>543</v>
      </c>
      <c r="F29" s="1">
        <v>1</v>
      </c>
      <c r="G29" s="61">
        <v>68.386399999999995</v>
      </c>
      <c r="H29" s="3" t="s">
        <v>557</v>
      </c>
      <c r="I29" s="3" t="s">
        <v>545</v>
      </c>
      <c r="J29" s="15" t="s">
        <v>546</v>
      </c>
      <c r="K29" s="15" t="s">
        <v>547</v>
      </c>
      <c r="L29" s="15" t="s">
        <v>546</v>
      </c>
      <c r="M29" s="56" t="s">
        <v>547</v>
      </c>
    </row>
    <row r="30" spans="1:13">
      <c r="A30" s="66"/>
      <c r="B30" s="52"/>
      <c r="C30" s="90" t="s">
        <v>637</v>
      </c>
      <c r="D30" t="s">
        <v>569</v>
      </c>
      <c r="F30"/>
      <c r="H30" s="3" t="s">
        <v>557</v>
      </c>
      <c r="I30" s="3" t="s">
        <v>545</v>
      </c>
      <c r="M30" s="56"/>
    </row>
    <row r="31" spans="1:13">
      <c r="A31" s="66"/>
      <c r="B31" s="52"/>
      <c r="C31" s="90" t="s">
        <v>917</v>
      </c>
      <c r="D31" t="s">
        <v>639</v>
      </c>
      <c r="F31"/>
      <c r="H31" s="3" t="s">
        <v>918</v>
      </c>
      <c r="I31" s="3" t="s">
        <v>545</v>
      </c>
      <c r="M31" s="56"/>
    </row>
    <row r="32" spans="1:13">
      <c r="A32" s="66"/>
      <c r="B32" s="52"/>
      <c r="C32" s="90" t="s">
        <v>919</v>
      </c>
      <c r="D32" t="s">
        <v>543</v>
      </c>
      <c r="F32" s="1">
        <v>11</v>
      </c>
      <c r="G32" s="61">
        <f>31.5*F32+44</f>
        <v>390.5</v>
      </c>
      <c r="H32" s="3" t="s">
        <v>920</v>
      </c>
      <c r="I32" s="3" t="s">
        <v>545</v>
      </c>
      <c r="J32" s="15" t="s">
        <v>546</v>
      </c>
      <c r="K32" s="15" t="s">
        <v>547</v>
      </c>
      <c r="L32" s="15" t="s">
        <v>546</v>
      </c>
      <c r="M32" s="56" t="s">
        <v>547</v>
      </c>
    </row>
    <row r="33" spans="1:13">
      <c r="A33" s="66"/>
      <c r="B33" s="52"/>
      <c r="C33" s="90" t="s">
        <v>642</v>
      </c>
      <c r="D33" t="s">
        <v>639</v>
      </c>
      <c r="F33"/>
      <c r="H33" s="3" t="s">
        <v>920</v>
      </c>
      <c r="I33" s="3" t="s">
        <v>545</v>
      </c>
      <c r="K33" s="15" t="s">
        <v>547</v>
      </c>
      <c r="M33" s="56"/>
    </row>
    <row r="34" spans="1:13">
      <c r="A34" s="66"/>
      <c r="B34" s="52"/>
      <c r="C34" s="90" t="s">
        <v>921</v>
      </c>
      <c r="D34" t="s">
        <v>639</v>
      </c>
      <c r="F34"/>
      <c r="H34" s="3" t="s">
        <v>918</v>
      </c>
      <c r="I34" s="3" t="s">
        <v>545</v>
      </c>
      <c r="M34" s="56"/>
    </row>
    <row r="35" spans="1:13">
      <c r="A35" s="66"/>
      <c r="B35" s="52"/>
      <c r="C35" s="90" t="s">
        <v>922</v>
      </c>
      <c r="D35" t="s">
        <v>543</v>
      </c>
      <c r="F35" s="1">
        <v>11</v>
      </c>
      <c r="G35" s="61">
        <f>31.5*F35+44</f>
        <v>390.5</v>
      </c>
      <c r="H35" s="3" t="s">
        <v>920</v>
      </c>
      <c r="I35" s="3" t="s">
        <v>545</v>
      </c>
      <c r="J35" s="15" t="s">
        <v>546</v>
      </c>
      <c r="K35" s="15" t="s">
        <v>547</v>
      </c>
      <c r="L35" s="15" t="s">
        <v>546</v>
      </c>
      <c r="M35" s="56" t="s">
        <v>547</v>
      </c>
    </row>
    <row r="36" spans="1:13">
      <c r="A36" s="66"/>
      <c r="B36" s="52"/>
      <c r="C36" s="90" t="s">
        <v>641</v>
      </c>
      <c r="D36" t="s">
        <v>639</v>
      </c>
      <c r="F36"/>
      <c r="H36" s="3" t="s">
        <v>920</v>
      </c>
      <c r="I36" s="3" t="s">
        <v>545</v>
      </c>
      <c r="K36" s="15" t="s">
        <v>547</v>
      </c>
      <c r="M36" s="56"/>
    </row>
    <row r="37" spans="1:13">
      <c r="A37" s="66"/>
      <c r="B37" s="52"/>
      <c r="C37" s="90" t="s">
        <v>923</v>
      </c>
      <c r="D37" t="s">
        <v>569</v>
      </c>
      <c r="F37"/>
      <c r="H37" s="3" t="s">
        <v>924</v>
      </c>
      <c r="I37" s="3" t="s">
        <v>545</v>
      </c>
      <c r="K37" s="15" t="s">
        <v>547</v>
      </c>
      <c r="M37" s="56"/>
    </row>
    <row r="38" spans="1:13">
      <c r="A38" s="66"/>
      <c r="B38" s="52"/>
      <c r="C38" s="90" t="s">
        <v>925</v>
      </c>
      <c r="D38" t="s">
        <v>569</v>
      </c>
      <c r="F38"/>
      <c r="H38" s="3" t="s">
        <v>926</v>
      </c>
      <c r="I38" s="3" t="s">
        <v>545</v>
      </c>
      <c r="K38" s="15" t="s">
        <v>547</v>
      </c>
      <c r="M38" s="56"/>
    </row>
    <row r="39" spans="1:13">
      <c r="A39" s="66"/>
      <c r="B39" s="52"/>
      <c r="C39" s="90" t="s">
        <v>927</v>
      </c>
      <c r="D39" t="s">
        <v>569</v>
      </c>
      <c r="F39"/>
      <c r="H39" s="3" t="s">
        <v>928</v>
      </c>
      <c r="I39" s="3" t="s">
        <v>545</v>
      </c>
      <c r="K39" s="15" t="s">
        <v>547</v>
      </c>
      <c r="M39" s="56"/>
    </row>
    <row r="40" spans="1:13">
      <c r="A40" s="66"/>
      <c r="B40" s="52"/>
      <c r="C40" s="90" t="s">
        <v>929</v>
      </c>
      <c r="D40" t="s">
        <v>569</v>
      </c>
      <c r="F40"/>
      <c r="H40" s="3" t="s">
        <v>930</v>
      </c>
      <c r="I40" s="3" t="s">
        <v>545</v>
      </c>
      <c r="K40" s="15" t="s">
        <v>547</v>
      </c>
      <c r="M40" s="56"/>
    </row>
    <row r="41" spans="1:13">
      <c r="A41" s="66"/>
      <c r="B41" s="52"/>
      <c r="C41" s="90" t="s">
        <v>931</v>
      </c>
      <c r="D41" t="s">
        <v>569</v>
      </c>
      <c r="F41"/>
      <c r="H41" s="3" t="s">
        <v>932</v>
      </c>
      <c r="I41" s="3" t="s">
        <v>545</v>
      </c>
      <c r="K41" s="15" t="s">
        <v>547</v>
      </c>
      <c r="M41" s="56"/>
    </row>
    <row r="42" spans="1:13">
      <c r="A42" s="66"/>
      <c r="B42" s="52"/>
      <c r="C42" s="90" t="s">
        <v>933</v>
      </c>
      <c r="D42" t="s">
        <v>632</v>
      </c>
      <c r="F42"/>
      <c r="H42" s="3"/>
      <c r="I42" s="3"/>
      <c r="M42" s="56"/>
    </row>
    <row r="43" spans="1:13">
      <c r="A43" s="66"/>
      <c r="B43" s="52"/>
      <c r="C43" s="90" t="s">
        <v>934</v>
      </c>
      <c r="D43" t="s">
        <v>632</v>
      </c>
      <c r="F43"/>
      <c r="H43" s="3"/>
      <c r="I43" s="3"/>
      <c r="M43" s="56"/>
    </row>
    <row r="44" spans="1:13">
      <c r="A44" s="66"/>
      <c r="B44" s="52"/>
      <c r="C44" s="90" t="s">
        <v>935</v>
      </c>
      <c r="D44" t="s">
        <v>632</v>
      </c>
      <c r="F44"/>
      <c r="H44" s="3"/>
      <c r="I44" s="3"/>
      <c r="M44" s="56"/>
    </row>
    <row r="45" spans="1:13">
      <c r="A45" s="66"/>
      <c r="B45" s="66"/>
      <c r="C45" s="47" t="s">
        <v>936</v>
      </c>
      <c r="D45" s="1" t="s">
        <v>585</v>
      </c>
      <c r="F45" s="1"/>
      <c r="H45" s="3" t="s">
        <v>918</v>
      </c>
      <c r="I45" s="15" t="s">
        <v>545</v>
      </c>
      <c r="K45" s="15" t="s">
        <v>547</v>
      </c>
      <c r="M45" s="56"/>
    </row>
    <row r="46" spans="1:13" s="54" customFormat="1">
      <c r="A46" s="64"/>
      <c r="B46" s="64"/>
      <c r="C46" s="48" t="s">
        <v>937</v>
      </c>
      <c r="D46" s="84"/>
      <c r="F46" s="84"/>
      <c r="G46" s="85"/>
      <c r="H46" s="86"/>
      <c r="I46" s="86"/>
      <c r="J46" s="86"/>
      <c r="K46" s="86"/>
      <c r="L46" s="86"/>
      <c r="M46" s="57"/>
    </row>
    <row r="48" spans="1:13" s="53" customFormat="1">
      <c r="A48" s="87" t="s">
        <v>360</v>
      </c>
      <c r="B48" s="87" t="s">
        <v>365</v>
      </c>
      <c r="C48" s="89" t="s">
        <v>593</v>
      </c>
      <c r="D48" s="53" t="s">
        <v>561</v>
      </c>
      <c r="F48" s="53">
        <v>1</v>
      </c>
      <c r="G48" s="82">
        <v>200.27799999999999</v>
      </c>
      <c r="H48" s="88" t="s">
        <v>547</v>
      </c>
      <c r="I48" s="88" t="s">
        <v>552</v>
      </c>
      <c r="J48" s="83"/>
      <c r="K48" s="83"/>
      <c r="L48" s="83"/>
      <c r="M48" s="55" t="s">
        <v>547</v>
      </c>
    </row>
    <row r="49" spans="1:13">
      <c r="A49" s="66"/>
      <c r="B49" s="52"/>
      <c r="C49" s="90" t="s">
        <v>594</v>
      </c>
      <c r="F49"/>
      <c r="H49" s="3"/>
      <c r="I49" s="3"/>
      <c r="M49" s="56"/>
    </row>
    <row r="50" spans="1:13">
      <c r="A50" s="66"/>
      <c r="B50" s="52"/>
      <c r="C50" s="90" t="s">
        <v>595</v>
      </c>
      <c r="F50"/>
      <c r="H50" s="3"/>
      <c r="I50" s="3"/>
      <c r="M50" s="56"/>
    </row>
    <row r="51" spans="1:13">
      <c r="A51" s="66"/>
      <c r="B51" s="52"/>
      <c r="C51" s="90" t="s">
        <v>596</v>
      </c>
      <c r="D51" t="s">
        <v>561</v>
      </c>
      <c r="F51" s="1">
        <v>1</v>
      </c>
      <c r="G51" s="61">
        <v>53.270200000000003</v>
      </c>
      <c r="H51" s="3" t="s">
        <v>597</v>
      </c>
      <c r="I51" s="3" t="s">
        <v>552</v>
      </c>
      <c r="M51" s="56" t="s">
        <v>547</v>
      </c>
    </row>
    <row r="52" spans="1:13">
      <c r="A52" s="66"/>
      <c r="B52" s="52"/>
      <c r="C52" s="90" t="s">
        <v>598</v>
      </c>
      <c r="D52" t="s">
        <v>561</v>
      </c>
      <c r="F52" s="1">
        <v>1</v>
      </c>
      <c r="G52" s="61">
        <v>50.950600000000001</v>
      </c>
      <c r="H52" s="3" t="s">
        <v>599</v>
      </c>
      <c r="I52" s="3" t="s">
        <v>552</v>
      </c>
      <c r="M52" s="56" t="s">
        <v>547</v>
      </c>
    </row>
    <row r="53" spans="1:13">
      <c r="A53" s="66"/>
      <c r="B53" s="52"/>
      <c r="C53" s="90" t="s">
        <v>600</v>
      </c>
      <c r="D53" t="s">
        <v>561</v>
      </c>
      <c r="F53" s="1">
        <v>1</v>
      </c>
      <c r="G53" s="61">
        <v>95.314700000000002</v>
      </c>
      <c r="H53" s="58" t="s">
        <v>601</v>
      </c>
      <c r="I53" s="3" t="s">
        <v>552</v>
      </c>
      <c r="M53" s="56" t="s">
        <v>547</v>
      </c>
    </row>
    <row r="54" spans="1:13">
      <c r="A54" s="66"/>
      <c r="B54" s="52"/>
      <c r="C54" s="90" t="s">
        <v>602</v>
      </c>
      <c r="D54" t="s">
        <v>561</v>
      </c>
      <c r="F54" s="1">
        <v>1</v>
      </c>
      <c r="G54" s="61">
        <v>92.903999999999996</v>
      </c>
      <c r="H54" s="3" t="s">
        <v>552</v>
      </c>
      <c r="I54" s="3" t="s">
        <v>547</v>
      </c>
      <c r="M54" s="56" t="s">
        <v>547</v>
      </c>
    </row>
    <row r="55" spans="1:13">
      <c r="A55" s="66"/>
      <c r="B55" s="52"/>
      <c r="C55" s="90" t="s">
        <v>605</v>
      </c>
      <c r="D55" t="s">
        <v>569</v>
      </c>
      <c r="F55"/>
      <c r="H55" s="3" t="s">
        <v>552</v>
      </c>
      <c r="I55" s="3" t="s">
        <v>545</v>
      </c>
      <c r="M55" s="56"/>
    </row>
    <row r="56" spans="1:13">
      <c r="A56" s="66"/>
      <c r="B56" s="52"/>
      <c r="C56" s="90" t="s">
        <v>606</v>
      </c>
      <c r="D56" t="s">
        <v>569</v>
      </c>
      <c r="F56"/>
      <c r="H56" s="3" t="s">
        <v>607</v>
      </c>
      <c r="I56" s="3" t="s">
        <v>545</v>
      </c>
      <c r="M56" s="56"/>
    </row>
    <row r="57" spans="1:13">
      <c r="A57" s="66"/>
      <c r="B57" s="52"/>
      <c r="C57" s="90" t="s">
        <v>608</v>
      </c>
      <c r="D57" t="s">
        <v>569</v>
      </c>
      <c r="F57"/>
      <c r="H57" s="3" t="s">
        <v>609</v>
      </c>
      <c r="I57" s="3" t="s">
        <v>545</v>
      </c>
      <c r="M57" s="56"/>
    </row>
    <row r="58" spans="1:13">
      <c r="A58" s="66"/>
      <c r="B58" s="52"/>
      <c r="C58" s="90" t="s">
        <v>610</v>
      </c>
      <c r="D58" t="s">
        <v>569</v>
      </c>
      <c r="F58"/>
      <c r="H58" s="3" t="s">
        <v>611</v>
      </c>
      <c r="I58" s="3" t="s">
        <v>545</v>
      </c>
      <c r="M58" s="56"/>
    </row>
    <row r="59" spans="1:13">
      <c r="A59" s="66"/>
      <c r="B59" s="52"/>
      <c r="C59" s="90" t="s">
        <v>1744</v>
      </c>
      <c r="F59"/>
      <c r="H59" s="3"/>
      <c r="I59" s="3"/>
      <c r="M59" s="56"/>
    </row>
    <row r="60" spans="1:13">
      <c r="A60" s="66"/>
      <c r="B60" s="52"/>
      <c r="C60" s="90" t="s">
        <v>938</v>
      </c>
      <c r="D60" t="s">
        <v>543</v>
      </c>
      <c r="F60" s="1">
        <f>(1.05)/0.05+1</f>
        <v>22</v>
      </c>
      <c r="G60" s="61">
        <f>31.5*F60+44</f>
        <v>737</v>
      </c>
      <c r="H60" s="3" t="s">
        <v>918</v>
      </c>
      <c r="I60" s="3" t="s">
        <v>552</v>
      </c>
      <c r="J60" s="15" t="s">
        <v>546</v>
      </c>
      <c r="K60" s="15" t="s">
        <v>547</v>
      </c>
      <c r="L60" s="15" t="s">
        <v>546</v>
      </c>
      <c r="M60" s="56" t="s">
        <v>547</v>
      </c>
    </row>
    <row r="61" spans="1:13">
      <c r="A61" s="66"/>
      <c r="B61" s="52"/>
      <c r="C61" s="90" t="s">
        <v>613</v>
      </c>
      <c r="D61" t="s">
        <v>569</v>
      </c>
      <c r="F61"/>
      <c r="H61" s="3" t="s">
        <v>552</v>
      </c>
      <c r="I61" s="3" t="s">
        <v>552</v>
      </c>
      <c r="M61" s="56"/>
    </row>
    <row r="62" spans="1:13">
      <c r="A62" s="66"/>
      <c r="B62" s="52"/>
      <c r="C62" s="90" t="s">
        <v>614</v>
      </c>
      <c r="D62" t="s">
        <v>569</v>
      </c>
      <c r="F62"/>
      <c r="H62" s="3" t="s">
        <v>607</v>
      </c>
      <c r="I62" s="3" t="s">
        <v>552</v>
      </c>
      <c r="M62" s="56"/>
    </row>
    <row r="63" spans="1:13">
      <c r="A63" s="66"/>
      <c r="B63" s="52"/>
      <c r="C63" s="90" t="s">
        <v>615</v>
      </c>
      <c r="D63" t="s">
        <v>569</v>
      </c>
      <c r="F63"/>
      <c r="H63" s="3" t="s">
        <v>609</v>
      </c>
      <c r="I63" s="3" t="s">
        <v>552</v>
      </c>
      <c r="M63" s="56"/>
    </row>
    <row r="64" spans="1:13">
      <c r="A64" s="66"/>
      <c r="B64" s="52"/>
      <c r="C64" s="90" t="s">
        <v>616</v>
      </c>
      <c r="D64" t="s">
        <v>569</v>
      </c>
      <c r="F64"/>
      <c r="H64" s="3" t="s">
        <v>611</v>
      </c>
      <c r="I64" s="3" t="s">
        <v>552</v>
      </c>
      <c r="M64" s="56"/>
    </row>
    <row r="65" spans="1:13">
      <c r="A65" s="66"/>
      <c r="B65" s="52"/>
      <c r="C65" s="90" t="s">
        <v>619</v>
      </c>
      <c r="D65" t="s">
        <v>569</v>
      </c>
      <c r="F65"/>
      <c r="H65" s="3" t="s">
        <v>620</v>
      </c>
      <c r="I65" s="3" t="s">
        <v>552</v>
      </c>
      <c r="M65" s="56"/>
    </row>
    <row r="66" spans="1:13">
      <c r="A66" s="66"/>
      <c r="B66" s="52"/>
      <c r="C66" s="90" t="s">
        <v>621</v>
      </c>
      <c r="D66" t="s">
        <v>569</v>
      </c>
      <c r="F66"/>
      <c r="H66" s="3" t="s">
        <v>622</v>
      </c>
      <c r="I66" s="3" t="s">
        <v>552</v>
      </c>
      <c r="M66" s="56"/>
    </row>
    <row r="67" spans="1:13">
      <c r="A67" s="66"/>
      <c r="B67" s="52"/>
      <c r="C67" s="90" t="s">
        <v>623</v>
      </c>
      <c r="D67" t="s">
        <v>569</v>
      </c>
      <c r="F67"/>
      <c r="H67" s="3" t="s">
        <v>624</v>
      </c>
      <c r="I67" s="3" t="s">
        <v>552</v>
      </c>
      <c r="M67" s="56"/>
    </row>
    <row r="68" spans="1:13">
      <c r="A68" s="66"/>
      <c r="B68" s="52"/>
      <c r="C68" s="90" t="s">
        <v>625</v>
      </c>
      <c r="D68" t="s">
        <v>569</v>
      </c>
      <c r="F68"/>
      <c r="H68" s="3" t="s">
        <v>550</v>
      </c>
      <c r="I68" s="3" t="s">
        <v>552</v>
      </c>
      <c r="M68" s="56"/>
    </row>
    <row r="69" spans="1:13">
      <c r="A69" s="66"/>
      <c r="B69" s="52"/>
      <c r="C69" s="90" t="s">
        <v>626</v>
      </c>
      <c r="D69" t="s">
        <v>543</v>
      </c>
      <c r="F69" s="1">
        <v>4</v>
      </c>
      <c r="G69" s="61">
        <v>171.91</v>
      </c>
      <c r="H69" s="3" t="s">
        <v>604</v>
      </c>
      <c r="I69" s="3" t="s">
        <v>620</v>
      </c>
      <c r="J69" s="15" t="s">
        <v>546</v>
      </c>
      <c r="K69" s="15" t="s">
        <v>547</v>
      </c>
      <c r="L69" s="15" t="s">
        <v>546</v>
      </c>
      <c r="M69" s="56" t="s">
        <v>547</v>
      </c>
    </row>
    <row r="70" spans="1:13">
      <c r="A70" s="66"/>
      <c r="B70" s="52"/>
      <c r="C70" s="90" t="s">
        <v>627</v>
      </c>
      <c r="D70" t="s">
        <v>569</v>
      </c>
      <c r="F70"/>
      <c r="H70" s="3" t="s">
        <v>552</v>
      </c>
      <c r="I70" s="3" t="s">
        <v>620</v>
      </c>
      <c r="M70" s="56"/>
    </row>
    <row r="71" spans="1:13">
      <c r="A71" s="66"/>
      <c r="B71" s="52"/>
      <c r="C71" s="90" t="s">
        <v>628</v>
      </c>
      <c r="D71" t="s">
        <v>569</v>
      </c>
      <c r="F71"/>
      <c r="H71" s="3" t="s">
        <v>607</v>
      </c>
      <c r="I71" s="3" t="s">
        <v>620</v>
      </c>
      <c r="M71" s="56"/>
    </row>
    <row r="72" spans="1:13">
      <c r="A72" s="66"/>
      <c r="B72" s="52"/>
      <c r="C72" s="90" t="s">
        <v>629</v>
      </c>
      <c r="D72" t="s">
        <v>569</v>
      </c>
      <c r="F72"/>
      <c r="H72" s="3" t="s">
        <v>609</v>
      </c>
      <c r="I72" s="3" t="s">
        <v>620</v>
      </c>
      <c r="M72" s="56"/>
    </row>
    <row r="73" spans="1:13">
      <c r="A73" s="66"/>
      <c r="B73" s="52"/>
      <c r="C73" s="90" t="s">
        <v>630</v>
      </c>
      <c r="D73" t="s">
        <v>569</v>
      </c>
      <c r="F73"/>
      <c r="H73" s="3" t="s">
        <v>611</v>
      </c>
      <c r="I73" s="3" t="s">
        <v>620</v>
      </c>
      <c r="M73" s="56"/>
    </row>
    <row r="74" spans="1:13">
      <c r="A74" s="66"/>
      <c r="B74" s="52"/>
      <c r="C74" s="90" t="s">
        <v>631</v>
      </c>
      <c r="D74" t="s">
        <v>632</v>
      </c>
      <c r="F74"/>
      <c r="H74" s="3"/>
      <c r="I74" s="3"/>
      <c r="M74" s="56"/>
    </row>
    <row r="75" spans="1:13">
      <c r="A75" s="66"/>
      <c r="B75" s="52"/>
      <c r="C75" s="90" t="s">
        <v>633</v>
      </c>
      <c r="D75" t="s">
        <v>632</v>
      </c>
      <c r="F75"/>
      <c r="H75" s="3"/>
      <c r="I75" s="3"/>
      <c r="M75" s="56"/>
    </row>
    <row r="76" spans="1:13">
      <c r="A76" s="66"/>
      <c r="B76" s="52"/>
      <c r="C76" s="90" t="s">
        <v>634</v>
      </c>
      <c r="D76" t="s">
        <v>632</v>
      </c>
      <c r="F76"/>
      <c r="H76" s="3"/>
      <c r="I76" s="3"/>
      <c r="M76" s="56"/>
    </row>
    <row r="77" spans="1:13">
      <c r="A77" s="66"/>
      <c r="B77" s="52"/>
      <c r="C77" s="90" t="s">
        <v>635</v>
      </c>
      <c r="D77" t="s">
        <v>632</v>
      </c>
      <c r="F77"/>
      <c r="H77" s="3"/>
      <c r="I77" s="3"/>
      <c r="M77" s="56"/>
    </row>
    <row r="78" spans="1:13">
      <c r="A78" s="66"/>
      <c r="B78" s="52"/>
      <c r="C78" s="90" t="s">
        <v>939</v>
      </c>
      <c r="D78" t="s">
        <v>639</v>
      </c>
      <c r="F78"/>
      <c r="H78" s="3" t="s">
        <v>918</v>
      </c>
      <c r="I78" s="3" t="s">
        <v>552</v>
      </c>
      <c r="M78" s="56"/>
    </row>
    <row r="79" spans="1:13">
      <c r="A79" s="66"/>
      <c r="B79" s="52"/>
      <c r="C79" s="90" t="s">
        <v>940</v>
      </c>
      <c r="D79" t="s">
        <v>543</v>
      </c>
      <c r="F79" s="1">
        <v>11</v>
      </c>
      <c r="G79" s="61">
        <f>31.5*F79+44</f>
        <v>390.5</v>
      </c>
      <c r="H79" s="3" t="s">
        <v>941</v>
      </c>
      <c r="I79" s="3" t="s">
        <v>552</v>
      </c>
      <c r="J79" s="15" t="s">
        <v>546</v>
      </c>
      <c r="K79" s="15" t="s">
        <v>547</v>
      </c>
      <c r="L79" s="15" t="s">
        <v>546</v>
      </c>
      <c r="M79" s="56" t="s">
        <v>547</v>
      </c>
    </row>
    <row r="80" spans="1:13">
      <c r="A80" s="66"/>
      <c r="B80" s="52"/>
      <c r="C80" s="90" t="s">
        <v>638</v>
      </c>
      <c r="D80" t="s">
        <v>639</v>
      </c>
      <c r="F80"/>
      <c r="H80" s="3" t="s">
        <v>941</v>
      </c>
      <c r="I80" s="3" t="s">
        <v>552</v>
      </c>
      <c r="K80" s="15" t="s">
        <v>547</v>
      </c>
      <c r="M80" s="56"/>
    </row>
    <row r="81" spans="1:13" s="15" customFormat="1">
      <c r="A81" s="66"/>
      <c r="B81" s="52"/>
      <c r="C81" s="90" t="s">
        <v>942</v>
      </c>
      <c r="D81" t="s">
        <v>639</v>
      </c>
      <c r="E81"/>
      <c r="F81"/>
      <c r="G81" s="61"/>
      <c r="H81" s="3" t="s">
        <v>918</v>
      </c>
      <c r="I81" s="3" t="s">
        <v>552</v>
      </c>
      <c r="K81" s="15" t="s">
        <v>547</v>
      </c>
      <c r="M81" s="56"/>
    </row>
    <row r="82" spans="1:13" s="15" customFormat="1">
      <c r="A82" s="66"/>
      <c r="B82" s="52"/>
      <c r="C82" s="90" t="s">
        <v>943</v>
      </c>
      <c r="D82" t="s">
        <v>543</v>
      </c>
      <c r="E82"/>
      <c r="F82" s="1">
        <v>11</v>
      </c>
      <c r="G82" s="61">
        <f>31.5*F82+44</f>
        <v>390.5</v>
      </c>
      <c r="H82" s="3" t="s">
        <v>920</v>
      </c>
      <c r="I82" s="3" t="s">
        <v>552</v>
      </c>
      <c r="J82" s="15" t="s">
        <v>546</v>
      </c>
      <c r="K82" s="15" t="s">
        <v>547</v>
      </c>
      <c r="L82" s="15" t="s">
        <v>546</v>
      </c>
      <c r="M82" s="56" t="s">
        <v>547</v>
      </c>
    </row>
    <row r="83" spans="1:13" s="15" customFormat="1">
      <c r="A83" s="66"/>
      <c r="B83" s="52"/>
      <c r="C83" s="90" t="s">
        <v>654</v>
      </c>
      <c r="D83" t="s">
        <v>639</v>
      </c>
      <c r="E83"/>
      <c r="F83"/>
      <c r="G83" s="61"/>
      <c r="H83" s="3" t="s">
        <v>920</v>
      </c>
      <c r="I83" s="3" t="s">
        <v>552</v>
      </c>
      <c r="K83" s="15" t="s">
        <v>547</v>
      </c>
      <c r="M83" s="56"/>
    </row>
    <row r="84" spans="1:13" s="15" customFormat="1">
      <c r="A84" s="66"/>
      <c r="B84" s="52"/>
      <c r="C84" s="90" t="s">
        <v>944</v>
      </c>
      <c r="D84" t="s">
        <v>639</v>
      </c>
      <c r="E84"/>
      <c r="F84"/>
      <c r="G84" s="61"/>
      <c r="H84" s="3" t="s">
        <v>918</v>
      </c>
      <c r="I84" s="3" t="s">
        <v>552</v>
      </c>
      <c r="K84" s="15" t="s">
        <v>547</v>
      </c>
      <c r="M84" s="56"/>
    </row>
    <row r="85" spans="1:13" s="15" customFormat="1">
      <c r="A85" s="66"/>
      <c r="B85" s="52"/>
      <c r="C85" s="90" t="s">
        <v>945</v>
      </c>
      <c r="D85" t="s">
        <v>543</v>
      </c>
      <c r="E85"/>
      <c r="F85" s="1">
        <v>11</v>
      </c>
      <c r="G85" s="61">
        <f>31.5*F85+44</f>
        <v>390.5</v>
      </c>
      <c r="H85" s="3" t="s">
        <v>920</v>
      </c>
      <c r="I85" s="3" t="s">
        <v>552</v>
      </c>
      <c r="J85" s="15" t="s">
        <v>546</v>
      </c>
      <c r="K85" s="15" t="s">
        <v>547</v>
      </c>
      <c r="L85" s="15" t="s">
        <v>546</v>
      </c>
      <c r="M85" s="56" t="s">
        <v>547</v>
      </c>
    </row>
    <row r="86" spans="1:13" s="15" customFormat="1">
      <c r="A86" s="66"/>
      <c r="B86" s="52"/>
      <c r="C86" s="90" t="s">
        <v>653</v>
      </c>
      <c r="D86" t="s">
        <v>639</v>
      </c>
      <c r="E86"/>
      <c r="F86"/>
      <c r="G86" s="61"/>
      <c r="H86" s="3" t="s">
        <v>920</v>
      </c>
      <c r="I86" s="3" t="s">
        <v>552</v>
      </c>
      <c r="K86" s="15" t="s">
        <v>547</v>
      </c>
      <c r="M86" s="56"/>
    </row>
    <row r="87" spans="1:13" s="15" customFormat="1">
      <c r="A87" s="66"/>
      <c r="B87" s="52"/>
      <c r="C87" s="90" t="s">
        <v>946</v>
      </c>
      <c r="D87" t="s">
        <v>569</v>
      </c>
      <c r="E87"/>
      <c r="F87"/>
      <c r="G87" s="61"/>
      <c r="H87" s="3" t="s">
        <v>924</v>
      </c>
      <c r="I87" s="3" t="s">
        <v>552</v>
      </c>
      <c r="K87" s="15" t="s">
        <v>547</v>
      </c>
      <c r="M87" s="56"/>
    </row>
    <row r="88" spans="1:13" s="15" customFormat="1">
      <c r="A88" s="66"/>
      <c r="B88" s="52"/>
      <c r="C88" s="90" t="s">
        <v>947</v>
      </c>
      <c r="D88" t="s">
        <v>569</v>
      </c>
      <c r="E88"/>
      <c r="F88"/>
      <c r="G88" s="61"/>
      <c r="H88" s="3" t="s">
        <v>926</v>
      </c>
      <c r="I88" s="3" t="s">
        <v>552</v>
      </c>
      <c r="K88" s="15" t="s">
        <v>547</v>
      </c>
      <c r="M88" s="56"/>
    </row>
    <row r="89" spans="1:13" s="15" customFormat="1">
      <c r="A89" s="66"/>
      <c r="B89" s="52"/>
      <c r="C89" s="90" t="s">
        <v>948</v>
      </c>
      <c r="D89" t="s">
        <v>569</v>
      </c>
      <c r="E89"/>
      <c r="F89"/>
      <c r="G89" s="61"/>
      <c r="H89" s="3" t="s">
        <v>928</v>
      </c>
      <c r="I89" s="3" t="s">
        <v>552</v>
      </c>
      <c r="K89" s="15" t="s">
        <v>547</v>
      </c>
      <c r="M89" s="56"/>
    </row>
    <row r="90" spans="1:13" s="15" customFormat="1">
      <c r="A90" s="66"/>
      <c r="B90" s="52"/>
      <c r="C90" s="90" t="s">
        <v>949</v>
      </c>
      <c r="D90" t="s">
        <v>569</v>
      </c>
      <c r="E90"/>
      <c r="F90"/>
      <c r="G90" s="61"/>
      <c r="H90" s="3" t="s">
        <v>930</v>
      </c>
      <c r="I90" s="3" t="s">
        <v>552</v>
      </c>
      <c r="K90" s="15" t="s">
        <v>547</v>
      </c>
      <c r="M90" s="56"/>
    </row>
    <row r="91" spans="1:13" s="15" customFormat="1">
      <c r="A91" s="66"/>
      <c r="B91" s="52"/>
      <c r="C91" s="90" t="s">
        <v>950</v>
      </c>
      <c r="D91" t="s">
        <v>569</v>
      </c>
      <c r="E91"/>
      <c r="F91"/>
      <c r="G91" s="61"/>
      <c r="H91" s="3" t="s">
        <v>932</v>
      </c>
      <c r="I91" s="3" t="s">
        <v>552</v>
      </c>
      <c r="K91" s="15" t="s">
        <v>547</v>
      </c>
      <c r="M91" s="56"/>
    </row>
    <row r="92" spans="1:13" s="15" customFormat="1">
      <c r="A92" s="66"/>
      <c r="B92" s="52"/>
      <c r="C92" s="90" t="s">
        <v>951</v>
      </c>
      <c r="D92" t="s">
        <v>632</v>
      </c>
      <c r="E92"/>
      <c r="F92"/>
      <c r="G92" s="61"/>
      <c r="H92" s="3"/>
      <c r="I92" s="3"/>
      <c r="M92" s="56"/>
    </row>
    <row r="93" spans="1:13" s="15" customFormat="1">
      <c r="A93" s="66"/>
      <c r="B93" s="52"/>
      <c r="C93" s="90" t="s">
        <v>952</v>
      </c>
      <c r="D93" t="s">
        <v>632</v>
      </c>
      <c r="E93"/>
      <c r="F93"/>
      <c r="G93" s="61"/>
      <c r="H93" s="3"/>
      <c r="I93" s="3"/>
      <c r="M93" s="56"/>
    </row>
    <row r="94" spans="1:13" s="15" customFormat="1">
      <c r="A94" s="66"/>
      <c r="B94" s="52"/>
      <c r="C94" s="90" t="s">
        <v>953</v>
      </c>
      <c r="D94" t="s">
        <v>632</v>
      </c>
      <c r="E94"/>
      <c r="F94"/>
      <c r="G94" s="61"/>
      <c r="H94" s="3"/>
      <c r="I94" s="3"/>
      <c r="M94" s="56"/>
    </row>
    <row r="95" spans="1:13" s="15" customFormat="1">
      <c r="A95" s="66"/>
      <c r="B95" s="52"/>
      <c r="C95" s="90" t="s">
        <v>954</v>
      </c>
      <c r="D95" t="s">
        <v>585</v>
      </c>
      <c r="E95"/>
      <c r="F95"/>
      <c r="G95" s="61"/>
      <c r="H95" s="3" t="s">
        <v>918</v>
      </c>
      <c r="I95" s="3" t="s">
        <v>552</v>
      </c>
      <c r="K95" s="15" t="s">
        <v>547</v>
      </c>
      <c r="M95" s="56"/>
    </row>
    <row r="96" spans="1:13" s="15" customFormat="1">
      <c r="A96" s="66"/>
      <c r="B96" s="52"/>
      <c r="C96" s="90" t="s">
        <v>955</v>
      </c>
      <c r="D96"/>
      <c r="E96"/>
      <c r="F96"/>
      <c r="G96" s="61"/>
      <c r="H96" s="3"/>
      <c r="I96" s="3"/>
      <c r="M96" s="56"/>
    </row>
    <row r="97" spans="1:16" s="15" customFormat="1">
      <c r="A97" s="66"/>
      <c r="B97" s="52"/>
      <c r="C97" s="90" t="s">
        <v>665</v>
      </c>
      <c r="D97" t="s">
        <v>632</v>
      </c>
      <c r="E97"/>
      <c r="F97"/>
      <c r="G97" s="61"/>
      <c r="H97" s="3"/>
      <c r="I97" s="3"/>
      <c r="M97" s="56"/>
    </row>
    <row r="98" spans="1:16" s="15" customFormat="1">
      <c r="A98" s="66"/>
      <c r="B98" s="52"/>
      <c r="C98" s="90" t="s">
        <v>666</v>
      </c>
      <c r="D98" t="s">
        <v>632</v>
      </c>
      <c r="E98"/>
      <c r="F98"/>
      <c r="G98" s="61"/>
      <c r="H98" s="3"/>
      <c r="I98" s="3"/>
      <c r="M98" s="56"/>
    </row>
    <row r="99" spans="1:16">
      <c r="A99" s="66"/>
      <c r="B99" s="52"/>
      <c r="C99" s="90" t="s">
        <v>667</v>
      </c>
      <c r="D99" t="s">
        <v>632</v>
      </c>
      <c r="F99"/>
      <c r="H99" s="3"/>
      <c r="I99" s="3"/>
      <c r="M99" s="56"/>
    </row>
    <row r="100" spans="1:16">
      <c r="A100" s="66"/>
      <c r="B100" s="52"/>
      <c r="C100" s="90" t="s">
        <v>668</v>
      </c>
      <c r="D100" t="s">
        <v>561</v>
      </c>
      <c r="F100" s="1">
        <v>1</v>
      </c>
      <c r="G100" s="61">
        <v>95.685400000000001</v>
      </c>
      <c r="H100" s="3" t="s">
        <v>669</v>
      </c>
      <c r="I100" s="3" t="s">
        <v>552</v>
      </c>
      <c r="M100" s="56"/>
    </row>
    <row r="101" spans="1:16" s="54" customFormat="1">
      <c r="A101" s="64"/>
      <c r="B101" s="115"/>
      <c r="C101" s="117" t="s">
        <v>670</v>
      </c>
      <c r="F101" s="84">
        <v>1</v>
      </c>
      <c r="G101" s="85">
        <v>95.685400000000001</v>
      </c>
      <c r="H101" s="91" t="s">
        <v>669</v>
      </c>
      <c r="I101" s="91" t="s">
        <v>552</v>
      </c>
      <c r="J101" s="86"/>
      <c r="K101" s="86"/>
      <c r="L101" s="86"/>
      <c r="M101" s="57"/>
    </row>
    <row r="103" spans="1:16" s="53" customFormat="1">
      <c r="A103" s="87" t="s">
        <v>360</v>
      </c>
      <c r="B103" s="63" t="s">
        <v>956</v>
      </c>
      <c r="C103" s="53" t="s">
        <v>671</v>
      </c>
      <c r="D103" s="53" t="s">
        <v>543</v>
      </c>
      <c r="F103" s="81">
        <v>6</v>
      </c>
      <c r="G103" s="61">
        <f>31.5*F103+44</f>
        <v>233</v>
      </c>
      <c r="H103" s="88" t="s">
        <v>672</v>
      </c>
      <c r="I103" s="88" t="s">
        <v>545</v>
      </c>
      <c r="J103" s="83" t="s">
        <v>546</v>
      </c>
      <c r="K103" s="83" t="s">
        <v>547</v>
      </c>
      <c r="L103" s="83" t="s">
        <v>546</v>
      </c>
      <c r="M103" s="55" t="s">
        <v>547</v>
      </c>
      <c r="P103" s="82"/>
    </row>
    <row r="104" spans="1:16">
      <c r="A104" s="52"/>
      <c r="B104" s="66"/>
      <c r="C104" t="s">
        <v>673</v>
      </c>
      <c r="D104" t="s">
        <v>569</v>
      </c>
      <c r="F104"/>
      <c r="H104" s="3" t="s">
        <v>674</v>
      </c>
      <c r="I104" s="3" t="s">
        <v>545</v>
      </c>
      <c r="M104" s="56"/>
    </row>
    <row r="105" spans="1:16">
      <c r="A105" s="52"/>
      <c r="B105" s="66"/>
      <c r="C105" t="s">
        <v>675</v>
      </c>
      <c r="D105" t="s">
        <v>569</v>
      </c>
      <c r="F105" s="1"/>
      <c r="H105" s="3" t="s">
        <v>676</v>
      </c>
      <c r="I105" s="3" t="s">
        <v>545</v>
      </c>
      <c r="M105" s="56"/>
    </row>
    <row r="106" spans="1:16">
      <c r="A106" s="52"/>
      <c r="B106" s="66"/>
      <c r="C106" t="s">
        <v>677</v>
      </c>
      <c r="D106" t="s">
        <v>569</v>
      </c>
      <c r="F106" s="1"/>
      <c r="H106" s="3" t="s">
        <v>678</v>
      </c>
      <c r="I106" s="3" t="s">
        <v>545</v>
      </c>
      <c r="M106" s="56"/>
    </row>
    <row r="107" spans="1:16">
      <c r="A107" s="52"/>
      <c r="B107" s="66"/>
      <c r="C107" t="s">
        <v>679</v>
      </c>
      <c r="D107" t="s">
        <v>543</v>
      </c>
      <c r="F107" s="1">
        <v>6</v>
      </c>
      <c r="G107" s="61">
        <v>231.37100000000001</v>
      </c>
      <c r="H107" s="3" t="s">
        <v>680</v>
      </c>
      <c r="I107" s="3" t="s">
        <v>552</v>
      </c>
      <c r="J107" s="15" t="s">
        <v>546</v>
      </c>
      <c r="K107" s="15" t="s">
        <v>547</v>
      </c>
      <c r="L107" s="15" t="s">
        <v>546</v>
      </c>
      <c r="M107" s="56" t="s">
        <v>547</v>
      </c>
    </row>
    <row r="108" spans="1:16">
      <c r="A108" s="52"/>
      <c r="B108" s="66"/>
      <c r="C108" t="s">
        <v>681</v>
      </c>
      <c r="D108" t="s">
        <v>569</v>
      </c>
      <c r="F108"/>
      <c r="H108" s="3" t="s">
        <v>682</v>
      </c>
      <c r="I108" s="3" t="s">
        <v>552</v>
      </c>
      <c r="M108" s="56"/>
    </row>
    <row r="109" spans="1:16">
      <c r="A109" s="52"/>
      <c r="B109" s="66"/>
      <c r="C109" t="s">
        <v>683</v>
      </c>
      <c r="D109" t="s">
        <v>569</v>
      </c>
      <c r="F109"/>
      <c r="H109" s="3" t="s">
        <v>684</v>
      </c>
      <c r="I109" s="3" t="s">
        <v>552</v>
      </c>
      <c r="M109" s="56"/>
    </row>
    <row r="110" spans="1:16">
      <c r="A110" s="52"/>
      <c r="B110" s="66"/>
      <c r="C110" t="s">
        <v>685</v>
      </c>
      <c r="D110" t="s">
        <v>569</v>
      </c>
      <c r="F110"/>
      <c r="H110" s="3" t="s">
        <v>686</v>
      </c>
      <c r="I110" s="3" t="s">
        <v>552</v>
      </c>
      <c r="M110" s="56"/>
    </row>
    <row r="111" spans="1:16">
      <c r="A111" s="52"/>
      <c r="B111" s="66"/>
      <c r="C111" t="s">
        <v>687</v>
      </c>
      <c r="D111" t="s">
        <v>543</v>
      </c>
      <c r="F111" s="1">
        <v>2</v>
      </c>
      <c r="G111" s="61">
        <v>106.18899999999999</v>
      </c>
      <c r="H111" s="3" t="s">
        <v>688</v>
      </c>
      <c r="I111" s="3" t="s">
        <v>545</v>
      </c>
      <c r="J111" s="15" t="s">
        <v>546</v>
      </c>
      <c r="K111" s="15" t="s">
        <v>547</v>
      </c>
      <c r="L111" s="15" t="s">
        <v>546</v>
      </c>
      <c r="M111" s="56" t="s">
        <v>547</v>
      </c>
    </row>
    <row r="112" spans="1:16">
      <c r="A112" s="52"/>
      <c r="B112" s="66"/>
      <c r="C112" t="s">
        <v>689</v>
      </c>
      <c r="D112" t="s">
        <v>543</v>
      </c>
      <c r="F112">
        <f>(1.1-0.65)/0.05+1</f>
        <v>10</v>
      </c>
      <c r="G112" s="61">
        <v>360.38400000000001</v>
      </c>
      <c r="H112" s="3" t="s">
        <v>690</v>
      </c>
      <c r="I112" s="3" t="s">
        <v>545</v>
      </c>
      <c r="J112" s="15" t="s">
        <v>546</v>
      </c>
      <c r="K112" s="15" t="s">
        <v>547</v>
      </c>
      <c r="L112" s="15" t="s">
        <v>546</v>
      </c>
      <c r="M112" s="56" t="s">
        <v>547</v>
      </c>
    </row>
    <row r="113" spans="1:13">
      <c r="A113" s="52"/>
      <c r="B113" s="66"/>
      <c r="C113" t="s">
        <v>691</v>
      </c>
      <c r="D113" t="s">
        <v>569</v>
      </c>
      <c r="F113"/>
      <c r="H113" s="3" t="s">
        <v>692</v>
      </c>
      <c r="I113" s="3" t="s">
        <v>545</v>
      </c>
      <c r="M113" s="56"/>
    </row>
    <row r="114" spans="1:13">
      <c r="A114" s="52"/>
      <c r="B114" s="66"/>
      <c r="C114" t="s">
        <v>693</v>
      </c>
      <c r="D114" t="s">
        <v>569</v>
      </c>
      <c r="F114"/>
      <c r="H114" s="3" t="s">
        <v>694</v>
      </c>
      <c r="I114" s="3" t="s">
        <v>545</v>
      </c>
      <c r="M114" s="56"/>
    </row>
    <row r="115" spans="1:13">
      <c r="A115" s="52"/>
      <c r="B115" s="66"/>
      <c r="C115" t="s">
        <v>695</v>
      </c>
      <c r="D115" t="s">
        <v>569</v>
      </c>
      <c r="F115"/>
      <c r="H115" s="3" t="s">
        <v>696</v>
      </c>
      <c r="I115" s="3" t="s">
        <v>545</v>
      </c>
      <c r="M115" s="56"/>
    </row>
    <row r="116" spans="1:13">
      <c r="A116" s="52"/>
      <c r="B116" s="66"/>
      <c r="C116" t="s">
        <v>697</v>
      </c>
      <c r="D116" t="s">
        <v>569</v>
      </c>
      <c r="F116"/>
      <c r="H116" s="3" t="s">
        <v>698</v>
      </c>
      <c r="I116" s="3" t="s">
        <v>545</v>
      </c>
      <c r="M116" s="56"/>
    </row>
    <row r="117" spans="1:13">
      <c r="A117" s="52"/>
      <c r="B117" s="66"/>
      <c r="C117" t="s">
        <v>699</v>
      </c>
      <c r="D117" t="s">
        <v>569</v>
      </c>
      <c r="F117"/>
      <c r="H117" s="3" t="s">
        <v>700</v>
      </c>
      <c r="I117" s="3" t="s">
        <v>545</v>
      </c>
      <c r="M117" s="56"/>
    </row>
    <row r="118" spans="1:13">
      <c r="A118" s="52"/>
      <c r="B118" s="66"/>
      <c r="C118" t="s">
        <v>701</v>
      </c>
      <c r="D118" t="s">
        <v>569</v>
      </c>
      <c r="F118"/>
      <c r="H118" s="3" t="s">
        <v>702</v>
      </c>
      <c r="I118" s="3" t="s">
        <v>545</v>
      </c>
      <c r="M118" s="56"/>
    </row>
    <row r="119" spans="1:13">
      <c r="A119" s="52"/>
      <c r="B119" s="66"/>
      <c r="C119" t="s">
        <v>703</v>
      </c>
      <c r="D119" t="s">
        <v>569</v>
      </c>
      <c r="F119"/>
      <c r="H119" s="3" t="s">
        <v>704</v>
      </c>
      <c r="I119" s="3" t="s">
        <v>545</v>
      </c>
      <c r="M119" s="56"/>
    </row>
    <row r="120" spans="1:13">
      <c r="A120" s="52"/>
      <c r="B120" s="66"/>
      <c r="C120" t="s">
        <v>705</v>
      </c>
      <c r="D120" t="s">
        <v>569</v>
      </c>
      <c r="F120"/>
      <c r="H120" s="3" t="s">
        <v>706</v>
      </c>
      <c r="I120" s="3" t="s">
        <v>545</v>
      </c>
      <c r="M120" s="56"/>
    </row>
    <row r="121" spans="1:13">
      <c r="A121" s="52"/>
      <c r="B121" s="66"/>
      <c r="C121" t="s">
        <v>707</v>
      </c>
      <c r="D121" t="s">
        <v>569</v>
      </c>
      <c r="F121"/>
      <c r="H121" s="3" t="s">
        <v>708</v>
      </c>
      <c r="I121" s="3" t="s">
        <v>545</v>
      </c>
      <c r="M121" s="56"/>
    </row>
    <row r="122" spans="1:13">
      <c r="A122" s="52"/>
      <c r="B122" s="66"/>
      <c r="C122" t="s">
        <v>709</v>
      </c>
      <c r="D122" t="s">
        <v>543</v>
      </c>
      <c r="F122" s="1">
        <v>2</v>
      </c>
      <c r="G122" s="61">
        <v>108.983</v>
      </c>
      <c r="H122" s="3" t="s">
        <v>710</v>
      </c>
      <c r="I122" s="3" t="s">
        <v>545</v>
      </c>
      <c r="J122" s="15" t="s">
        <v>546</v>
      </c>
      <c r="K122" s="15" t="s">
        <v>547</v>
      </c>
      <c r="L122" s="15" t="s">
        <v>546</v>
      </c>
      <c r="M122" s="56" t="s">
        <v>547</v>
      </c>
    </row>
    <row r="123" spans="1:13">
      <c r="A123" s="52"/>
      <c r="B123" s="66"/>
      <c r="C123" t="s">
        <v>711</v>
      </c>
      <c r="D123" t="s">
        <v>543</v>
      </c>
      <c r="F123" s="1">
        <v>2</v>
      </c>
      <c r="G123" s="61">
        <v>107.95099999999999</v>
      </c>
      <c r="H123" s="3" t="s">
        <v>712</v>
      </c>
      <c r="I123" s="3" t="s">
        <v>552</v>
      </c>
      <c r="J123" s="15" t="s">
        <v>546</v>
      </c>
      <c r="K123" s="15" t="s">
        <v>547</v>
      </c>
      <c r="L123" s="15" t="s">
        <v>546</v>
      </c>
      <c r="M123" s="56" t="s">
        <v>547</v>
      </c>
    </row>
    <row r="124" spans="1:13">
      <c r="A124" s="52"/>
      <c r="B124" s="66"/>
      <c r="C124" t="s">
        <v>713</v>
      </c>
      <c r="D124" t="s">
        <v>569</v>
      </c>
      <c r="F124"/>
      <c r="H124" s="3" t="s">
        <v>714</v>
      </c>
      <c r="I124" s="3" t="s">
        <v>545</v>
      </c>
      <c r="M124" s="56"/>
    </row>
    <row r="125" spans="1:13">
      <c r="A125" s="52"/>
      <c r="B125" s="66"/>
      <c r="C125" t="s">
        <v>715</v>
      </c>
      <c r="D125" t="s">
        <v>569</v>
      </c>
      <c r="F125"/>
      <c r="H125" s="3" t="s">
        <v>716</v>
      </c>
      <c r="I125" s="3" t="s">
        <v>545</v>
      </c>
      <c r="M125" s="56"/>
    </row>
    <row r="126" spans="1:13">
      <c r="A126" s="52"/>
      <c r="B126" s="66"/>
      <c r="C126" t="s">
        <v>717</v>
      </c>
      <c r="D126" t="s">
        <v>569</v>
      </c>
      <c r="F126"/>
      <c r="H126" s="3" t="s">
        <v>718</v>
      </c>
      <c r="I126" s="3" t="s">
        <v>552</v>
      </c>
      <c r="M126" s="56"/>
    </row>
    <row r="127" spans="1:13">
      <c r="A127" s="52"/>
      <c r="B127" s="66"/>
      <c r="C127" t="s">
        <v>719</v>
      </c>
      <c r="D127" t="s">
        <v>569</v>
      </c>
      <c r="F127"/>
      <c r="H127" s="3" t="s">
        <v>720</v>
      </c>
      <c r="I127" s="3" t="s">
        <v>552</v>
      </c>
      <c r="M127" s="56"/>
    </row>
    <row r="128" spans="1:13">
      <c r="A128" s="52"/>
      <c r="B128" s="66"/>
      <c r="C128" t="s">
        <v>721</v>
      </c>
      <c r="D128" t="s">
        <v>543</v>
      </c>
      <c r="F128" s="1">
        <v>2</v>
      </c>
      <c r="G128" s="61">
        <v>103.82</v>
      </c>
      <c r="H128" s="3" t="s">
        <v>722</v>
      </c>
      <c r="I128" s="3" t="s">
        <v>552</v>
      </c>
      <c r="J128" s="15" t="s">
        <v>546</v>
      </c>
      <c r="K128" s="15" t="s">
        <v>547</v>
      </c>
      <c r="L128" s="15" t="s">
        <v>546</v>
      </c>
      <c r="M128" s="56"/>
    </row>
    <row r="129" spans="1:13">
      <c r="A129" s="52"/>
      <c r="B129" s="66"/>
      <c r="C129" t="s">
        <v>723</v>
      </c>
      <c r="D129" t="s">
        <v>543</v>
      </c>
      <c r="F129" s="1">
        <v>1</v>
      </c>
      <c r="G129" s="61">
        <v>74.339200000000005</v>
      </c>
      <c r="H129" s="3" t="s">
        <v>718</v>
      </c>
      <c r="I129" s="3" t="s">
        <v>552</v>
      </c>
      <c r="J129" s="15" t="s">
        <v>546</v>
      </c>
      <c r="K129" s="15" t="s">
        <v>547</v>
      </c>
      <c r="L129" s="15" t="s">
        <v>546</v>
      </c>
      <c r="M129" s="56"/>
    </row>
    <row r="130" spans="1:13">
      <c r="A130" s="52"/>
      <c r="B130" s="66"/>
      <c r="C130" t="s">
        <v>724</v>
      </c>
      <c r="D130" t="s">
        <v>569</v>
      </c>
      <c r="F130"/>
      <c r="H130" s="3" t="s">
        <v>725</v>
      </c>
      <c r="I130" s="3" t="s">
        <v>552</v>
      </c>
      <c r="M130" s="56"/>
    </row>
    <row r="131" spans="1:13">
      <c r="A131" s="52"/>
      <c r="B131" s="66"/>
      <c r="C131" t="s">
        <v>726</v>
      </c>
      <c r="D131" t="s">
        <v>569</v>
      </c>
      <c r="F131"/>
      <c r="H131" s="3" t="s">
        <v>727</v>
      </c>
      <c r="I131" s="3" t="s">
        <v>552</v>
      </c>
      <c r="M131" s="56"/>
    </row>
    <row r="132" spans="1:13">
      <c r="A132" s="52"/>
      <c r="B132" s="66"/>
      <c r="C132" t="s">
        <v>728</v>
      </c>
      <c r="D132" t="s">
        <v>569</v>
      </c>
      <c r="F132"/>
      <c r="H132" s="3" t="s">
        <v>718</v>
      </c>
      <c r="I132" s="3" t="s">
        <v>552</v>
      </c>
      <c r="M132" s="56"/>
    </row>
    <row r="133" spans="1:13">
      <c r="A133" s="77"/>
      <c r="B133" s="77"/>
      <c r="C133" t="s">
        <v>1745</v>
      </c>
      <c r="F133"/>
      <c r="H133" s="3"/>
      <c r="I133" s="3"/>
    </row>
    <row r="134" spans="1:13">
      <c r="A134" s="77"/>
      <c r="B134" s="77"/>
      <c r="C134" t="s">
        <v>1746</v>
      </c>
      <c r="F134"/>
      <c r="H134" s="3"/>
      <c r="I134" s="3"/>
    </row>
    <row r="135" spans="1:13">
      <c r="A135" s="77"/>
      <c r="B135" s="77"/>
      <c r="C135" t="s">
        <v>1747</v>
      </c>
      <c r="F135"/>
      <c r="H135" s="3"/>
      <c r="I135" s="3"/>
    </row>
    <row r="136" spans="1:13">
      <c r="A136" s="77"/>
      <c r="B136" s="77"/>
      <c r="C136" t="s">
        <v>1748</v>
      </c>
      <c r="F136"/>
      <c r="H136" s="3"/>
      <c r="I136" s="3"/>
    </row>
    <row r="137" spans="1:13">
      <c r="A137" s="77"/>
      <c r="B137" s="77"/>
      <c r="C137" t="s">
        <v>1749</v>
      </c>
      <c r="F137"/>
      <c r="H137" s="3"/>
      <c r="I137" s="3"/>
    </row>
    <row r="138" spans="1:13">
      <c r="A138" s="77"/>
      <c r="B138" s="77"/>
      <c r="C138" t="s">
        <v>1750</v>
      </c>
      <c r="F138"/>
      <c r="H138" s="3"/>
      <c r="I138" s="3"/>
    </row>
    <row r="139" spans="1:13">
      <c r="A139" s="77"/>
      <c r="B139" s="77"/>
      <c r="C139" t="s">
        <v>1751</v>
      </c>
      <c r="F139"/>
      <c r="H139" s="3"/>
      <c r="I139" s="3"/>
    </row>
    <row r="140" spans="1:13">
      <c r="A140" s="77"/>
      <c r="B140" s="77"/>
      <c r="C140" t="s">
        <v>1752</v>
      </c>
      <c r="F140"/>
      <c r="H140" s="3"/>
      <c r="I140" s="3"/>
    </row>
    <row r="141" spans="1:13">
      <c r="A141" s="77"/>
      <c r="B141" s="77"/>
      <c r="C141" t="s">
        <v>1753</v>
      </c>
      <c r="F141"/>
      <c r="H141" s="3"/>
      <c r="I141" s="3"/>
    </row>
    <row r="142" spans="1:13">
      <c r="A142" s="77"/>
      <c r="B142" s="77"/>
      <c r="C142" t="s">
        <v>1754</v>
      </c>
      <c r="F142"/>
      <c r="H142" s="3"/>
      <c r="I142" s="3"/>
    </row>
    <row r="143" spans="1:13">
      <c r="A143" s="77"/>
      <c r="B143" s="77"/>
      <c r="C143" t="s">
        <v>1755</v>
      </c>
      <c r="F143"/>
      <c r="H143" s="3"/>
      <c r="I143" s="3"/>
    </row>
    <row r="145" spans="1:13" s="53" customFormat="1">
      <c r="A145" s="87" t="s">
        <v>360</v>
      </c>
      <c r="B145" s="63" t="s">
        <v>366</v>
      </c>
      <c r="C145" s="53" t="s">
        <v>734</v>
      </c>
      <c r="D145" s="53" t="s">
        <v>543</v>
      </c>
      <c r="F145" s="53">
        <f>0.6/0.02+1</f>
        <v>31</v>
      </c>
      <c r="G145" s="82">
        <v>986.60400000000004</v>
      </c>
      <c r="H145" s="88" t="s">
        <v>735</v>
      </c>
      <c r="I145" s="88" t="s">
        <v>545</v>
      </c>
      <c r="J145" s="83" t="s">
        <v>546</v>
      </c>
      <c r="K145" s="83" t="s">
        <v>547</v>
      </c>
      <c r="L145" s="83" t="s">
        <v>546</v>
      </c>
      <c r="M145" s="55" t="s">
        <v>547</v>
      </c>
    </row>
    <row r="146" spans="1:13">
      <c r="A146" s="52"/>
      <c r="B146" s="66"/>
      <c r="C146" t="s">
        <v>736</v>
      </c>
      <c r="D146" t="s">
        <v>737</v>
      </c>
      <c r="F146"/>
      <c r="H146" s="3"/>
      <c r="I146" s="3"/>
      <c r="M146" s="56"/>
    </row>
    <row r="147" spans="1:13">
      <c r="A147" s="52"/>
      <c r="B147" s="66"/>
      <c r="C147" t="s">
        <v>738</v>
      </c>
      <c r="F147"/>
      <c r="H147" s="3"/>
      <c r="I147" s="3"/>
      <c r="M147" s="56"/>
    </row>
    <row r="148" spans="1:13" s="54" customFormat="1">
      <c r="A148" s="115"/>
      <c r="B148" s="64"/>
      <c r="C148" s="54" t="s">
        <v>739</v>
      </c>
      <c r="G148" s="85"/>
      <c r="H148" s="91"/>
      <c r="I148" s="91"/>
      <c r="J148" s="86"/>
      <c r="K148" s="86"/>
      <c r="L148" s="86"/>
      <c r="M148" s="57"/>
    </row>
    <row r="150" spans="1:13" s="53" customFormat="1">
      <c r="A150" s="87" t="s">
        <v>360</v>
      </c>
      <c r="B150" s="63" t="s">
        <v>740</v>
      </c>
      <c r="C150" s="13" t="s">
        <v>741</v>
      </c>
      <c r="D150" s="53" t="s">
        <v>543</v>
      </c>
      <c r="F150" s="53">
        <f>0.2/0.05+1</f>
        <v>5</v>
      </c>
      <c r="G150" s="82">
        <v>199.61199999999999</v>
      </c>
      <c r="H150" s="88" t="s">
        <v>742</v>
      </c>
      <c r="I150" s="88" t="s">
        <v>571</v>
      </c>
      <c r="J150" s="83" t="s">
        <v>546</v>
      </c>
      <c r="K150" s="83" t="s">
        <v>547</v>
      </c>
      <c r="L150" s="83" t="s">
        <v>546</v>
      </c>
      <c r="M150" s="55"/>
    </row>
    <row r="151" spans="1:13">
      <c r="A151" s="66"/>
      <c r="B151" s="66"/>
      <c r="C151" s="47" t="s">
        <v>743</v>
      </c>
      <c r="D151" t="s">
        <v>543</v>
      </c>
      <c r="F151">
        <f t="shared" ref="F151:F156" si="0">0.2/0.05+1</f>
        <v>5</v>
      </c>
      <c r="G151" s="61">
        <v>199.101</v>
      </c>
      <c r="H151" s="3" t="s">
        <v>742</v>
      </c>
      <c r="I151" s="3" t="s">
        <v>599</v>
      </c>
      <c r="J151" s="15" t="s">
        <v>546</v>
      </c>
      <c r="K151" s="15" t="s">
        <v>547</v>
      </c>
      <c r="L151" s="15" t="s">
        <v>546</v>
      </c>
      <c r="M151" s="56"/>
    </row>
    <row r="152" spans="1:13">
      <c r="A152" s="66"/>
      <c r="B152" s="66"/>
      <c r="C152" s="47" t="s">
        <v>744</v>
      </c>
      <c r="D152" t="s">
        <v>543</v>
      </c>
      <c r="F152">
        <f t="shared" si="0"/>
        <v>5</v>
      </c>
      <c r="G152" s="61">
        <v>199.09</v>
      </c>
      <c r="H152" s="3" t="s">
        <v>742</v>
      </c>
      <c r="I152" s="3" t="s">
        <v>745</v>
      </c>
      <c r="J152" s="15" t="s">
        <v>546</v>
      </c>
      <c r="K152" s="15" t="s">
        <v>547</v>
      </c>
      <c r="L152" s="15" t="s">
        <v>546</v>
      </c>
      <c r="M152" s="56"/>
    </row>
    <row r="153" spans="1:13">
      <c r="A153" s="66"/>
      <c r="B153" s="66"/>
      <c r="C153" s="47" t="s">
        <v>746</v>
      </c>
      <c r="D153" t="s">
        <v>543</v>
      </c>
      <c r="F153">
        <f t="shared" si="0"/>
        <v>5</v>
      </c>
      <c r="G153" s="61">
        <v>197.84700000000001</v>
      </c>
      <c r="H153" s="3" t="s">
        <v>742</v>
      </c>
      <c r="I153" s="3" t="s">
        <v>550</v>
      </c>
      <c r="J153" s="15" t="s">
        <v>546</v>
      </c>
      <c r="K153" s="15" t="s">
        <v>547</v>
      </c>
      <c r="L153" s="15" t="s">
        <v>546</v>
      </c>
      <c r="M153" s="56"/>
    </row>
    <row r="154" spans="1:13">
      <c r="A154" s="66"/>
      <c r="B154" s="66"/>
      <c r="C154" s="47" t="s">
        <v>747</v>
      </c>
      <c r="D154" t="s">
        <v>543</v>
      </c>
      <c r="F154">
        <f t="shared" si="0"/>
        <v>5</v>
      </c>
      <c r="G154" s="61">
        <v>198.30500000000001</v>
      </c>
      <c r="H154" s="3" t="s">
        <v>742</v>
      </c>
      <c r="I154" s="3" t="s">
        <v>748</v>
      </c>
      <c r="J154" s="15" t="s">
        <v>546</v>
      </c>
      <c r="K154" s="15" t="s">
        <v>547</v>
      </c>
      <c r="L154" s="15" t="s">
        <v>546</v>
      </c>
      <c r="M154" s="56"/>
    </row>
    <row r="155" spans="1:13">
      <c r="A155" s="66"/>
      <c r="B155" s="66"/>
      <c r="C155" s="47" t="s">
        <v>749</v>
      </c>
      <c r="D155" t="s">
        <v>543</v>
      </c>
      <c r="F155">
        <f t="shared" si="0"/>
        <v>5</v>
      </c>
      <c r="G155" s="61">
        <v>198.05600000000001</v>
      </c>
      <c r="H155" s="3" t="s">
        <v>742</v>
      </c>
      <c r="I155" s="3" t="s">
        <v>620</v>
      </c>
      <c r="J155" s="15" t="s">
        <v>546</v>
      </c>
      <c r="K155" s="15" t="s">
        <v>547</v>
      </c>
      <c r="L155" s="15" t="s">
        <v>546</v>
      </c>
      <c r="M155" s="56"/>
    </row>
    <row r="156" spans="1:13">
      <c r="A156" s="66"/>
      <c r="B156" s="66"/>
      <c r="C156" s="47" t="s">
        <v>750</v>
      </c>
      <c r="D156" t="s">
        <v>543</v>
      </c>
      <c r="F156">
        <f t="shared" si="0"/>
        <v>5</v>
      </c>
      <c r="G156" s="61">
        <v>198.887</v>
      </c>
      <c r="H156" s="3" t="s">
        <v>742</v>
      </c>
      <c r="I156" s="3" t="s">
        <v>576</v>
      </c>
      <c r="J156" s="15" t="s">
        <v>546</v>
      </c>
      <c r="K156" s="15" t="s">
        <v>547</v>
      </c>
      <c r="L156" s="15" t="s">
        <v>546</v>
      </c>
      <c r="M156" s="56"/>
    </row>
    <row r="157" spans="1:13">
      <c r="A157" s="66"/>
      <c r="B157" s="66"/>
      <c r="C157" s="47" t="s">
        <v>751</v>
      </c>
      <c r="D157" t="s">
        <v>569</v>
      </c>
      <c r="F157"/>
      <c r="H157" s="3" t="s">
        <v>752</v>
      </c>
      <c r="I157" s="3" t="s">
        <v>571</v>
      </c>
      <c r="K157" s="15" t="s">
        <v>547</v>
      </c>
      <c r="M157" s="56"/>
    </row>
    <row r="158" spans="1:13">
      <c r="A158" s="66"/>
      <c r="B158" s="66"/>
      <c r="C158" s="47" t="s">
        <v>753</v>
      </c>
      <c r="D158" t="s">
        <v>569</v>
      </c>
      <c r="F158"/>
      <c r="H158" s="3" t="s">
        <v>754</v>
      </c>
      <c r="I158" s="3" t="s">
        <v>571</v>
      </c>
      <c r="K158" s="15" t="s">
        <v>547</v>
      </c>
      <c r="M158" s="56"/>
    </row>
    <row r="159" spans="1:13" s="15" customFormat="1">
      <c r="A159" s="66"/>
      <c r="B159" s="66"/>
      <c r="C159" s="47" t="s">
        <v>755</v>
      </c>
      <c r="D159" t="s">
        <v>569</v>
      </c>
      <c r="E159"/>
      <c r="F159"/>
      <c r="G159" s="61"/>
      <c r="H159" s="3" t="s">
        <v>682</v>
      </c>
      <c r="I159" s="3" t="s">
        <v>571</v>
      </c>
      <c r="K159" s="15" t="s">
        <v>547</v>
      </c>
      <c r="M159" s="56"/>
    </row>
    <row r="160" spans="1:13" s="15" customFormat="1">
      <c r="A160" s="66"/>
      <c r="B160" s="66"/>
      <c r="C160" s="47" t="s">
        <v>756</v>
      </c>
      <c r="D160" t="s">
        <v>569</v>
      </c>
      <c r="E160"/>
      <c r="F160"/>
      <c r="G160" s="61"/>
      <c r="H160" s="3" t="s">
        <v>757</v>
      </c>
      <c r="I160" s="3" t="s">
        <v>571</v>
      </c>
      <c r="K160" s="15" t="s">
        <v>547</v>
      </c>
      <c r="M160" s="56"/>
    </row>
    <row r="161" spans="1:13" s="15" customFormat="1">
      <c r="A161" s="66"/>
      <c r="B161" s="66"/>
      <c r="C161" s="47" t="s">
        <v>758</v>
      </c>
      <c r="D161" t="s">
        <v>569</v>
      </c>
      <c r="E161"/>
      <c r="F161"/>
      <c r="G161" s="61"/>
      <c r="H161" s="3" t="s">
        <v>759</v>
      </c>
      <c r="I161" s="3" t="s">
        <v>571</v>
      </c>
      <c r="K161" s="15" t="s">
        <v>547</v>
      </c>
      <c r="M161" s="56"/>
    </row>
    <row r="162" spans="1:13" s="15" customFormat="1">
      <c r="A162" s="66"/>
      <c r="B162" s="66"/>
      <c r="C162" s="47" t="s">
        <v>760</v>
      </c>
      <c r="D162" t="s">
        <v>569</v>
      </c>
      <c r="E162"/>
      <c r="F162"/>
      <c r="G162" s="61"/>
      <c r="H162" s="3" t="s">
        <v>752</v>
      </c>
      <c r="I162" s="3" t="s">
        <v>599</v>
      </c>
      <c r="K162" s="15" t="s">
        <v>547</v>
      </c>
      <c r="M162" s="56"/>
    </row>
    <row r="163" spans="1:13" s="15" customFormat="1">
      <c r="A163" s="66"/>
      <c r="B163" s="66"/>
      <c r="C163" s="47" t="s">
        <v>761</v>
      </c>
      <c r="D163" t="s">
        <v>569</v>
      </c>
      <c r="E163"/>
      <c r="F163"/>
      <c r="G163" s="61"/>
      <c r="H163" s="3" t="s">
        <v>754</v>
      </c>
      <c r="I163" s="3" t="s">
        <v>599</v>
      </c>
      <c r="K163" s="15" t="s">
        <v>547</v>
      </c>
      <c r="M163" s="56"/>
    </row>
    <row r="164" spans="1:13" s="15" customFormat="1">
      <c r="A164" s="66"/>
      <c r="B164" s="66"/>
      <c r="C164" s="47" t="s">
        <v>762</v>
      </c>
      <c r="D164" t="s">
        <v>569</v>
      </c>
      <c r="E164"/>
      <c r="F164"/>
      <c r="G164" s="61"/>
      <c r="H164" s="3" t="s">
        <v>682</v>
      </c>
      <c r="I164" s="3" t="s">
        <v>599</v>
      </c>
      <c r="K164" s="15" t="s">
        <v>547</v>
      </c>
      <c r="M164" s="56"/>
    </row>
    <row r="165" spans="1:13" s="15" customFormat="1">
      <c r="A165" s="66"/>
      <c r="B165" s="66"/>
      <c r="C165" s="47" t="s">
        <v>763</v>
      </c>
      <c r="D165" t="s">
        <v>569</v>
      </c>
      <c r="E165"/>
      <c r="F165"/>
      <c r="G165" s="61"/>
      <c r="H165" s="3" t="s">
        <v>757</v>
      </c>
      <c r="I165" s="3" t="s">
        <v>599</v>
      </c>
      <c r="K165" s="15" t="s">
        <v>547</v>
      </c>
      <c r="M165" s="56"/>
    </row>
    <row r="166" spans="1:13" s="15" customFormat="1">
      <c r="A166" s="66"/>
      <c r="B166" s="66"/>
      <c r="C166" s="47" t="s">
        <v>764</v>
      </c>
      <c r="D166" t="s">
        <v>569</v>
      </c>
      <c r="E166"/>
      <c r="F166"/>
      <c r="G166" s="61"/>
      <c r="H166" s="3" t="s">
        <v>759</v>
      </c>
      <c r="I166" s="3" t="s">
        <v>599</v>
      </c>
      <c r="K166" s="15" t="s">
        <v>547</v>
      </c>
      <c r="M166" s="56"/>
    </row>
    <row r="167" spans="1:13" s="15" customFormat="1">
      <c r="A167" s="66"/>
      <c r="B167" s="66"/>
      <c r="C167" s="47" t="s">
        <v>765</v>
      </c>
      <c r="D167" t="s">
        <v>569</v>
      </c>
      <c r="E167"/>
      <c r="F167"/>
      <c r="G167" s="61"/>
      <c r="H167" s="3" t="s">
        <v>752</v>
      </c>
      <c r="I167" s="3" t="s">
        <v>745</v>
      </c>
      <c r="K167" s="15" t="s">
        <v>547</v>
      </c>
      <c r="M167" s="56"/>
    </row>
    <row r="168" spans="1:13" s="15" customFormat="1">
      <c r="A168" s="66"/>
      <c r="B168" s="66"/>
      <c r="C168" s="47" t="s">
        <v>766</v>
      </c>
      <c r="D168" t="s">
        <v>569</v>
      </c>
      <c r="E168"/>
      <c r="F168"/>
      <c r="G168" s="61"/>
      <c r="H168" s="3" t="s">
        <v>754</v>
      </c>
      <c r="I168" s="3" t="s">
        <v>745</v>
      </c>
      <c r="K168" s="15" t="s">
        <v>547</v>
      </c>
      <c r="M168" s="56"/>
    </row>
    <row r="169" spans="1:13" s="15" customFormat="1">
      <c r="A169" s="66"/>
      <c r="B169" s="66"/>
      <c r="C169" s="47" t="s">
        <v>767</v>
      </c>
      <c r="D169" t="s">
        <v>569</v>
      </c>
      <c r="E169"/>
      <c r="F169"/>
      <c r="G169" s="61"/>
      <c r="H169" s="3" t="s">
        <v>682</v>
      </c>
      <c r="I169" s="3" t="s">
        <v>745</v>
      </c>
      <c r="K169" s="15" t="s">
        <v>547</v>
      </c>
      <c r="M169" s="56"/>
    </row>
    <row r="170" spans="1:13" s="15" customFormat="1">
      <c r="A170" s="66"/>
      <c r="B170" s="66"/>
      <c r="C170" s="47" t="s">
        <v>768</v>
      </c>
      <c r="D170" t="s">
        <v>569</v>
      </c>
      <c r="E170"/>
      <c r="F170"/>
      <c r="G170" s="61"/>
      <c r="H170" s="3" t="s">
        <v>757</v>
      </c>
      <c r="I170" s="3" t="s">
        <v>745</v>
      </c>
      <c r="K170" s="15" t="s">
        <v>547</v>
      </c>
      <c r="M170" s="56"/>
    </row>
    <row r="171" spans="1:13" s="15" customFormat="1">
      <c r="A171" s="66"/>
      <c r="B171" s="66"/>
      <c r="C171" s="47" t="s">
        <v>769</v>
      </c>
      <c r="D171" t="s">
        <v>569</v>
      </c>
      <c r="E171"/>
      <c r="F171"/>
      <c r="G171" s="61"/>
      <c r="H171" s="3" t="s">
        <v>759</v>
      </c>
      <c r="I171" s="3" t="s">
        <v>745</v>
      </c>
      <c r="K171" s="15" t="s">
        <v>547</v>
      </c>
      <c r="M171" s="56"/>
    </row>
    <row r="172" spans="1:13" s="15" customFormat="1">
      <c r="A172" s="66"/>
      <c r="B172" s="66"/>
      <c r="C172" s="47" t="s">
        <v>770</v>
      </c>
      <c r="D172" t="s">
        <v>569</v>
      </c>
      <c r="E172"/>
      <c r="F172"/>
      <c r="G172" s="61"/>
      <c r="H172" s="3" t="s">
        <v>752</v>
      </c>
      <c r="I172" s="3" t="s">
        <v>550</v>
      </c>
      <c r="K172" s="15" t="s">
        <v>547</v>
      </c>
      <c r="M172" s="56"/>
    </row>
    <row r="173" spans="1:13" s="15" customFormat="1">
      <c r="A173" s="66"/>
      <c r="B173" s="66"/>
      <c r="C173" s="47" t="s">
        <v>771</v>
      </c>
      <c r="D173" t="s">
        <v>569</v>
      </c>
      <c r="E173"/>
      <c r="F173"/>
      <c r="G173" s="61"/>
      <c r="H173" s="3" t="s">
        <v>754</v>
      </c>
      <c r="I173" s="3" t="s">
        <v>550</v>
      </c>
      <c r="K173" s="15" t="s">
        <v>547</v>
      </c>
      <c r="M173" s="56"/>
    </row>
    <row r="174" spans="1:13" s="15" customFormat="1">
      <c r="A174" s="66"/>
      <c r="B174" s="66"/>
      <c r="C174" s="47" t="s">
        <v>772</v>
      </c>
      <c r="D174" t="s">
        <v>569</v>
      </c>
      <c r="E174"/>
      <c r="F174"/>
      <c r="G174" s="61"/>
      <c r="H174" s="3" t="s">
        <v>682</v>
      </c>
      <c r="I174" s="3" t="s">
        <v>550</v>
      </c>
      <c r="K174" s="15" t="s">
        <v>547</v>
      </c>
      <c r="M174" s="56"/>
    </row>
    <row r="175" spans="1:13" s="15" customFormat="1">
      <c r="A175" s="66"/>
      <c r="B175" s="66"/>
      <c r="C175" s="47" t="s">
        <v>773</v>
      </c>
      <c r="D175" t="s">
        <v>569</v>
      </c>
      <c r="E175"/>
      <c r="F175"/>
      <c r="G175" s="61"/>
      <c r="H175" s="3" t="s">
        <v>757</v>
      </c>
      <c r="I175" s="3" t="s">
        <v>550</v>
      </c>
      <c r="K175" s="15" t="s">
        <v>547</v>
      </c>
      <c r="M175" s="56"/>
    </row>
    <row r="176" spans="1:13" s="15" customFormat="1">
      <c r="A176" s="66"/>
      <c r="B176" s="66"/>
      <c r="C176" s="47" t="s">
        <v>774</v>
      </c>
      <c r="D176" t="s">
        <v>569</v>
      </c>
      <c r="E176"/>
      <c r="F176"/>
      <c r="G176" s="61"/>
      <c r="H176" s="3" t="s">
        <v>759</v>
      </c>
      <c r="I176" s="3" t="s">
        <v>550</v>
      </c>
      <c r="K176" s="15" t="s">
        <v>547</v>
      </c>
      <c r="M176" s="56"/>
    </row>
    <row r="177" spans="1:13" s="15" customFormat="1">
      <c r="A177" s="66"/>
      <c r="B177" s="66"/>
      <c r="C177" s="47" t="s">
        <v>775</v>
      </c>
      <c r="D177" t="s">
        <v>569</v>
      </c>
      <c r="E177"/>
      <c r="F177"/>
      <c r="G177" s="61"/>
      <c r="H177" s="3" t="s">
        <v>752</v>
      </c>
      <c r="I177" s="3" t="s">
        <v>748</v>
      </c>
      <c r="K177" s="15" t="s">
        <v>547</v>
      </c>
      <c r="M177" s="56"/>
    </row>
    <row r="178" spans="1:13" s="15" customFormat="1">
      <c r="A178" s="66"/>
      <c r="B178" s="66"/>
      <c r="C178" s="47" t="s">
        <v>776</v>
      </c>
      <c r="D178" t="s">
        <v>569</v>
      </c>
      <c r="E178"/>
      <c r="F178"/>
      <c r="G178" s="61"/>
      <c r="H178" s="3" t="s">
        <v>754</v>
      </c>
      <c r="I178" s="3" t="s">
        <v>748</v>
      </c>
      <c r="K178" s="15" t="s">
        <v>547</v>
      </c>
      <c r="M178" s="56"/>
    </row>
    <row r="179" spans="1:13" s="15" customFormat="1">
      <c r="A179" s="66"/>
      <c r="B179" s="66"/>
      <c r="C179" s="47" t="s">
        <v>777</v>
      </c>
      <c r="D179" t="s">
        <v>569</v>
      </c>
      <c r="E179"/>
      <c r="F179"/>
      <c r="G179" s="61"/>
      <c r="H179" s="3" t="s">
        <v>682</v>
      </c>
      <c r="I179" s="3" t="s">
        <v>748</v>
      </c>
      <c r="K179" s="15" t="s">
        <v>547</v>
      </c>
      <c r="M179" s="56"/>
    </row>
    <row r="180" spans="1:13" s="15" customFormat="1">
      <c r="A180" s="66"/>
      <c r="B180" s="66"/>
      <c r="C180" s="47" t="s">
        <v>778</v>
      </c>
      <c r="D180" t="s">
        <v>569</v>
      </c>
      <c r="E180"/>
      <c r="F180"/>
      <c r="G180" s="61"/>
      <c r="H180" s="3" t="s">
        <v>757</v>
      </c>
      <c r="I180" s="3" t="s">
        <v>748</v>
      </c>
      <c r="K180" s="15" t="s">
        <v>547</v>
      </c>
      <c r="M180" s="56"/>
    </row>
    <row r="181" spans="1:13" s="15" customFormat="1">
      <c r="A181" s="66"/>
      <c r="B181" s="66"/>
      <c r="C181" s="47" t="s">
        <v>779</v>
      </c>
      <c r="D181" t="s">
        <v>569</v>
      </c>
      <c r="E181"/>
      <c r="F181"/>
      <c r="G181" s="61"/>
      <c r="H181" s="3" t="s">
        <v>759</v>
      </c>
      <c r="I181" s="3" t="s">
        <v>748</v>
      </c>
      <c r="K181" s="15" t="s">
        <v>547</v>
      </c>
      <c r="M181" s="56"/>
    </row>
    <row r="182" spans="1:13" s="15" customFormat="1">
      <c r="A182" s="66"/>
      <c r="B182" s="66"/>
      <c r="C182" s="47" t="s">
        <v>780</v>
      </c>
      <c r="D182" t="s">
        <v>569</v>
      </c>
      <c r="E182"/>
      <c r="F182"/>
      <c r="G182" s="61"/>
      <c r="H182" s="3" t="s">
        <v>752</v>
      </c>
      <c r="I182" s="3" t="s">
        <v>620</v>
      </c>
      <c r="K182" s="15" t="s">
        <v>547</v>
      </c>
      <c r="M182" s="56"/>
    </row>
    <row r="183" spans="1:13" s="15" customFormat="1">
      <c r="A183" s="66"/>
      <c r="B183" s="66"/>
      <c r="C183" s="47" t="s">
        <v>781</v>
      </c>
      <c r="D183" t="s">
        <v>569</v>
      </c>
      <c r="E183"/>
      <c r="F183"/>
      <c r="G183" s="61"/>
      <c r="H183" s="3" t="s">
        <v>754</v>
      </c>
      <c r="I183" s="3" t="s">
        <v>620</v>
      </c>
      <c r="K183" s="15" t="s">
        <v>547</v>
      </c>
      <c r="M183" s="56"/>
    </row>
    <row r="184" spans="1:13" s="15" customFormat="1">
      <c r="A184" s="66"/>
      <c r="B184" s="66"/>
      <c r="C184" s="47" t="s">
        <v>782</v>
      </c>
      <c r="D184" t="s">
        <v>569</v>
      </c>
      <c r="E184"/>
      <c r="F184"/>
      <c r="G184" s="61"/>
      <c r="H184" s="3" t="s">
        <v>682</v>
      </c>
      <c r="I184" s="3" t="s">
        <v>620</v>
      </c>
      <c r="K184" s="15" t="s">
        <v>547</v>
      </c>
      <c r="M184" s="56"/>
    </row>
    <row r="185" spans="1:13" s="15" customFormat="1">
      <c r="A185" s="66"/>
      <c r="B185" s="66"/>
      <c r="C185" s="47" t="s">
        <v>783</v>
      </c>
      <c r="D185" t="s">
        <v>569</v>
      </c>
      <c r="E185"/>
      <c r="F185"/>
      <c r="G185" s="61"/>
      <c r="H185" s="3" t="s">
        <v>757</v>
      </c>
      <c r="I185" s="3" t="s">
        <v>620</v>
      </c>
      <c r="K185" s="15" t="s">
        <v>547</v>
      </c>
      <c r="M185" s="56"/>
    </row>
    <row r="186" spans="1:13" s="15" customFormat="1">
      <c r="A186" s="66"/>
      <c r="B186" s="66"/>
      <c r="C186" s="47" t="s">
        <v>784</v>
      </c>
      <c r="D186" t="s">
        <v>569</v>
      </c>
      <c r="E186"/>
      <c r="F186"/>
      <c r="G186" s="61"/>
      <c r="H186" s="3" t="s">
        <v>759</v>
      </c>
      <c r="I186" s="3" t="s">
        <v>620</v>
      </c>
      <c r="K186" s="15" t="s">
        <v>547</v>
      </c>
      <c r="M186" s="56"/>
    </row>
    <row r="187" spans="1:13" s="15" customFormat="1">
      <c r="A187" s="66"/>
      <c r="B187" s="66"/>
      <c r="C187" s="47" t="s">
        <v>785</v>
      </c>
      <c r="D187" t="s">
        <v>569</v>
      </c>
      <c r="E187"/>
      <c r="F187"/>
      <c r="G187" s="61"/>
      <c r="H187" s="3" t="s">
        <v>752</v>
      </c>
      <c r="I187" s="3" t="s">
        <v>576</v>
      </c>
      <c r="K187" s="15" t="s">
        <v>547</v>
      </c>
      <c r="M187" s="56"/>
    </row>
    <row r="188" spans="1:13" s="15" customFormat="1">
      <c r="A188" s="66"/>
      <c r="B188" s="66"/>
      <c r="C188" s="47" t="s">
        <v>786</v>
      </c>
      <c r="D188" t="s">
        <v>569</v>
      </c>
      <c r="E188"/>
      <c r="F188"/>
      <c r="G188" s="61"/>
      <c r="H188" s="3" t="s">
        <v>754</v>
      </c>
      <c r="I188" s="3" t="s">
        <v>576</v>
      </c>
      <c r="K188" s="15" t="s">
        <v>547</v>
      </c>
      <c r="M188" s="56"/>
    </row>
    <row r="189" spans="1:13" s="15" customFormat="1">
      <c r="A189" s="66"/>
      <c r="B189" s="66"/>
      <c r="C189" s="47" t="s">
        <v>787</v>
      </c>
      <c r="D189" t="s">
        <v>569</v>
      </c>
      <c r="E189"/>
      <c r="F189"/>
      <c r="G189" s="61"/>
      <c r="H189" s="3" t="s">
        <v>682</v>
      </c>
      <c r="I189" s="3" t="s">
        <v>576</v>
      </c>
      <c r="K189" s="15" t="s">
        <v>547</v>
      </c>
      <c r="M189" s="56"/>
    </row>
    <row r="190" spans="1:13" s="15" customFormat="1">
      <c r="A190" s="66"/>
      <c r="B190" s="66"/>
      <c r="C190" s="47" t="s">
        <v>788</v>
      </c>
      <c r="D190" t="s">
        <v>569</v>
      </c>
      <c r="E190"/>
      <c r="F190"/>
      <c r="G190" s="61"/>
      <c r="H190" s="3" t="s">
        <v>757</v>
      </c>
      <c r="I190" s="3" t="s">
        <v>576</v>
      </c>
      <c r="K190" s="15" t="s">
        <v>547</v>
      </c>
      <c r="M190" s="56"/>
    </row>
    <row r="191" spans="1:13" s="15" customFormat="1">
      <c r="A191" s="66"/>
      <c r="B191" s="66"/>
      <c r="C191" s="47" t="s">
        <v>789</v>
      </c>
      <c r="D191" t="s">
        <v>569</v>
      </c>
      <c r="E191"/>
      <c r="F191"/>
      <c r="G191" s="61"/>
      <c r="H191" s="3" t="s">
        <v>759</v>
      </c>
      <c r="I191" s="3" t="s">
        <v>576</v>
      </c>
      <c r="K191" s="15" t="s">
        <v>547</v>
      </c>
      <c r="M191" s="56"/>
    </row>
    <row r="192" spans="1:13" s="15" customFormat="1">
      <c r="A192" s="66"/>
      <c r="B192" s="66"/>
      <c r="C192" s="47" t="s">
        <v>790</v>
      </c>
      <c r="D192" t="s">
        <v>632</v>
      </c>
      <c r="E192"/>
      <c r="F192"/>
      <c r="G192" s="61"/>
      <c r="H192" s="3" t="s">
        <v>1512</v>
      </c>
      <c r="I192" s="3" t="s">
        <v>599</v>
      </c>
      <c r="M192" s="56"/>
    </row>
    <row r="193" spans="1:13" s="15" customFormat="1">
      <c r="A193" s="66"/>
      <c r="B193" s="66"/>
      <c r="C193" s="47" t="s">
        <v>1756</v>
      </c>
      <c r="D193" t="s">
        <v>632</v>
      </c>
      <c r="E193"/>
      <c r="F193"/>
      <c r="G193" s="61"/>
      <c r="H193" s="3" t="s">
        <v>1513</v>
      </c>
      <c r="I193" s="3" t="s">
        <v>1514</v>
      </c>
      <c r="M193" s="56"/>
    </row>
    <row r="194" spans="1:13" s="15" customFormat="1">
      <c r="A194" s="66"/>
      <c r="B194" s="66"/>
      <c r="C194" s="47" t="s">
        <v>1757</v>
      </c>
      <c r="D194" t="s">
        <v>632</v>
      </c>
      <c r="E194"/>
      <c r="F194"/>
      <c r="G194" s="61"/>
      <c r="H194" s="3"/>
      <c r="I194" s="3"/>
      <c r="M194" s="56"/>
    </row>
    <row r="195" spans="1:13" s="15" customFormat="1">
      <c r="A195" s="66"/>
      <c r="B195" s="66"/>
      <c r="C195" s="47" t="s">
        <v>793</v>
      </c>
      <c r="D195" t="s">
        <v>632</v>
      </c>
      <c r="E195"/>
      <c r="F195"/>
      <c r="G195" s="61"/>
      <c r="H195" s="3"/>
      <c r="I195" s="3"/>
      <c r="M195" s="56"/>
    </row>
    <row r="196" spans="1:13" s="15" customFormat="1">
      <c r="A196" s="66"/>
      <c r="B196" s="66"/>
      <c r="C196" s="47" t="s">
        <v>1758</v>
      </c>
      <c r="D196" t="s">
        <v>632</v>
      </c>
      <c r="E196"/>
      <c r="F196"/>
      <c r="G196" s="61"/>
      <c r="H196" s="3"/>
      <c r="I196" s="3"/>
      <c r="M196" s="56"/>
    </row>
    <row r="197" spans="1:13" s="15" customFormat="1">
      <c r="A197" s="66"/>
      <c r="B197" s="66"/>
      <c r="C197" s="47" t="s">
        <v>795</v>
      </c>
      <c r="D197" t="s">
        <v>632</v>
      </c>
      <c r="E197"/>
      <c r="F197"/>
      <c r="G197" s="61"/>
      <c r="H197" s="3" t="s">
        <v>1515</v>
      </c>
      <c r="I197" s="3" t="s">
        <v>599</v>
      </c>
      <c r="M197" s="56"/>
    </row>
    <row r="198" spans="1:13" s="15" customFormat="1">
      <c r="A198" s="66"/>
      <c r="B198" s="66"/>
      <c r="C198" s="47" t="s">
        <v>1759</v>
      </c>
      <c r="D198" t="s">
        <v>632</v>
      </c>
      <c r="E198"/>
      <c r="F198"/>
      <c r="G198" s="61"/>
      <c r="H198" s="3" t="s">
        <v>1516</v>
      </c>
      <c r="I198" s="3" t="s">
        <v>1514</v>
      </c>
      <c r="M198" s="56"/>
    </row>
    <row r="199" spans="1:13" s="15" customFormat="1">
      <c r="A199" s="66"/>
      <c r="B199" s="66"/>
      <c r="C199" s="47" t="s">
        <v>1760</v>
      </c>
      <c r="D199" t="s">
        <v>632</v>
      </c>
      <c r="E199"/>
      <c r="F199"/>
      <c r="G199" s="61"/>
      <c r="M199" s="56"/>
    </row>
    <row r="200" spans="1:13" s="15" customFormat="1">
      <c r="A200" s="66"/>
      <c r="B200" s="66"/>
      <c r="C200" s="47" t="s">
        <v>798</v>
      </c>
      <c r="D200" t="s">
        <v>632</v>
      </c>
      <c r="E200"/>
      <c r="F200"/>
      <c r="G200" s="61"/>
      <c r="M200" s="56"/>
    </row>
    <row r="201" spans="1:13" s="15" customFormat="1">
      <c r="A201" s="66"/>
      <c r="B201" s="66"/>
      <c r="C201" s="47" t="s">
        <v>1761</v>
      </c>
      <c r="D201" t="s">
        <v>632</v>
      </c>
      <c r="E201"/>
      <c r="F201"/>
      <c r="G201" s="61"/>
      <c r="M201" s="56"/>
    </row>
    <row r="202" spans="1:13" s="15" customFormat="1">
      <c r="A202" s="66"/>
      <c r="B202" s="66"/>
      <c r="C202" s="47" t="s">
        <v>800</v>
      </c>
      <c r="D202" t="s">
        <v>632</v>
      </c>
      <c r="E202"/>
      <c r="F202"/>
      <c r="G202" s="61"/>
      <c r="H202" s="3" t="s">
        <v>1517</v>
      </c>
      <c r="I202" s="3" t="s">
        <v>599</v>
      </c>
      <c r="M202" s="56"/>
    </row>
    <row r="203" spans="1:13" s="15" customFormat="1">
      <c r="A203" s="66"/>
      <c r="B203" s="66"/>
      <c r="C203" s="47" t="s">
        <v>1762</v>
      </c>
      <c r="D203" t="s">
        <v>632</v>
      </c>
      <c r="E203"/>
      <c r="F203"/>
      <c r="G203" s="61"/>
      <c r="H203" s="3" t="s">
        <v>1518</v>
      </c>
      <c r="I203" s="3" t="s">
        <v>1514</v>
      </c>
      <c r="M203" s="56"/>
    </row>
    <row r="204" spans="1:13" s="15" customFormat="1">
      <c r="A204" s="66"/>
      <c r="B204" s="66"/>
      <c r="C204" s="47" t="s">
        <v>1763</v>
      </c>
      <c r="D204" t="s">
        <v>632</v>
      </c>
      <c r="E204"/>
      <c r="F204"/>
      <c r="G204" s="61"/>
      <c r="M204" s="56"/>
    </row>
    <row r="205" spans="1:13" s="15" customFormat="1">
      <c r="A205" s="66"/>
      <c r="B205" s="66"/>
      <c r="C205" s="47" t="s">
        <v>803</v>
      </c>
      <c r="D205" t="s">
        <v>632</v>
      </c>
      <c r="E205"/>
      <c r="F205"/>
      <c r="G205" s="61"/>
      <c r="M205" s="56"/>
    </row>
    <row r="206" spans="1:13" s="15" customFormat="1">
      <c r="A206" s="66"/>
      <c r="B206" s="66"/>
      <c r="C206" s="47" t="s">
        <v>1764</v>
      </c>
      <c r="D206" t="s">
        <v>632</v>
      </c>
      <c r="E206"/>
      <c r="F206"/>
      <c r="G206" s="61"/>
      <c r="M206" s="56"/>
    </row>
    <row r="207" spans="1:13" s="15" customFormat="1">
      <c r="A207" s="66"/>
      <c r="B207" s="66"/>
      <c r="C207" s="47" t="s">
        <v>805</v>
      </c>
      <c r="D207" t="s">
        <v>632</v>
      </c>
      <c r="E207"/>
      <c r="F207"/>
      <c r="G207" s="61"/>
      <c r="H207" s="3" t="s">
        <v>1512</v>
      </c>
      <c r="I207" s="3" t="s">
        <v>550</v>
      </c>
      <c r="M207" s="56"/>
    </row>
    <row r="208" spans="1:13" s="15" customFormat="1">
      <c r="A208" s="66"/>
      <c r="B208" s="66"/>
      <c r="C208" s="47" t="s">
        <v>1765</v>
      </c>
      <c r="D208" t="s">
        <v>632</v>
      </c>
      <c r="E208"/>
      <c r="F208"/>
      <c r="G208" s="61"/>
      <c r="H208" s="3" t="s">
        <v>1513</v>
      </c>
      <c r="I208" s="3" t="s">
        <v>1519</v>
      </c>
      <c r="M208" s="56"/>
    </row>
    <row r="209" spans="1:13" s="15" customFormat="1">
      <c r="A209" s="66"/>
      <c r="B209" s="66"/>
      <c r="C209" s="47" t="s">
        <v>1766</v>
      </c>
      <c r="D209" t="s">
        <v>632</v>
      </c>
      <c r="E209"/>
      <c r="F209"/>
      <c r="G209" s="61"/>
      <c r="M209" s="56"/>
    </row>
    <row r="210" spans="1:13" s="15" customFormat="1">
      <c r="A210" s="66"/>
      <c r="B210" s="66"/>
      <c r="C210" s="47" t="s">
        <v>808</v>
      </c>
      <c r="D210" t="s">
        <v>632</v>
      </c>
      <c r="E210"/>
      <c r="F210"/>
      <c r="G210" s="61"/>
      <c r="M210" s="56"/>
    </row>
    <row r="211" spans="1:13" s="15" customFormat="1">
      <c r="A211" s="66"/>
      <c r="B211" s="66"/>
      <c r="C211" s="47" t="s">
        <v>1767</v>
      </c>
      <c r="D211" t="s">
        <v>632</v>
      </c>
      <c r="E211"/>
      <c r="F211"/>
      <c r="G211" s="61"/>
      <c r="M211" s="56"/>
    </row>
    <row r="212" spans="1:13" s="15" customFormat="1">
      <c r="A212" s="66"/>
      <c r="B212" s="66"/>
      <c r="C212" s="47" t="s">
        <v>810</v>
      </c>
      <c r="D212" t="s">
        <v>632</v>
      </c>
      <c r="E212"/>
      <c r="F212"/>
      <c r="G212" s="61"/>
      <c r="H212" s="3" t="s">
        <v>1515</v>
      </c>
      <c r="I212" s="3" t="s">
        <v>550</v>
      </c>
      <c r="M212" s="56"/>
    </row>
    <row r="213" spans="1:13" s="15" customFormat="1">
      <c r="A213" s="66"/>
      <c r="B213" s="66"/>
      <c r="C213" s="47" t="s">
        <v>1768</v>
      </c>
      <c r="D213" t="s">
        <v>632</v>
      </c>
      <c r="E213"/>
      <c r="F213"/>
      <c r="G213" s="61"/>
      <c r="H213" s="3" t="s">
        <v>1516</v>
      </c>
      <c r="I213" s="3" t="s">
        <v>1519</v>
      </c>
      <c r="M213" s="56"/>
    </row>
    <row r="214" spans="1:13" s="15" customFormat="1">
      <c r="A214" s="66"/>
      <c r="B214" s="66"/>
      <c r="C214" s="47" t="s">
        <v>1769</v>
      </c>
      <c r="D214" t="s">
        <v>632</v>
      </c>
      <c r="E214"/>
      <c r="F214"/>
      <c r="G214" s="61"/>
      <c r="M214" s="56"/>
    </row>
    <row r="215" spans="1:13" s="15" customFormat="1">
      <c r="A215" s="66"/>
      <c r="B215" s="66"/>
      <c r="C215" s="47" t="s">
        <v>813</v>
      </c>
      <c r="D215" t="s">
        <v>632</v>
      </c>
      <c r="E215"/>
      <c r="F215"/>
      <c r="G215" s="61"/>
      <c r="M215" s="56"/>
    </row>
    <row r="216" spans="1:13" s="15" customFormat="1">
      <c r="A216" s="66"/>
      <c r="B216" s="66"/>
      <c r="C216" s="47" t="s">
        <v>1770</v>
      </c>
      <c r="D216" t="s">
        <v>632</v>
      </c>
      <c r="E216"/>
      <c r="F216"/>
      <c r="G216" s="61"/>
      <c r="M216" s="56"/>
    </row>
    <row r="217" spans="1:13" s="15" customFormat="1">
      <c r="A217" s="66"/>
      <c r="B217" s="66"/>
      <c r="C217" s="47" t="s">
        <v>815</v>
      </c>
      <c r="D217" t="s">
        <v>632</v>
      </c>
      <c r="E217"/>
      <c r="F217"/>
      <c r="G217" s="61"/>
      <c r="H217" s="3" t="s">
        <v>1517</v>
      </c>
      <c r="I217" s="3" t="s">
        <v>550</v>
      </c>
      <c r="M217" s="56"/>
    </row>
    <row r="218" spans="1:13" s="15" customFormat="1">
      <c r="A218" s="66"/>
      <c r="B218" s="66"/>
      <c r="C218" s="47" t="s">
        <v>1771</v>
      </c>
      <c r="D218" t="s">
        <v>632</v>
      </c>
      <c r="E218"/>
      <c r="F218"/>
      <c r="G218" s="61"/>
      <c r="H218" s="3" t="s">
        <v>1518</v>
      </c>
      <c r="I218" s="3" t="s">
        <v>1519</v>
      </c>
      <c r="M218" s="56"/>
    </row>
    <row r="219" spans="1:13" s="15" customFormat="1">
      <c r="A219" s="66"/>
      <c r="B219" s="66"/>
      <c r="C219" s="47" t="s">
        <v>1772</v>
      </c>
      <c r="D219" t="s">
        <v>632</v>
      </c>
      <c r="E219"/>
      <c r="F219"/>
      <c r="G219" s="61"/>
      <c r="M219" s="56"/>
    </row>
    <row r="220" spans="1:13" s="15" customFormat="1">
      <c r="A220" s="66"/>
      <c r="B220" s="66"/>
      <c r="C220" s="47" t="s">
        <v>818</v>
      </c>
      <c r="D220" t="s">
        <v>632</v>
      </c>
      <c r="E220"/>
      <c r="F220"/>
      <c r="G220" s="61"/>
      <c r="M220" s="56"/>
    </row>
    <row r="221" spans="1:13" s="15" customFormat="1">
      <c r="A221" s="66"/>
      <c r="B221" s="66"/>
      <c r="C221" s="47" t="s">
        <v>1773</v>
      </c>
      <c r="D221" t="s">
        <v>632</v>
      </c>
      <c r="E221"/>
      <c r="F221"/>
      <c r="G221" s="61"/>
      <c r="M221" s="56"/>
    </row>
    <row r="222" spans="1:13" s="15" customFormat="1">
      <c r="A222" s="66"/>
      <c r="B222" s="66"/>
      <c r="C222" s="47" t="s">
        <v>820</v>
      </c>
      <c r="D222" t="s">
        <v>632</v>
      </c>
      <c r="E222"/>
      <c r="F222"/>
      <c r="G222" s="61"/>
      <c r="H222" s="3" t="s">
        <v>1512</v>
      </c>
      <c r="I222" s="3" t="s">
        <v>620</v>
      </c>
      <c r="M222" s="56"/>
    </row>
    <row r="223" spans="1:13">
      <c r="A223" s="66"/>
      <c r="B223" s="66"/>
      <c r="C223" s="47" t="s">
        <v>1774</v>
      </c>
      <c r="D223" t="s">
        <v>632</v>
      </c>
      <c r="F223"/>
      <c r="H223" s="3" t="s">
        <v>1513</v>
      </c>
      <c r="I223" s="3" t="s">
        <v>1520</v>
      </c>
      <c r="M223" s="56"/>
    </row>
    <row r="224" spans="1:13">
      <c r="A224" s="66"/>
      <c r="B224" s="66"/>
      <c r="C224" s="47" t="s">
        <v>1775</v>
      </c>
      <c r="D224" t="s">
        <v>632</v>
      </c>
      <c r="F224"/>
      <c r="H224" s="3"/>
      <c r="I224" s="3"/>
      <c r="M224" s="56"/>
    </row>
    <row r="225" spans="1:13">
      <c r="A225" s="66"/>
      <c r="B225" s="66"/>
      <c r="C225" s="47" t="s">
        <v>823</v>
      </c>
      <c r="D225" t="s">
        <v>632</v>
      </c>
      <c r="F225"/>
      <c r="H225" s="3"/>
      <c r="I225" s="3"/>
      <c r="M225" s="56"/>
    </row>
    <row r="226" spans="1:13">
      <c r="A226" s="66"/>
      <c r="B226" s="66"/>
      <c r="C226" s="47" t="s">
        <v>1776</v>
      </c>
      <c r="D226" t="s">
        <v>632</v>
      </c>
      <c r="F226"/>
      <c r="H226" s="3"/>
      <c r="I226" s="3"/>
      <c r="M226" s="56"/>
    </row>
    <row r="227" spans="1:13">
      <c r="A227" s="66"/>
      <c r="B227" s="66"/>
      <c r="C227" s="47" t="s">
        <v>825</v>
      </c>
      <c r="D227" t="s">
        <v>632</v>
      </c>
      <c r="F227"/>
      <c r="H227" s="3" t="s">
        <v>1515</v>
      </c>
      <c r="I227" s="3" t="s">
        <v>620</v>
      </c>
      <c r="M227" s="56"/>
    </row>
    <row r="228" spans="1:13">
      <c r="A228" s="66"/>
      <c r="B228" s="66"/>
      <c r="C228" s="47" t="s">
        <v>1777</v>
      </c>
      <c r="D228" t="s">
        <v>632</v>
      </c>
      <c r="F228"/>
      <c r="H228" s="3" t="s">
        <v>1516</v>
      </c>
      <c r="I228" s="3" t="s">
        <v>1520</v>
      </c>
      <c r="M228" s="56"/>
    </row>
    <row r="229" spans="1:13">
      <c r="A229" s="66"/>
      <c r="B229" s="66"/>
      <c r="C229" s="47" t="s">
        <v>1778</v>
      </c>
      <c r="D229" t="s">
        <v>632</v>
      </c>
      <c r="F229"/>
      <c r="H229" s="3"/>
      <c r="I229" s="3"/>
      <c r="M229" s="56"/>
    </row>
    <row r="230" spans="1:13">
      <c r="A230" s="66"/>
      <c r="B230" s="66"/>
      <c r="C230" s="47" t="s">
        <v>828</v>
      </c>
      <c r="D230" t="s">
        <v>632</v>
      </c>
      <c r="F230"/>
      <c r="H230" s="3"/>
      <c r="I230" s="3"/>
      <c r="M230" s="56"/>
    </row>
    <row r="231" spans="1:13">
      <c r="A231" s="66"/>
      <c r="B231" s="66"/>
      <c r="C231" s="47" t="s">
        <v>1779</v>
      </c>
      <c r="D231" t="s">
        <v>632</v>
      </c>
      <c r="F231"/>
      <c r="H231" s="3"/>
      <c r="I231" s="3"/>
      <c r="M231" s="56"/>
    </row>
    <row r="232" spans="1:13">
      <c r="A232" s="66"/>
      <c r="B232" s="66"/>
      <c r="C232" s="47" t="s">
        <v>830</v>
      </c>
      <c r="D232" t="s">
        <v>632</v>
      </c>
      <c r="F232"/>
      <c r="H232" s="3" t="s">
        <v>1517</v>
      </c>
      <c r="I232" s="3" t="s">
        <v>620</v>
      </c>
      <c r="M232" s="56"/>
    </row>
    <row r="233" spans="1:13">
      <c r="A233" s="66"/>
      <c r="B233" s="66"/>
      <c r="C233" s="47" t="s">
        <v>1780</v>
      </c>
      <c r="D233" t="s">
        <v>632</v>
      </c>
      <c r="F233"/>
      <c r="H233" s="3" t="s">
        <v>1518</v>
      </c>
      <c r="I233" s="3" t="s">
        <v>1520</v>
      </c>
      <c r="M233" s="56"/>
    </row>
    <row r="234" spans="1:13">
      <c r="A234" s="66"/>
      <c r="B234" s="66"/>
      <c r="C234" s="47" t="s">
        <v>1781</v>
      </c>
      <c r="D234" t="s">
        <v>632</v>
      </c>
      <c r="F234"/>
      <c r="H234" s="3"/>
      <c r="I234" s="3"/>
      <c r="M234" s="56"/>
    </row>
    <row r="235" spans="1:13">
      <c r="A235" s="66"/>
      <c r="B235" s="66"/>
      <c r="C235" s="47" t="s">
        <v>833</v>
      </c>
      <c r="D235" t="s">
        <v>632</v>
      </c>
      <c r="F235"/>
      <c r="H235" s="3"/>
      <c r="I235" s="3"/>
      <c r="M235" s="56"/>
    </row>
    <row r="236" spans="1:13">
      <c r="A236" s="66"/>
      <c r="B236" s="66"/>
      <c r="C236" s="47" t="s">
        <v>1782</v>
      </c>
      <c r="D236" t="s">
        <v>632</v>
      </c>
      <c r="F236"/>
      <c r="H236" s="3"/>
      <c r="I236" s="3"/>
      <c r="M236" s="56"/>
    </row>
    <row r="237" spans="1:13">
      <c r="A237" s="66"/>
      <c r="B237" s="66"/>
      <c r="C237" s="47" t="s">
        <v>835</v>
      </c>
      <c r="D237" t="s">
        <v>543</v>
      </c>
      <c r="F237">
        <v>1</v>
      </c>
      <c r="G237" s="61">
        <v>79.1875</v>
      </c>
      <c r="H237" s="3" t="s">
        <v>609</v>
      </c>
      <c r="I237" s="3" t="s">
        <v>545</v>
      </c>
      <c r="J237" s="15" t="s">
        <v>546</v>
      </c>
      <c r="K237" s="15" t="s">
        <v>547</v>
      </c>
      <c r="L237" s="15" t="s">
        <v>546</v>
      </c>
      <c r="M237" s="56"/>
    </row>
    <row r="238" spans="1:13">
      <c r="A238" s="66"/>
      <c r="B238" s="66"/>
      <c r="C238" s="47" t="s">
        <v>836</v>
      </c>
      <c r="D238" t="s">
        <v>569</v>
      </c>
      <c r="F238"/>
      <c r="H238" s="3" t="s">
        <v>609</v>
      </c>
      <c r="I238" s="3" t="s">
        <v>545</v>
      </c>
      <c r="K238" s="15" t="s">
        <v>547</v>
      </c>
      <c r="M238" s="56"/>
    </row>
    <row r="239" spans="1:13">
      <c r="A239" s="66"/>
      <c r="B239" s="66"/>
      <c r="C239" s="47" t="s">
        <v>837</v>
      </c>
      <c r="D239" t="s">
        <v>543</v>
      </c>
      <c r="F239">
        <v>1</v>
      </c>
      <c r="G239" s="61">
        <v>78.494699999999995</v>
      </c>
      <c r="H239" s="3">
        <v>0.85</v>
      </c>
      <c r="I239" s="3" t="s">
        <v>609</v>
      </c>
      <c r="J239" s="15" t="s">
        <v>546</v>
      </c>
      <c r="K239" s="15" t="s">
        <v>547</v>
      </c>
      <c r="L239" s="15" t="s">
        <v>546</v>
      </c>
      <c r="M239" s="56"/>
    </row>
    <row r="240" spans="1:13">
      <c r="A240" s="66"/>
      <c r="B240" s="66"/>
      <c r="C240" s="47" t="s">
        <v>838</v>
      </c>
      <c r="D240" t="s">
        <v>569</v>
      </c>
      <c r="F240"/>
      <c r="H240" s="3">
        <v>0.85</v>
      </c>
      <c r="I240" s="3" t="s">
        <v>609</v>
      </c>
      <c r="K240" s="15" t="s">
        <v>547</v>
      </c>
      <c r="M240" s="56"/>
    </row>
    <row r="241" spans="1:13">
      <c r="A241" s="66"/>
      <c r="B241" s="66"/>
      <c r="C241" s="47" t="s">
        <v>839</v>
      </c>
      <c r="D241" t="s">
        <v>561</v>
      </c>
      <c r="F241">
        <v>1</v>
      </c>
      <c r="G241" s="61">
        <v>159.625</v>
      </c>
      <c r="H241" s="3">
        <v>0</v>
      </c>
      <c r="I241" s="3" t="s">
        <v>609</v>
      </c>
      <c r="K241" s="15" t="s">
        <v>547</v>
      </c>
      <c r="M241" s="56"/>
    </row>
    <row r="242" spans="1:13" s="54" customFormat="1">
      <c r="A242" s="64"/>
      <c r="B242" s="64"/>
      <c r="C242" s="48" t="s">
        <v>840</v>
      </c>
      <c r="F242" s="84"/>
      <c r="G242" s="85"/>
      <c r="H242" s="91"/>
      <c r="I242" s="91"/>
      <c r="J242" s="86"/>
      <c r="K242" s="86"/>
      <c r="L242" s="86"/>
      <c r="M242" s="57"/>
    </row>
    <row r="246" spans="1:13">
      <c r="A246" s="63" t="s">
        <v>957</v>
      </c>
      <c r="B246" s="63" t="s">
        <v>957</v>
      </c>
      <c r="C246" s="89" t="s">
        <v>1521</v>
      </c>
      <c r="D246" s="89" t="s">
        <v>1522</v>
      </c>
      <c r="E246" s="53"/>
      <c r="F246" s="53"/>
      <c r="G246" s="53"/>
      <c r="H246" s="88"/>
      <c r="I246" s="88"/>
      <c r="J246" s="53"/>
      <c r="K246" s="53"/>
      <c r="L246" s="83"/>
      <c r="M246" s="55"/>
    </row>
    <row r="247" spans="1:13">
      <c r="A247" s="66"/>
      <c r="B247" s="52"/>
      <c r="C247" s="90" t="s">
        <v>958</v>
      </c>
      <c r="D247" s="90" t="s">
        <v>639</v>
      </c>
      <c r="F247"/>
      <c r="H247" s="3" t="s">
        <v>959</v>
      </c>
      <c r="I247" s="3" t="s">
        <v>552</v>
      </c>
      <c r="K247" s="15" t="s">
        <v>547</v>
      </c>
      <c r="M247" s="56"/>
    </row>
    <row r="248" spans="1:13">
      <c r="A248" s="66"/>
      <c r="B248" s="66"/>
      <c r="C248" s="47" t="s">
        <v>960</v>
      </c>
      <c r="D248" s="90" t="s">
        <v>543</v>
      </c>
      <c r="F248">
        <v>11</v>
      </c>
      <c r="G248" s="61">
        <f>31.5*F248+44</f>
        <v>390.5</v>
      </c>
      <c r="H248" s="3" t="s">
        <v>961</v>
      </c>
      <c r="I248" s="3" t="s">
        <v>552</v>
      </c>
      <c r="K248" s="15" t="s">
        <v>547</v>
      </c>
      <c r="M248" s="56"/>
    </row>
    <row r="249" spans="1:13">
      <c r="A249" s="64"/>
      <c r="B249" s="64"/>
      <c r="C249" s="48" t="s">
        <v>841</v>
      </c>
      <c r="D249" s="117" t="s">
        <v>639</v>
      </c>
      <c r="E249" s="54"/>
      <c r="F249" s="54"/>
      <c r="G249" s="85"/>
      <c r="H249" s="91" t="s">
        <v>961</v>
      </c>
      <c r="I249" s="91" t="s">
        <v>552</v>
      </c>
      <c r="J249" s="86"/>
      <c r="K249" s="86" t="s">
        <v>547</v>
      </c>
      <c r="L249" s="86"/>
      <c r="M249" s="57"/>
    </row>
    <row r="251" spans="1:13">
      <c r="A251" s="63" t="s">
        <v>369</v>
      </c>
      <c r="B251" s="63" t="s">
        <v>962</v>
      </c>
      <c r="C251" s="13" t="s">
        <v>843</v>
      </c>
      <c r="D251" s="53" t="s">
        <v>543</v>
      </c>
      <c r="E251" s="53"/>
      <c r="F251" s="53">
        <v>1</v>
      </c>
      <c r="G251" s="82">
        <v>73.101399999999998</v>
      </c>
      <c r="H251" s="88" t="s">
        <v>844</v>
      </c>
      <c r="I251" s="88" t="s">
        <v>545</v>
      </c>
      <c r="J251" s="83" t="s">
        <v>546</v>
      </c>
      <c r="K251" s="83" t="s">
        <v>547</v>
      </c>
      <c r="L251" s="83" t="s">
        <v>546</v>
      </c>
      <c r="M251" s="55"/>
    </row>
    <row r="252" spans="1:13">
      <c r="A252" s="66"/>
      <c r="B252" s="66"/>
      <c r="C252" s="47" t="s">
        <v>845</v>
      </c>
      <c r="D252" t="s">
        <v>569</v>
      </c>
      <c r="F252"/>
      <c r="H252" s="3" t="s">
        <v>844</v>
      </c>
      <c r="I252" s="3" t="s">
        <v>545</v>
      </c>
      <c r="K252" s="15" t="s">
        <v>547</v>
      </c>
      <c r="M252" s="56"/>
    </row>
    <row r="253" spans="1:13">
      <c r="A253" s="66"/>
      <c r="B253" s="66"/>
      <c r="C253" s="47" t="s">
        <v>846</v>
      </c>
      <c r="D253" t="s">
        <v>543</v>
      </c>
      <c r="F253">
        <v>1</v>
      </c>
      <c r="G253" s="61">
        <v>71.224900000000005</v>
      </c>
      <c r="H253" s="3" t="s">
        <v>847</v>
      </c>
      <c r="I253" s="3" t="s">
        <v>552</v>
      </c>
      <c r="J253" s="15" t="s">
        <v>546</v>
      </c>
      <c r="K253" s="15" t="s">
        <v>547</v>
      </c>
      <c r="L253" s="15" t="s">
        <v>546</v>
      </c>
      <c r="M253" s="56"/>
    </row>
    <row r="254" spans="1:13">
      <c r="A254" s="66"/>
      <c r="B254" s="66"/>
      <c r="C254" s="47" t="s">
        <v>848</v>
      </c>
      <c r="D254" t="s">
        <v>569</v>
      </c>
      <c r="F254"/>
      <c r="H254" s="3" t="s">
        <v>847</v>
      </c>
      <c r="I254" s="3" t="s">
        <v>552</v>
      </c>
      <c r="K254" s="15" t="s">
        <v>547</v>
      </c>
      <c r="M254" s="56"/>
    </row>
    <row r="255" spans="1:13">
      <c r="A255" s="66"/>
      <c r="B255" s="66"/>
      <c r="C255" s="47" t="s">
        <v>849</v>
      </c>
      <c r="D255" t="s">
        <v>543</v>
      </c>
      <c r="F255">
        <v>1</v>
      </c>
      <c r="G255" s="61">
        <v>72.438599999999994</v>
      </c>
      <c r="H255" s="3" t="s">
        <v>850</v>
      </c>
      <c r="I255" s="3" t="s">
        <v>620</v>
      </c>
      <c r="J255" s="15" t="s">
        <v>546</v>
      </c>
      <c r="K255" s="15" t="s">
        <v>547</v>
      </c>
      <c r="L255" s="15" t="s">
        <v>546</v>
      </c>
      <c r="M255" s="56"/>
    </row>
    <row r="256" spans="1:13">
      <c r="A256" s="66"/>
      <c r="B256" s="66"/>
      <c r="C256" s="47" t="s">
        <v>851</v>
      </c>
      <c r="D256" t="s">
        <v>569</v>
      </c>
      <c r="F256"/>
      <c r="H256" s="3" t="s">
        <v>850</v>
      </c>
      <c r="I256" s="3" t="s">
        <v>620</v>
      </c>
      <c r="K256" s="15" t="s">
        <v>547</v>
      </c>
      <c r="M256" s="56"/>
    </row>
    <row r="257" spans="1:13">
      <c r="A257" s="66"/>
      <c r="B257" s="66"/>
      <c r="C257" s="47" t="s">
        <v>852</v>
      </c>
      <c r="D257" t="s">
        <v>632</v>
      </c>
      <c r="F257"/>
      <c r="H257" s="3"/>
      <c r="I257" s="3"/>
      <c r="M257" s="56"/>
    </row>
    <row r="258" spans="1:13">
      <c r="A258" s="66"/>
      <c r="B258" s="66"/>
      <c r="C258" s="47" t="s">
        <v>853</v>
      </c>
      <c r="D258" t="s">
        <v>543</v>
      </c>
      <c r="F258">
        <v>1</v>
      </c>
      <c r="G258" s="61">
        <v>71.872900000000001</v>
      </c>
      <c r="H258" s="3" t="s">
        <v>850</v>
      </c>
      <c r="I258" s="3" t="s">
        <v>552</v>
      </c>
      <c r="J258" s="15" t="s">
        <v>546</v>
      </c>
      <c r="K258" s="15" t="s">
        <v>547</v>
      </c>
      <c r="L258" s="15" t="s">
        <v>546</v>
      </c>
      <c r="M258" s="56"/>
    </row>
    <row r="259" spans="1:13">
      <c r="A259" s="66"/>
      <c r="B259" s="66"/>
      <c r="C259" s="47" t="s">
        <v>854</v>
      </c>
      <c r="D259" t="s">
        <v>569</v>
      </c>
      <c r="F259"/>
      <c r="H259" s="3" t="s">
        <v>850</v>
      </c>
      <c r="I259" s="3" t="s">
        <v>552</v>
      </c>
      <c r="K259" s="15" t="s">
        <v>547</v>
      </c>
      <c r="M259" s="56"/>
    </row>
    <row r="260" spans="1:13">
      <c r="A260" s="64"/>
      <c r="B260" s="64"/>
      <c r="C260" s="48" t="s">
        <v>855</v>
      </c>
      <c r="D260" s="54" t="s">
        <v>632</v>
      </c>
      <c r="E260" s="54"/>
      <c r="F260" s="54"/>
      <c r="G260" s="85"/>
      <c r="H260" s="91"/>
      <c r="I260" s="91"/>
      <c r="J260" s="86"/>
      <c r="K260" s="86"/>
      <c r="L260" s="86"/>
      <c r="M260" s="57"/>
    </row>
    <row r="261" spans="1:13">
      <c r="G261" s="61">
        <f>SUM(G251:G260)</f>
        <v>288.63780000000003</v>
      </c>
    </row>
    <row r="262" spans="1:13">
      <c r="A262" s="63" t="s">
        <v>360</v>
      </c>
      <c r="B262" s="63" t="s">
        <v>963</v>
      </c>
      <c r="C262" s="53" t="s">
        <v>964</v>
      </c>
      <c r="D262" s="53" t="s">
        <v>561</v>
      </c>
      <c r="E262" s="53"/>
      <c r="F262" s="53">
        <v>1</v>
      </c>
      <c r="G262" s="82">
        <v>199.934</v>
      </c>
      <c r="H262" s="88">
        <v>0</v>
      </c>
      <c r="I262" s="88" t="s">
        <v>965</v>
      </c>
      <c r="J262" s="83"/>
      <c r="K262" s="83" t="s">
        <v>547</v>
      </c>
      <c r="L262" s="83"/>
      <c r="M262" s="55" t="s">
        <v>547</v>
      </c>
    </row>
    <row r="263" spans="1:13">
      <c r="A263" s="52"/>
      <c r="B263" s="66"/>
      <c r="C263" t="s">
        <v>966</v>
      </c>
      <c r="F263"/>
      <c r="H263" s="3"/>
      <c r="I263" s="3"/>
      <c r="M263" s="56"/>
    </row>
    <row r="264" spans="1:13">
      <c r="A264" s="52"/>
      <c r="B264" s="66"/>
      <c r="C264" t="s">
        <v>967</v>
      </c>
      <c r="F264"/>
      <c r="H264" s="3"/>
      <c r="I264" s="3"/>
      <c r="M264" s="56"/>
    </row>
    <row r="265" spans="1:13">
      <c r="A265" s="52"/>
      <c r="B265" s="66"/>
      <c r="C265" t="s">
        <v>968</v>
      </c>
      <c r="D265" t="s">
        <v>561</v>
      </c>
      <c r="F265" s="1">
        <v>1</v>
      </c>
      <c r="G265" s="61">
        <v>92.910899999999998</v>
      </c>
      <c r="H265" s="3">
        <v>-0.1</v>
      </c>
      <c r="I265" s="3" t="s">
        <v>965</v>
      </c>
      <c r="K265" s="15" t="s">
        <v>547</v>
      </c>
      <c r="M265" s="56" t="s">
        <v>547</v>
      </c>
    </row>
    <row r="266" spans="1:13">
      <c r="A266" s="52"/>
      <c r="B266" s="66"/>
      <c r="C266" t="s">
        <v>969</v>
      </c>
      <c r="D266" t="s">
        <v>561</v>
      </c>
      <c r="F266" s="1">
        <v>1</v>
      </c>
      <c r="G266" s="61">
        <v>60.077300000000001</v>
      </c>
      <c r="H266" s="3" t="s">
        <v>965</v>
      </c>
      <c r="I266" s="3" t="s">
        <v>547</v>
      </c>
      <c r="K266" s="15" t="s">
        <v>547</v>
      </c>
      <c r="M266" s="56" t="s">
        <v>547</v>
      </c>
    </row>
    <row r="267" spans="1:13">
      <c r="A267" s="52"/>
      <c r="B267" s="66"/>
      <c r="C267" t="s">
        <v>970</v>
      </c>
      <c r="D267" t="s">
        <v>569</v>
      </c>
      <c r="F267"/>
      <c r="H267" s="3" t="s">
        <v>965</v>
      </c>
      <c r="I267" s="3" t="s">
        <v>545</v>
      </c>
      <c r="K267" s="15" t="s">
        <v>547</v>
      </c>
      <c r="M267" s="56"/>
    </row>
    <row r="268" spans="1:13">
      <c r="A268" s="52"/>
      <c r="B268" s="66"/>
      <c r="C268" t="s">
        <v>608</v>
      </c>
      <c r="D268" t="s">
        <v>569</v>
      </c>
      <c r="F268"/>
      <c r="H268" s="3" t="s">
        <v>609</v>
      </c>
      <c r="I268" s="3" t="s">
        <v>545</v>
      </c>
      <c r="K268" s="15" t="s">
        <v>547</v>
      </c>
      <c r="M268" s="56"/>
    </row>
    <row r="269" spans="1:13">
      <c r="A269" s="52"/>
      <c r="B269" s="66"/>
      <c r="C269" t="s">
        <v>971</v>
      </c>
      <c r="D269" t="s">
        <v>543</v>
      </c>
      <c r="F269" s="1">
        <v>2</v>
      </c>
      <c r="G269" s="61">
        <v>167.572</v>
      </c>
      <c r="H269" s="3" t="s">
        <v>972</v>
      </c>
      <c r="I269" s="3" t="s">
        <v>965</v>
      </c>
      <c r="J269" s="15" t="s">
        <v>546</v>
      </c>
      <c r="K269" s="15" t="s">
        <v>547</v>
      </c>
      <c r="L269" s="15" t="s">
        <v>546</v>
      </c>
      <c r="M269" s="56" t="s">
        <v>547</v>
      </c>
    </row>
    <row r="270" spans="1:13">
      <c r="A270" s="52"/>
      <c r="B270" s="66"/>
      <c r="C270" t="s">
        <v>973</v>
      </c>
      <c r="D270" t="s">
        <v>569</v>
      </c>
      <c r="F270"/>
      <c r="H270" s="3" t="s">
        <v>965</v>
      </c>
      <c r="I270" s="3" t="s">
        <v>965</v>
      </c>
      <c r="K270" s="15" t="s">
        <v>547</v>
      </c>
      <c r="M270" s="56"/>
    </row>
    <row r="271" spans="1:13">
      <c r="A271" s="52"/>
      <c r="B271" s="66"/>
      <c r="C271" t="s">
        <v>974</v>
      </c>
      <c r="D271" t="s">
        <v>569</v>
      </c>
      <c r="F271"/>
      <c r="H271" s="3" t="s">
        <v>609</v>
      </c>
      <c r="I271" s="3" t="s">
        <v>965</v>
      </c>
      <c r="K271" s="15" t="s">
        <v>547</v>
      </c>
      <c r="M271" s="56"/>
    </row>
    <row r="272" spans="1:13">
      <c r="A272" s="52"/>
      <c r="B272" s="66"/>
      <c r="C272" t="s">
        <v>975</v>
      </c>
      <c r="D272" t="s">
        <v>543</v>
      </c>
      <c r="F272" s="1">
        <v>2</v>
      </c>
      <c r="G272" s="61">
        <v>169.511</v>
      </c>
      <c r="H272" s="3" t="s">
        <v>976</v>
      </c>
      <c r="I272" s="3" t="s">
        <v>965</v>
      </c>
      <c r="J272" s="15" t="s">
        <v>546</v>
      </c>
      <c r="K272" s="15" t="s">
        <v>547</v>
      </c>
      <c r="L272" s="15" t="s">
        <v>546</v>
      </c>
      <c r="M272" s="56" t="s">
        <v>547</v>
      </c>
    </row>
    <row r="273" spans="1:13">
      <c r="A273" s="52"/>
      <c r="B273" s="66"/>
      <c r="C273" t="s">
        <v>977</v>
      </c>
      <c r="D273" t="s">
        <v>569</v>
      </c>
      <c r="F273"/>
      <c r="H273" s="3" t="s">
        <v>611</v>
      </c>
      <c r="I273" s="3" t="s">
        <v>965</v>
      </c>
      <c r="K273" s="15" t="s">
        <v>547</v>
      </c>
      <c r="M273" s="56"/>
    </row>
    <row r="274" spans="1:13">
      <c r="A274" s="52"/>
      <c r="B274" s="66"/>
      <c r="C274" t="s">
        <v>978</v>
      </c>
      <c r="D274" t="s">
        <v>569</v>
      </c>
      <c r="F274"/>
      <c r="H274" s="3" t="s">
        <v>576</v>
      </c>
      <c r="I274" s="3" t="s">
        <v>965</v>
      </c>
      <c r="K274" s="15" t="s">
        <v>547</v>
      </c>
      <c r="M274" s="56"/>
    </row>
    <row r="275" spans="1:13">
      <c r="A275" s="52"/>
      <c r="B275" s="66"/>
      <c r="C275" t="s">
        <v>979</v>
      </c>
      <c r="D275" t="s">
        <v>543</v>
      </c>
      <c r="F275" s="1">
        <v>2</v>
      </c>
      <c r="G275" s="61">
        <v>167.82900000000001</v>
      </c>
      <c r="H275" s="3" t="s">
        <v>972</v>
      </c>
      <c r="I275" s="3" t="s">
        <v>611</v>
      </c>
      <c r="J275" s="15" t="s">
        <v>546</v>
      </c>
      <c r="K275" s="15" t="s">
        <v>547</v>
      </c>
      <c r="L275" s="15" t="s">
        <v>546</v>
      </c>
      <c r="M275" s="56" t="s">
        <v>547</v>
      </c>
    </row>
    <row r="276" spans="1:13">
      <c r="A276" s="52"/>
      <c r="B276" s="66"/>
      <c r="C276" t="s">
        <v>980</v>
      </c>
      <c r="D276" t="s">
        <v>569</v>
      </c>
      <c r="F276"/>
      <c r="H276" s="3" t="s">
        <v>965</v>
      </c>
      <c r="I276" s="3" t="s">
        <v>611</v>
      </c>
      <c r="K276" s="15" t="s">
        <v>547</v>
      </c>
      <c r="M276" s="56"/>
    </row>
    <row r="277" spans="1:13">
      <c r="A277" s="52"/>
      <c r="B277" s="66"/>
      <c r="C277" t="s">
        <v>981</v>
      </c>
      <c r="D277" t="s">
        <v>569</v>
      </c>
      <c r="F277"/>
      <c r="H277" s="3" t="s">
        <v>609</v>
      </c>
      <c r="I277" s="3" t="s">
        <v>611</v>
      </c>
      <c r="K277" s="15" t="s">
        <v>547</v>
      </c>
      <c r="M277" s="56"/>
    </row>
    <row r="278" spans="1:13">
      <c r="A278" s="52"/>
      <c r="B278" s="66"/>
      <c r="C278" t="s">
        <v>982</v>
      </c>
      <c r="D278" t="s">
        <v>632</v>
      </c>
      <c r="F278"/>
      <c r="H278" s="3"/>
      <c r="I278" s="3"/>
      <c r="M278" s="56"/>
    </row>
    <row r="279" spans="1:13">
      <c r="A279" s="115"/>
      <c r="B279" s="64"/>
      <c r="C279" s="54" t="s">
        <v>983</v>
      </c>
      <c r="D279" s="54" t="s">
        <v>632</v>
      </c>
      <c r="E279" s="54"/>
      <c r="F279" s="54"/>
      <c r="G279" s="85"/>
      <c r="H279" s="91"/>
      <c r="I279" s="91"/>
      <c r="J279" s="86"/>
      <c r="K279" s="86"/>
      <c r="L279" s="86"/>
      <c r="M279" s="57"/>
    </row>
    <row r="281" spans="1:13">
      <c r="A281" s="63" t="s">
        <v>1783</v>
      </c>
      <c r="B281" s="63" t="s">
        <v>984</v>
      </c>
      <c r="C281" s="13" t="s">
        <v>985</v>
      </c>
      <c r="D281" s="53" t="s">
        <v>543</v>
      </c>
      <c r="E281" s="53"/>
      <c r="F281" s="53">
        <v>1</v>
      </c>
      <c r="G281" s="82">
        <v>73.101399999999998</v>
      </c>
      <c r="H281" s="88" t="s">
        <v>986</v>
      </c>
      <c r="I281" s="88" t="s">
        <v>545</v>
      </c>
      <c r="J281" s="83" t="s">
        <v>546</v>
      </c>
      <c r="K281" s="83" t="s">
        <v>547</v>
      </c>
      <c r="L281" s="83" t="s">
        <v>546</v>
      </c>
      <c r="M281" s="55" t="s">
        <v>547</v>
      </c>
    </row>
    <row r="282" spans="1:13">
      <c r="A282" s="66"/>
      <c r="B282" s="66"/>
      <c r="C282" s="47" t="s">
        <v>987</v>
      </c>
      <c r="D282" t="s">
        <v>569</v>
      </c>
      <c r="F282"/>
      <c r="H282" s="3" t="s">
        <v>986</v>
      </c>
      <c r="I282" s="3" t="s">
        <v>545</v>
      </c>
      <c r="K282" s="15" t="s">
        <v>547</v>
      </c>
      <c r="M282" s="56"/>
    </row>
    <row r="283" spans="1:13">
      <c r="A283" s="66"/>
      <c r="B283" s="66"/>
      <c r="C283" s="47" t="s">
        <v>988</v>
      </c>
      <c r="D283" t="s">
        <v>543</v>
      </c>
      <c r="F283">
        <v>1</v>
      </c>
      <c r="G283" s="61">
        <v>71.224900000000005</v>
      </c>
      <c r="H283" s="3" t="s">
        <v>989</v>
      </c>
      <c r="I283" s="3" t="s">
        <v>965</v>
      </c>
      <c r="J283" s="15" t="s">
        <v>546</v>
      </c>
      <c r="K283" s="15" t="s">
        <v>547</v>
      </c>
      <c r="L283" s="15" t="s">
        <v>546</v>
      </c>
      <c r="M283" s="56" t="s">
        <v>547</v>
      </c>
    </row>
    <row r="284" spans="1:13">
      <c r="A284" s="66"/>
      <c r="B284" s="66"/>
      <c r="C284" s="47" t="s">
        <v>990</v>
      </c>
      <c r="D284" t="s">
        <v>569</v>
      </c>
      <c r="F284"/>
      <c r="H284" s="3" t="s">
        <v>989</v>
      </c>
      <c r="I284" s="3" t="s">
        <v>965</v>
      </c>
      <c r="K284" s="15" t="s">
        <v>547</v>
      </c>
      <c r="M284" s="56"/>
    </row>
    <row r="285" spans="1:13">
      <c r="A285" s="66"/>
      <c r="B285" s="66"/>
      <c r="C285" s="47" t="s">
        <v>991</v>
      </c>
      <c r="D285" t="s">
        <v>543</v>
      </c>
      <c r="F285">
        <v>1</v>
      </c>
      <c r="G285" s="61">
        <v>72.438599999999994</v>
      </c>
      <c r="H285" s="3" t="s">
        <v>986</v>
      </c>
      <c r="I285" s="3" t="s">
        <v>611</v>
      </c>
      <c r="J285" s="15" t="s">
        <v>546</v>
      </c>
      <c r="K285" s="15" t="s">
        <v>547</v>
      </c>
      <c r="L285" s="15" t="s">
        <v>546</v>
      </c>
      <c r="M285" s="56" t="s">
        <v>547</v>
      </c>
    </row>
    <row r="286" spans="1:13">
      <c r="A286" s="66"/>
      <c r="B286" s="66"/>
      <c r="C286" s="47" t="s">
        <v>992</v>
      </c>
      <c r="D286" t="s">
        <v>569</v>
      </c>
      <c r="F286"/>
      <c r="H286" s="3" t="s">
        <v>986</v>
      </c>
      <c r="I286" s="3" t="s">
        <v>611</v>
      </c>
      <c r="K286" s="15" t="s">
        <v>547</v>
      </c>
      <c r="M286" s="56"/>
    </row>
    <row r="287" spans="1:13">
      <c r="A287" s="66"/>
      <c r="B287" s="66"/>
      <c r="C287" s="47" t="s">
        <v>993</v>
      </c>
      <c r="D287" t="s">
        <v>632</v>
      </c>
      <c r="F287"/>
      <c r="H287" s="3"/>
      <c r="I287" s="3"/>
      <c r="M287" s="56"/>
    </row>
    <row r="288" spans="1:13">
      <c r="A288" s="66"/>
      <c r="B288" s="66"/>
      <c r="C288" s="47" t="s">
        <v>994</v>
      </c>
      <c r="D288" t="s">
        <v>543</v>
      </c>
      <c r="F288">
        <v>1</v>
      </c>
      <c r="G288" s="61">
        <v>71.872900000000001</v>
      </c>
      <c r="H288" s="3" t="s">
        <v>986</v>
      </c>
      <c r="I288" s="3" t="s">
        <v>965</v>
      </c>
      <c r="J288" s="15" t="s">
        <v>546</v>
      </c>
      <c r="K288" s="15" t="s">
        <v>547</v>
      </c>
      <c r="L288" s="15" t="s">
        <v>546</v>
      </c>
      <c r="M288" s="56" t="s">
        <v>547</v>
      </c>
    </row>
    <row r="289" spans="1:13">
      <c r="A289" s="64"/>
      <c r="B289" s="64"/>
      <c r="C289" s="48" t="s">
        <v>995</v>
      </c>
      <c r="D289" s="54" t="s">
        <v>569</v>
      </c>
      <c r="E289" s="54"/>
      <c r="F289" s="54"/>
      <c r="G289" s="85"/>
      <c r="H289" s="91" t="s">
        <v>986</v>
      </c>
      <c r="I289" s="91" t="s">
        <v>965</v>
      </c>
      <c r="J289" s="86"/>
      <c r="K289" s="86" t="s">
        <v>547</v>
      </c>
      <c r="L289" s="86"/>
      <c r="M289" s="57"/>
    </row>
    <row r="290" spans="1:13">
      <c r="G290" s="61">
        <f>SUM(G281:G289)</f>
        <v>288.63780000000003</v>
      </c>
    </row>
    <row r="291" spans="1:13">
      <c r="A291" s="63" t="s">
        <v>360</v>
      </c>
      <c r="B291" s="63" t="s">
        <v>367</v>
      </c>
      <c r="C291" s="53" t="s">
        <v>856</v>
      </c>
      <c r="D291" s="53" t="s">
        <v>561</v>
      </c>
      <c r="E291" s="53"/>
      <c r="F291" s="53">
        <v>1</v>
      </c>
      <c r="G291" s="82">
        <v>199.934</v>
      </c>
      <c r="H291" s="88">
        <v>0</v>
      </c>
      <c r="I291" s="88" t="s">
        <v>554</v>
      </c>
      <c r="J291" s="83"/>
      <c r="K291" s="83" t="s">
        <v>547</v>
      </c>
      <c r="L291" s="83"/>
      <c r="M291" s="55" t="s">
        <v>547</v>
      </c>
    </row>
    <row r="292" spans="1:13">
      <c r="A292" s="66"/>
      <c r="B292" s="66"/>
      <c r="C292" t="s">
        <v>857</v>
      </c>
      <c r="F292"/>
      <c r="H292" s="3"/>
      <c r="I292" s="3"/>
      <c r="M292" s="56"/>
    </row>
    <row r="293" spans="1:13">
      <c r="A293" s="66"/>
      <c r="B293" s="66"/>
      <c r="C293" t="s">
        <v>858</v>
      </c>
      <c r="F293"/>
      <c r="H293" s="3"/>
      <c r="I293" s="3"/>
      <c r="M293" s="56"/>
    </row>
    <row r="294" spans="1:13">
      <c r="A294" s="66"/>
      <c r="B294" s="66"/>
      <c r="C294" t="s">
        <v>859</v>
      </c>
      <c r="D294" t="s">
        <v>561</v>
      </c>
      <c r="F294" s="1">
        <v>1</v>
      </c>
      <c r="G294" s="61">
        <v>92.910899999999998</v>
      </c>
      <c r="H294" s="3">
        <v>-0.1</v>
      </c>
      <c r="I294" s="3" t="s">
        <v>554</v>
      </c>
      <c r="K294" s="15" t="s">
        <v>547</v>
      </c>
      <c r="M294" s="56" t="s">
        <v>547</v>
      </c>
    </row>
    <row r="295" spans="1:13">
      <c r="A295" s="66"/>
      <c r="B295" s="66"/>
      <c r="C295" t="s">
        <v>860</v>
      </c>
      <c r="D295" t="s">
        <v>561</v>
      </c>
      <c r="F295" s="1">
        <v>1</v>
      </c>
      <c r="G295" s="61">
        <v>60.077300000000001</v>
      </c>
      <c r="H295" s="3" t="s">
        <v>554</v>
      </c>
      <c r="I295" s="3" t="s">
        <v>547</v>
      </c>
      <c r="K295" s="15" t="s">
        <v>547</v>
      </c>
      <c r="M295" s="56" t="s">
        <v>547</v>
      </c>
    </row>
    <row r="296" spans="1:13">
      <c r="A296" s="66"/>
      <c r="B296" s="66"/>
      <c r="C296" t="s">
        <v>579</v>
      </c>
      <c r="D296" t="s">
        <v>569</v>
      </c>
      <c r="F296"/>
      <c r="H296" s="3" t="s">
        <v>554</v>
      </c>
      <c r="I296" s="3" t="s">
        <v>545</v>
      </c>
      <c r="K296" s="15" t="s">
        <v>547</v>
      </c>
      <c r="M296" s="56"/>
    </row>
    <row r="297" spans="1:13">
      <c r="A297" s="66"/>
      <c r="B297" s="66"/>
      <c r="C297" t="s">
        <v>863</v>
      </c>
      <c r="D297" t="s">
        <v>569</v>
      </c>
      <c r="F297"/>
      <c r="H297" s="3" t="s">
        <v>864</v>
      </c>
      <c r="I297" s="3" t="s">
        <v>545</v>
      </c>
      <c r="K297" s="15" t="s">
        <v>547</v>
      </c>
      <c r="M297" s="56"/>
    </row>
    <row r="298" spans="1:13">
      <c r="A298" s="66"/>
      <c r="B298" s="66"/>
      <c r="C298" t="s">
        <v>865</v>
      </c>
      <c r="D298" t="s">
        <v>543</v>
      </c>
      <c r="F298" s="1">
        <f>1.5/0.05+1</f>
        <v>31</v>
      </c>
      <c r="G298" s="61">
        <f>31.5*F298+44</f>
        <v>1020.5</v>
      </c>
      <c r="H298" s="3" t="s">
        <v>916</v>
      </c>
      <c r="I298" s="3" t="s">
        <v>554</v>
      </c>
      <c r="J298" s="15" t="s">
        <v>546</v>
      </c>
      <c r="K298" s="15" t="s">
        <v>547</v>
      </c>
      <c r="L298" s="15" t="s">
        <v>546</v>
      </c>
      <c r="M298" s="56" t="s">
        <v>547</v>
      </c>
    </row>
    <row r="299" spans="1:13">
      <c r="A299" s="66"/>
      <c r="B299" s="66"/>
      <c r="C299" t="s">
        <v>867</v>
      </c>
      <c r="D299" t="s">
        <v>569</v>
      </c>
      <c r="F299"/>
      <c r="H299" s="3">
        <v>1.1000000000000001</v>
      </c>
      <c r="I299" s="3" t="s">
        <v>554</v>
      </c>
      <c r="K299" s="15" t="s">
        <v>547</v>
      </c>
      <c r="M299" s="56"/>
    </row>
    <row r="300" spans="1:13">
      <c r="A300" s="66"/>
      <c r="B300" s="66"/>
      <c r="C300" t="s">
        <v>868</v>
      </c>
      <c r="D300" t="s">
        <v>569</v>
      </c>
      <c r="F300"/>
      <c r="H300" s="3">
        <v>1</v>
      </c>
      <c r="I300" s="3" t="s">
        <v>554</v>
      </c>
      <c r="K300" s="15" t="s">
        <v>547</v>
      </c>
      <c r="M300" s="56"/>
    </row>
    <row r="301" spans="1:13">
      <c r="A301" s="66"/>
      <c r="B301" s="66"/>
      <c r="C301" t="s">
        <v>871</v>
      </c>
      <c r="D301" t="s">
        <v>569</v>
      </c>
      <c r="F301"/>
      <c r="H301" s="3">
        <v>0.65</v>
      </c>
      <c r="I301" s="3" t="s">
        <v>554</v>
      </c>
      <c r="K301" s="15" t="s">
        <v>547</v>
      </c>
      <c r="M301" s="56"/>
    </row>
    <row r="302" spans="1:13">
      <c r="A302" s="66"/>
      <c r="B302" s="66"/>
      <c r="C302" t="s">
        <v>872</v>
      </c>
      <c r="D302" t="s">
        <v>569</v>
      </c>
      <c r="F302"/>
      <c r="H302" s="3">
        <v>0.55000000000000004</v>
      </c>
      <c r="I302" s="3" t="s">
        <v>554</v>
      </c>
      <c r="K302" s="15" t="s">
        <v>547</v>
      </c>
      <c r="M302" s="56"/>
    </row>
    <row r="303" spans="1:13">
      <c r="A303" s="66"/>
      <c r="B303" s="66"/>
      <c r="C303" t="s">
        <v>873</v>
      </c>
      <c r="D303" t="s">
        <v>543</v>
      </c>
      <c r="F303" s="1">
        <v>2</v>
      </c>
      <c r="G303" s="61">
        <v>167.82900000000001</v>
      </c>
      <c r="H303" s="3" t="s">
        <v>866</v>
      </c>
      <c r="I303" s="3" t="s">
        <v>552</v>
      </c>
      <c r="J303" s="15" t="s">
        <v>546</v>
      </c>
      <c r="K303" s="15" t="s">
        <v>547</v>
      </c>
      <c r="L303" s="15" t="s">
        <v>546</v>
      </c>
      <c r="M303" s="56" t="s">
        <v>547</v>
      </c>
    </row>
    <row r="304" spans="1:13">
      <c r="A304" s="66"/>
      <c r="B304" s="66"/>
      <c r="C304" t="s">
        <v>874</v>
      </c>
      <c r="D304" t="s">
        <v>569</v>
      </c>
      <c r="F304"/>
      <c r="H304" s="3">
        <v>1.1000000000000001</v>
      </c>
      <c r="I304" s="3" t="s">
        <v>552</v>
      </c>
      <c r="K304" s="15" t="s">
        <v>547</v>
      </c>
      <c r="M304" s="56"/>
    </row>
    <row r="305" spans="1:13">
      <c r="A305" s="66"/>
      <c r="B305" s="66"/>
      <c r="C305" t="s">
        <v>875</v>
      </c>
      <c r="D305" t="s">
        <v>569</v>
      </c>
      <c r="F305"/>
      <c r="H305" s="3">
        <v>1</v>
      </c>
      <c r="I305" s="3" t="s">
        <v>552</v>
      </c>
      <c r="K305" s="15" t="s">
        <v>547</v>
      </c>
      <c r="M305" s="56"/>
    </row>
    <row r="306" spans="1:13">
      <c r="A306" s="66"/>
      <c r="B306" s="66"/>
      <c r="C306" t="s">
        <v>876</v>
      </c>
      <c r="D306" t="s">
        <v>632</v>
      </c>
      <c r="F306"/>
      <c r="H306" s="3"/>
      <c r="I306" s="3"/>
      <c r="M306" s="56"/>
    </row>
    <row r="307" spans="1:13">
      <c r="A307" s="66"/>
      <c r="B307" s="66"/>
      <c r="C307" t="s">
        <v>877</v>
      </c>
      <c r="D307" t="s">
        <v>632</v>
      </c>
      <c r="F307"/>
      <c r="H307" s="3"/>
      <c r="I307" s="3"/>
      <c r="M307" s="56"/>
    </row>
    <row r="308" spans="1:13">
      <c r="A308" s="66"/>
      <c r="B308" s="66"/>
      <c r="C308" t="s">
        <v>996</v>
      </c>
      <c r="D308" t="s">
        <v>639</v>
      </c>
      <c r="F308"/>
      <c r="H308" s="3" t="s">
        <v>918</v>
      </c>
      <c r="I308" s="3" t="s">
        <v>554</v>
      </c>
      <c r="K308" s="15" t="s">
        <v>547</v>
      </c>
      <c r="M308" s="56"/>
    </row>
    <row r="309" spans="1:13">
      <c r="A309" s="66"/>
      <c r="B309" s="66"/>
      <c r="C309" t="s">
        <v>997</v>
      </c>
      <c r="D309" t="s">
        <v>543</v>
      </c>
      <c r="F309">
        <v>11</v>
      </c>
      <c r="G309" s="61">
        <f>31.5*F309+44</f>
        <v>390.5</v>
      </c>
      <c r="H309" s="3" t="s">
        <v>941</v>
      </c>
      <c r="I309" s="3" t="s">
        <v>554</v>
      </c>
      <c r="J309" s="15" t="s">
        <v>546</v>
      </c>
      <c r="K309" s="15" t="s">
        <v>547</v>
      </c>
      <c r="L309" s="15" t="s">
        <v>546</v>
      </c>
      <c r="M309" s="56" t="s">
        <v>547</v>
      </c>
    </row>
    <row r="310" spans="1:13">
      <c r="A310" s="66"/>
      <c r="B310" s="66"/>
      <c r="C310" t="s">
        <v>879</v>
      </c>
      <c r="D310" t="s">
        <v>639</v>
      </c>
      <c r="F310"/>
      <c r="H310" s="3" t="s">
        <v>941</v>
      </c>
      <c r="I310" s="3" t="s">
        <v>554</v>
      </c>
      <c r="K310" s="15" t="s">
        <v>547</v>
      </c>
      <c r="M310" s="56"/>
    </row>
    <row r="311" spans="1:13">
      <c r="A311" s="66"/>
      <c r="B311" s="66"/>
      <c r="C311" t="s">
        <v>998</v>
      </c>
      <c r="D311" t="s">
        <v>639</v>
      </c>
      <c r="F311"/>
      <c r="H311" s="3" t="s">
        <v>918</v>
      </c>
      <c r="I311" s="3" t="s">
        <v>554</v>
      </c>
      <c r="K311" s="15" t="s">
        <v>547</v>
      </c>
      <c r="M311" s="56"/>
    </row>
    <row r="312" spans="1:13">
      <c r="A312" s="66"/>
      <c r="B312" s="66"/>
      <c r="C312" t="s">
        <v>999</v>
      </c>
      <c r="D312" t="s">
        <v>543</v>
      </c>
      <c r="F312">
        <v>11</v>
      </c>
      <c r="G312" s="61">
        <f>31.5*F312+44</f>
        <v>390.5</v>
      </c>
      <c r="H312" s="3" t="s">
        <v>920</v>
      </c>
      <c r="I312" s="3" t="s">
        <v>554</v>
      </c>
      <c r="K312" s="15" t="s">
        <v>547</v>
      </c>
      <c r="M312" s="56"/>
    </row>
    <row r="313" spans="1:13">
      <c r="A313" s="66"/>
      <c r="B313" s="66"/>
      <c r="C313" t="s">
        <v>881</v>
      </c>
      <c r="D313" t="s">
        <v>639</v>
      </c>
      <c r="F313"/>
      <c r="H313" s="3" t="s">
        <v>920</v>
      </c>
      <c r="I313" s="3" t="s">
        <v>554</v>
      </c>
      <c r="K313" s="15" t="s">
        <v>547</v>
      </c>
      <c r="M313" s="56"/>
    </row>
    <row r="314" spans="1:13">
      <c r="A314" s="66"/>
      <c r="B314" s="66"/>
      <c r="C314" t="s">
        <v>1000</v>
      </c>
      <c r="D314" t="s">
        <v>639</v>
      </c>
      <c r="F314"/>
      <c r="H314" s="3" t="s">
        <v>918</v>
      </c>
      <c r="I314" s="3" t="s">
        <v>554</v>
      </c>
      <c r="K314" s="15" t="s">
        <v>547</v>
      </c>
      <c r="M314" s="56"/>
    </row>
    <row r="315" spans="1:13">
      <c r="A315" s="66"/>
      <c r="B315" s="66"/>
      <c r="C315" t="s">
        <v>1001</v>
      </c>
      <c r="D315" t="s">
        <v>543</v>
      </c>
      <c r="F315">
        <v>11</v>
      </c>
      <c r="G315" s="61">
        <f>31.5*F315+44</f>
        <v>390.5</v>
      </c>
      <c r="H315" s="3" t="s">
        <v>920</v>
      </c>
      <c r="I315" s="3" t="s">
        <v>554</v>
      </c>
      <c r="K315" s="15" t="s">
        <v>547</v>
      </c>
      <c r="M315" s="56"/>
    </row>
    <row r="316" spans="1:13">
      <c r="A316" s="66"/>
      <c r="B316" s="66"/>
      <c r="C316" t="s">
        <v>880</v>
      </c>
      <c r="D316" t="s">
        <v>639</v>
      </c>
      <c r="F316"/>
      <c r="H316" s="3" t="s">
        <v>920</v>
      </c>
      <c r="I316" s="3" t="s">
        <v>554</v>
      </c>
      <c r="K316" s="15" t="s">
        <v>547</v>
      </c>
      <c r="M316" s="56"/>
    </row>
    <row r="317" spans="1:13">
      <c r="A317" s="66"/>
      <c r="B317" s="66"/>
      <c r="C317" t="s">
        <v>882</v>
      </c>
      <c r="D317" t="s">
        <v>632</v>
      </c>
      <c r="F317"/>
      <c r="H317" s="3"/>
      <c r="I317" s="3"/>
      <c r="M317" s="56"/>
    </row>
    <row r="318" spans="1:13">
      <c r="A318" s="66"/>
      <c r="B318" s="66"/>
      <c r="C318" t="s">
        <v>883</v>
      </c>
      <c r="D318" t="s">
        <v>632</v>
      </c>
      <c r="F318"/>
      <c r="H318" s="3"/>
      <c r="I318" s="3"/>
      <c r="M318" s="56"/>
    </row>
    <row r="319" spans="1:13">
      <c r="A319" s="66"/>
      <c r="B319" s="66"/>
      <c r="C319" t="s">
        <v>884</v>
      </c>
      <c r="D319" t="s">
        <v>632</v>
      </c>
      <c r="F319"/>
      <c r="H319" s="3"/>
      <c r="I319" s="3"/>
      <c r="M319" s="56"/>
    </row>
    <row r="320" spans="1:13">
      <c r="A320" s="66"/>
      <c r="B320" s="66"/>
      <c r="C320" t="s">
        <v>1002</v>
      </c>
      <c r="D320" t="s">
        <v>569</v>
      </c>
      <c r="F320"/>
      <c r="H320" s="3" t="s">
        <v>924</v>
      </c>
      <c r="I320" s="3" t="s">
        <v>554</v>
      </c>
      <c r="K320" s="15" t="s">
        <v>547</v>
      </c>
      <c r="M320" s="56"/>
    </row>
    <row r="321" spans="1:13">
      <c r="A321" s="66"/>
      <c r="B321" s="66"/>
      <c r="C321" t="s">
        <v>1003</v>
      </c>
      <c r="D321" t="s">
        <v>569</v>
      </c>
      <c r="F321"/>
      <c r="H321" s="3" t="s">
        <v>926</v>
      </c>
      <c r="I321" s="3" t="s">
        <v>554</v>
      </c>
      <c r="K321" s="15" t="s">
        <v>547</v>
      </c>
      <c r="M321" s="56"/>
    </row>
    <row r="322" spans="1:13">
      <c r="A322" s="66"/>
      <c r="B322" s="66"/>
      <c r="C322" t="s">
        <v>1004</v>
      </c>
      <c r="D322" t="s">
        <v>569</v>
      </c>
      <c r="F322"/>
      <c r="H322" s="3" t="s">
        <v>928</v>
      </c>
      <c r="I322" s="3" t="s">
        <v>554</v>
      </c>
      <c r="K322" s="15" t="s">
        <v>547</v>
      </c>
      <c r="M322" s="56"/>
    </row>
    <row r="323" spans="1:13">
      <c r="A323" s="66"/>
      <c r="B323" s="66"/>
      <c r="C323" t="s">
        <v>1005</v>
      </c>
      <c r="D323" t="s">
        <v>569</v>
      </c>
      <c r="F323"/>
      <c r="H323" s="3" t="s">
        <v>930</v>
      </c>
      <c r="I323" s="3" t="s">
        <v>554</v>
      </c>
      <c r="K323" s="15" t="s">
        <v>547</v>
      </c>
      <c r="M323" s="56"/>
    </row>
    <row r="324" spans="1:13">
      <c r="A324" s="66"/>
      <c r="B324" s="66"/>
      <c r="C324" t="s">
        <v>1006</v>
      </c>
      <c r="D324" t="s">
        <v>569</v>
      </c>
      <c r="F324"/>
      <c r="H324" s="3" t="s">
        <v>932</v>
      </c>
      <c r="I324" s="3" t="s">
        <v>554</v>
      </c>
      <c r="K324" s="15" t="s">
        <v>547</v>
      </c>
      <c r="M324" s="56"/>
    </row>
    <row r="325" spans="1:13">
      <c r="A325" s="66"/>
      <c r="B325" s="66"/>
      <c r="C325" t="s">
        <v>1007</v>
      </c>
      <c r="D325" t="s">
        <v>632</v>
      </c>
      <c r="F325"/>
      <c r="H325" s="3"/>
      <c r="I325" s="3"/>
      <c r="M325" s="56"/>
    </row>
    <row r="326" spans="1:13">
      <c r="A326" s="66"/>
      <c r="B326" s="66"/>
      <c r="C326" t="s">
        <v>1008</v>
      </c>
      <c r="D326" t="s">
        <v>632</v>
      </c>
      <c r="F326"/>
      <c r="H326" s="3"/>
      <c r="I326" s="3"/>
      <c r="M326" s="56"/>
    </row>
    <row r="327" spans="1:13">
      <c r="A327" s="66"/>
      <c r="B327" s="66"/>
      <c r="C327" t="s">
        <v>1009</v>
      </c>
      <c r="D327" t="s">
        <v>632</v>
      </c>
      <c r="F327"/>
      <c r="H327" s="3"/>
      <c r="I327" s="3"/>
      <c r="M327" s="56"/>
    </row>
    <row r="328" spans="1:13">
      <c r="A328" s="66"/>
      <c r="B328" s="66"/>
      <c r="C328" t="s">
        <v>1010</v>
      </c>
      <c r="D328" t="s">
        <v>585</v>
      </c>
      <c r="F328"/>
      <c r="H328" s="3" t="s">
        <v>916</v>
      </c>
      <c r="I328" s="3" t="s">
        <v>554</v>
      </c>
      <c r="K328" s="15" t="s">
        <v>547</v>
      </c>
      <c r="M328" s="56"/>
    </row>
    <row r="329" spans="1:13">
      <c r="A329" s="64"/>
      <c r="B329" s="64"/>
      <c r="C329" s="54" t="s">
        <v>1011</v>
      </c>
      <c r="D329" s="54"/>
      <c r="E329" s="54"/>
      <c r="F329" s="54"/>
      <c r="G329" s="85"/>
      <c r="H329" s="91"/>
      <c r="I329" s="91"/>
      <c r="J329" s="86"/>
      <c r="K329" s="86"/>
      <c r="L329" s="86"/>
      <c r="M329" s="57"/>
    </row>
    <row r="330" spans="1:13">
      <c r="G330" s="61">
        <f>SUM(G291:G329)</f>
        <v>2712.7511999999997</v>
      </c>
    </row>
    <row r="331" spans="1:13">
      <c r="A331" s="306" t="s">
        <v>360</v>
      </c>
      <c r="B331" s="278" t="s">
        <v>1012</v>
      </c>
      <c r="C331" s="53" t="s">
        <v>729</v>
      </c>
      <c r="D331" s="53" t="s">
        <v>543</v>
      </c>
      <c r="E331" s="53"/>
      <c r="F331" s="81">
        <v>2</v>
      </c>
      <c r="G331" s="82">
        <v>102.636</v>
      </c>
      <c r="H331" s="88" t="s">
        <v>722</v>
      </c>
      <c r="I331" s="88" t="s">
        <v>554</v>
      </c>
      <c r="J331" s="83" t="s">
        <v>546</v>
      </c>
      <c r="K331" s="83" t="s">
        <v>547</v>
      </c>
      <c r="L331" s="83" t="s">
        <v>546</v>
      </c>
      <c r="M331" s="55" t="s">
        <v>547</v>
      </c>
    </row>
    <row r="332" spans="1:13">
      <c r="A332" s="310"/>
      <c r="B332" s="279"/>
      <c r="C332" t="s">
        <v>730</v>
      </c>
      <c r="D332" t="s">
        <v>543</v>
      </c>
      <c r="F332" s="1">
        <v>1</v>
      </c>
      <c r="G332" s="61">
        <v>74.065200000000004</v>
      </c>
      <c r="H332" s="3" t="s">
        <v>718</v>
      </c>
      <c r="I332" s="3" t="s">
        <v>554</v>
      </c>
      <c r="J332" s="15" t="s">
        <v>546</v>
      </c>
      <c r="K332" s="15" t="s">
        <v>547</v>
      </c>
      <c r="L332" s="15" t="s">
        <v>546</v>
      </c>
      <c r="M332" s="56" t="s">
        <v>547</v>
      </c>
    </row>
    <row r="333" spans="1:13">
      <c r="A333" s="310"/>
      <c r="B333" s="279"/>
      <c r="C333" t="s">
        <v>731</v>
      </c>
      <c r="D333" t="s">
        <v>569</v>
      </c>
      <c r="F333"/>
      <c r="H333" s="3" t="s">
        <v>725</v>
      </c>
      <c r="I333" s="3" t="s">
        <v>554</v>
      </c>
      <c r="M333" s="56"/>
    </row>
    <row r="334" spans="1:13">
      <c r="A334" s="310"/>
      <c r="B334" s="279"/>
      <c r="C334" t="s">
        <v>732</v>
      </c>
      <c r="D334" t="s">
        <v>569</v>
      </c>
      <c r="F334"/>
      <c r="H334" s="3" t="s">
        <v>727</v>
      </c>
      <c r="I334" s="3" t="s">
        <v>554</v>
      </c>
      <c r="M334" s="56"/>
    </row>
    <row r="335" spans="1:13" s="54" customFormat="1">
      <c r="A335" s="310"/>
      <c r="B335" s="279"/>
      <c r="C335" s="54" t="s">
        <v>733</v>
      </c>
      <c r="D335" s="54" t="s">
        <v>569</v>
      </c>
      <c r="G335" s="85"/>
      <c r="H335" s="91" t="s">
        <v>718</v>
      </c>
      <c r="I335" s="91" t="s">
        <v>554</v>
      </c>
      <c r="J335" s="86"/>
      <c r="K335" s="86"/>
      <c r="L335" s="86"/>
      <c r="M335" s="57"/>
    </row>
    <row r="336" spans="1:13">
      <c r="A336" s="310"/>
      <c r="B336" s="279"/>
      <c r="C336" s="53" t="s">
        <v>885</v>
      </c>
      <c r="D336" s="53" t="s">
        <v>543</v>
      </c>
      <c r="E336" s="53"/>
      <c r="F336" s="81">
        <v>2</v>
      </c>
      <c r="G336" s="82">
        <v>103.395</v>
      </c>
      <c r="H336" s="88" t="s">
        <v>886</v>
      </c>
      <c r="I336" s="88" t="s">
        <v>554</v>
      </c>
      <c r="J336" s="83" t="s">
        <v>546</v>
      </c>
      <c r="K336" s="83" t="s">
        <v>547</v>
      </c>
      <c r="L336" s="83" t="s">
        <v>546</v>
      </c>
      <c r="M336" s="55" t="s">
        <v>547</v>
      </c>
    </row>
    <row r="337" spans="1:13">
      <c r="A337" s="310"/>
      <c r="B337" s="279"/>
      <c r="C337" t="s">
        <v>887</v>
      </c>
      <c r="D337" t="s">
        <v>543</v>
      </c>
      <c r="F337" s="1">
        <v>2</v>
      </c>
      <c r="G337" s="61">
        <v>105.57</v>
      </c>
      <c r="H337" s="3" t="s">
        <v>888</v>
      </c>
      <c r="I337" s="3" t="s">
        <v>554</v>
      </c>
      <c r="J337" s="15" t="s">
        <v>546</v>
      </c>
      <c r="K337" s="15" t="s">
        <v>547</v>
      </c>
      <c r="L337" s="15" t="s">
        <v>546</v>
      </c>
      <c r="M337" s="56" t="s">
        <v>547</v>
      </c>
    </row>
    <row r="338" spans="1:13">
      <c r="A338" s="310"/>
      <c r="B338" s="279"/>
      <c r="C338" t="s">
        <v>889</v>
      </c>
      <c r="D338" t="s">
        <v>569</v>
      </c>
      <c r="F338"/>
      <c r="H338" s="3" t="s">
        <v>890</v>
      </c>
      <c r="I338" s="3" t="s">
        <v>554</v>
      </c>
      <c r="K338" s="15" t="s">
        <v>547</v>
      </c>
      <c r="M338" s="56"/>
    </row>
    <row r="339" spans="1:13">
      <c r="A339" s="310"/>
      <c r="B339" s="279"/>
      <c r="C339" t="s">
        <v>891</v>
      </c>
      <c r="D339" t="s">
        <v>569</v>
      </c>
      <c r="F339"/>
      <c r="H339" s="3" t="s">
        <v>892</v>
      </c>
      <c r="I339" s="3" t="s">
        <v>554</v>
      </c>
      <c r="K339" s="15" t="s">
        <v>547</v>
      </c>
      <c r="M339" s="56"/>
    </row>
    <row r="340" spans="1:13">
      <c r="A340" s="310"/>
      <c r="B340" s="279"/>
      <c r="C340" t="s">
        <v>893</v>
      </c>
      <c r="D340" t="s">
        <v>569</v>
      </c>
      <c r="F340"/>
      <c r="H340" s="3" t="s">
        <v>894</v>
      </c>
      <c r="I340" s="3" t="s">
        <v>554</v>
      </c>
      <c r="K340" s="15" t="s">
        <v>547</v>
      </c>
      <c r="M340" s="56"/>
    </row>
    <row r="341" spans="1:13">
      <c r="A341" s="307"/>
      <c r="B341" s="280"/>
      <c r="C341" s="54" t="s">
        <v>895</v>
      </c>
      <c r="D341" s="54" t="s">
        <v>569</v>
      </c>
      <c r="E341" s="54"/>
      <c r="F341" s="54"/>
      <c r="G341" s="85"/>
      <c r="H341" s="91" t="s">
        <v>896</v>
      </c>
      <c r="I341" s="91" t="s">
        <v>554</v>
      </c>
      <c r="J341" s="86"/>
      <c r="K341" s="86" t="s">
        <v>547</v>
      </c>
      <c r="L341" s="86"/>
      <c r="M341" s="57"/>
    </row>
    <row r="343" spans="1:13">
      <c r="A343" s="63" t="s">
        <v>370</v>
      </c>
      <c r="B343" s="63" t="s">
        <v>370</v>
      </c>
      <c r="C343" s="13" t="s">
        <v>900</v>
      </c>
      <c r="D343" s="53" t="s">
        <v>543</v>
      </c>
      <c r="E343" s="53"/>
      <c r="F343" s="53">
        <v>1</v>
      </c>
      <c r="G343" s="82">
        <v>73.277100000000004</v>
      </c>
      <c r="H343" s="88" t="s">
        <v>901</v>
      </c>
      <c r="I343" s="88" t="s">
        <v>545</v>
      </c>
      <c r="J343" s="83" t="s">
        <v>546</v>
      </c>
      <c r="K343" s="83" t="s">
        <v>547</v>
      </c>
      <c r="L343" s="83" t="s">
        <v>546</v>
      </c>
      <c r="M343" s="55" t="s">
        <v>547</v>
      </c>
    </row>
    <row r="344" spans="1:13">
      <c r="A344" s="66"/>
      <c r="B344" s="66"/>
      <c r="C344" s="47" t="s">
        <v>902</v>
      </c>
      <c r="D344" t="s">
        <v>569</v>
      </c>
      <c r="F344"/>
      <c r="H344" s="3" t="s">
        <v>901</v>
      </c>
      <c r="I344" s="3" t="s">
        <v>545</v>
      </c>
      <c r="K344" s="15" t="s">
        <v>547</v>
      </c>
      <c r="M344" s="56"/>
    </row>
    <row r="345" spans="1:13">
      <c r="A345" s="66"/>
      <c r="B345" s="66"/>
      <c r="C345" s="47" t="s">
        <v>903</v>
      </c>
      <c r="D345" t="s">
        <v>543</v>
      </c>
      <c r="F345">
        <v>1</v>
      </c>
      <c r="G345" s="61">
        <v>71.831599999999995</v>
      </c>
      <c r="H345" s="3" t="s">
        <v>850</v>
      </c>
      <c r="I345" s="3" t="s">
        <v>554</v>
      </c>
      <c r="J345" s="15" t="s">
        <v>546</v>
      </c>
      <c r="K345" s="15" t="s">
        <v>547</v>
      </c>
      <c r="L345" s="15" t="s">
        <v>546</v>
      </c>
      <c r="M345" s="56" t="s">
        <v>547</v>
      </c>
    </row>
    <row r="346" spans="1:13">
      <c r="A346" s="66"/>
      <c r="B346" s="66"/>
      <c r="C346" s="47" t="s">
        <v>904</v>
      </c>
      <c r="D346" t="s">
        <v>569</v>
      </c>
      <c r="F346"/>
      <c r="H346" s="3" t="s">
        <v>850</v>
      </c>
      <c r="I346" s="3" t="s">
        <v>554</v>
      </c>
      <c r="K346" s="15" t="s">
        <v>547</v>
      </c>
      <c r="M346" s="56"/>
    </row>
    <row r="347" spans="1:13">
      <c r="A347" s="66"/>
      <c r="B347" s="66"/>
      <c r="C347" s="47" t="s">
        <v>905</v>
      </c>
      <c r="D347" t="s">
        <v>543</v>
      </c>
      <c r="F347">
        <v>1</v>
      </c>
      <c r="G347" s="61">
        <v>71.896799999999999</v>
      </c>
      <c r="H347" s="3" t="s">
        <v>906</v>
      </c>
      <c r="I347" s="3" t="s">
        <v>552</v>
      </c>
      <c r="J347" s="15" t="s">
        <v>546</v>
      </c>
      <c r="K347" s="15" t="s">
        <v>547</v>
      </c>
      <c r="L347" s="15" t="s">
        <v>546</v>
      </c>
      <c r="M347" s="56" t="s">
        <v>547</v>
      </c>
    </row>
    <row r="348" spans="1:13">
      <c r="A348" s="66"/>
      <c r="B348" s="66"/>
      <c r="C348" s="47" t="s">
        <v>907</v>
      </c>
      <c r="D348" t="s">
        <v>569</v>
      </c>
      <c r="F348"/>
      <c r="H348" s="3" t="s">
        <v>906</v>
      </c>
      <c r="I348" s="3" t="s">
        <v>552</v>
      </c>
      <c r="K348" s="15" t="s">
        <v>547</v>
      </c>
      <c r="M348" s="56"/>
    </row>
    <row r="349" spans="1:13">
      <c r="A349" s="66"/>
      <c r="B349" s="66"/>
      <c r="C349" s="47" t="s">
        <v>908</v>
      </c>
      <c r="D349" t="s">
        <v>632</v>
      </c>
      <c r="F349"/>
      <c r="H349" s="3"/>
      <c r="I349" s="3"/>
      <c r="M349" s="56"/>
    </row>
    <row r="350" spans="1:13">
      <c r="A350" s="66"/>
      <c r="B350" s="66"/>
      <c r="C350" s="47" t="s">
        <v>909</v>
      </c>
      <c r="D350" t="s">
        <v>543</v>
      </c>
      <c r="F350">
        <v>1</v>
      </c>
      <c r="G350" s="61">
        <v>71.729200000000006</v>
      </c>
      <c r="H350" s="3" t="s">
        <v>906</v>
      </c>
      <c r="I350" s="3" t="s">
        <v>554</v>
      </c>
      <c r="J350" s="15" t="s">
        <v>546</v>
      </c>
      <c r="K350" s="15" t="s">
        <v>547</v>
      </c>
      <c r="L350" s="15" t="s">
        <v>546</v>
      </c>
      <c r="M350" s="56" t="s">
        <v>547</v>
      </c>
    </row>
    <row r="351" spans="1:13">
      <c r="A351" s="64"/>
      <c r="B351" s="64"/>
      <c r="C351" s="48" t="s">
        <v>910</v>
      </c>
      <c r="D351" s="54" t="s">
        <v>569</v>
      </c>
      <c r="E351" s="54"/>
      <c r="F351" s="54"/>
      <c r="G351" s="85"/>
      <c r="H351" s="91" t="s">
        <v>906</v>
      </c>
      <c r="I351" s="91" t="s">
        <v>554</v>
      </c>
      <c r="J351" s="86"/>
      <c r="K351" s="86" t="s">
        <v>547</v>
      </c>
      <c r="L351" s="86"/>
      <c r="M351" s="57"/>
    </row>
    <row r="352" spans="1:13">
      <c r="G352" s="61">
        <f>SUM(G343:G351)</f>
        <v>288.73469999999998</v>
      </c>
    </row>
    <row r="353" spans="1:13">
      <c r="A353" s="87" t="s">
        <v>911</v>
      </c>
      <c r="B353" s="63" t="s">
        <v>911</v>
      </c>
      <c r="C353" s="53" t="s">
        <v>856</v>
      </c>
      <c r="D353" s="53" t="s">
        <v>561</v>
      </c>
      <c r="E353" s="53"/>
      <c r="F353" s="53">
        <v>1</v>
      </c>
      <c r="G353" s="82">
        <v>199.934</v>
      </c>
      <c r="H353" s="88">
        <v>0</v>
      </c>
      <c r="I353" s="88" t="s">
        <v>554</v>
      </c>
      <c r="J353" s="83"/>
      <c r="K353" s="83" t="s">
        <v>547</v>
      </c>
      <c r="L353" s="83"/>
      <c r="M353" s="55"/>
    </row>
    <row r="354" spans="1:13">
      <c r="A354" s="52"/>
      <c r="B354" s="66"/>
      <c r="C354" t="s">
        <v>857</v>
      </c>
      <c r="F354"/>
      <c r="H354" s="3"/>
      <c r="I354" s="3"/>
      <c r="M354" s="56"/>
    </row>
    <row r="355" spans="1:13">
      <c r="A355" s="52"/>
      <c r="B355" s="66"/>
      <c r="C355" t="s">
        <v>858</v>
      </c>
      <c r="F355"/>
      <c r="H355" s="3"/>
      <c r="I355" s="3"/>
      <c r="M355" s="56"/>
    </row>
    <row r="356" spans="1:13">
      <c r="A356" s="52"/>
      <c r="B356" s="66"/>
      <c r="C356" t="s">
        <v>859</v>
      </c>
      <c r="D356" t="s">
        <v>561</v>
      </c>
      <c r="F356" s="1">
        <v>1</v>
      </c>
      <c r="G356" s="61">
        <v>92.910899999999998</v>
      </c>
      <c r="H356" s="3">
        <v>-0.1</v>
      </c>
      <c r="I356" s="3" t="s">
        <v>554</v>
      </c>
      <c r="K356" s="15" t="s">
        <v>547</v>
      </c>
      <c r="M356" s="56"/>
    </row>
    <row r="357" spans="1:13">
      <c r="A357" s="52"/>
      <c r="B357" s="66"/>
      <c r="C357" t="s">
        <v>860</v>
      </c>
      <c r="D357" t="s">
        <v>561</v>
      </c>
      <c r="F357" s="1">
        <v>1</v>
      </c>
      <c r="G357" s="61">
        <v>60.077300000000001</v>
      </c>
      <c r="H357" s="3" t="s">
        <v>554</v>
      </c>
      <c r="I357" s="3" t="s">
        <v>547</v>
      </c>
      <c r="K357" s="15" t="s">
        <v>547</v>
      </c>
      <c r="M357" s="56"/>
    </row>
    <row r="358" spans="1:13">
      <c r="A358" s="52"/>
      <c r="B358" s="66"/>
      <c r="C358" t="s">
        <v>861</v>
      </c>
      <c r="D358" t="s">
        <v>543</v>
      </c>
      <c r="F358" s="1">
        <v>2</v>
      </c>
      <c r="G358" s="61">
        <v>174.477</v>
      </c>
      <c r="H358" s="3" t="s">
        <v>862</v>
      </c>
      <c r="I358" s="3" t="s">
        <v>545</v>
      </c>
      <c r="J358" s="15" t="s">
        <v>546</v>
      </c>
      <c r="K358" s="15" t="s">
        <v>547</v>
      </c>
      <c r="L358" s="15" t="s">
        <v>546</v>
      </c>
      <c r="M358" s="56"/>
    </row>
    <row r="359" spans="1:13">
      <c r="A359" s="52"/>
      <c r="B359" s="66"/>
      <c r="C359" t="s">
        <v>579</v>
      </c>
      <c r="D359" t="s">
        <v>569</v>
      </c>
      <c r="F359"/>
      <c r="H359" s="3" t="s">
        <v>554</v>
      </c>
      <c r="I359" s="3" t="s">
        <v>545</v>
      </c>
      <c r="K359" s="15" t="s">
        <v>547</v>
      </c>
      <c r="M359" s="56"/>
    </row>
    <row r="360" spans="1:13">
      <c r="A360" s="52"/>
      <c r="B360" s="66"/>
      <c r="C360" t="s">
        <v>863</v>
      </c>
      <c r="D360" t="s">
        <v>569</v>
      </c>
      <c r="F360"/>
      <c r="H360" s="3" t="s">
        <v>864</v>
      </c>
      <c r="I360" s="3" t="s">
        <v>545</v>
      </c>
      <c r="K360" s="15" t="s">
        <v>547</v>
      </c>
      <c r="M360" s="56"/>
    </row>
    <row r="361" spans="1:13">
      <c r="A361" s="52"/>
      <c r="B361" s="66"/>
      <c r="C361" t="s">
        <v>865</v>
      </c>
      <c r="D361" t="s">
        <v>543</v>
      </c>
      <c r="F361" s="1">
        <v>2</v>
      </c>
      <c r="G361" s="61">
        <v>167.572</v>
      </c>
      <c r="H361" s="3" t="s">
        <v>862</v>
      </c>
      <c r="I361" s="3" t="s">
        <v>554</v>
      </c>
      <c r="J361" s="15" t="s">
        <v>546</v>
      </c>
      <c r="K361" s="15" t="s">
        <v>547</v>
      </c>
      <c r="L361" s="15" t="s">
        <v>546</v>
      </c>
      <c r="M361" s="56"/>
    </row>
    <row r="362" spans="1:13">
      <c r="A362" s="52"/>
      <c r="B362" s="66"/>
      <c r="C362" t="s">
        <v>867</v>
      </c>
      <c r="D362" t="s">
        <v>569</v>
      </c>
      <c r="F362"/>
      <c r="H362" s="3" t="s">
        <v>554</v>
      </c>
      <c r="I362" s="3" t="s">
        <v>554</v>
      </c>
      <c r="K362" s="15" t="s">
        <v>547</v>
      </c>
      <c r="M362" s="56"/>
    </row>
    <row r="363" spans="1:13">
      <c r="A363" s="52"/>
      <c r="B363" s="66"/>
      <c r="C363" t="s">
        <v>868</v>
      </c>
      <c r="D363" t="s">
        <v>569</v>
      </c>
      <c r="F363"/>
      <c r="H363" s="3" t="s">
        <v>864</v>
      </c>
      <c r="I363" s="3" t="s">
        <v>554</v>
      </c>
      <c r="K363" s="15" t="s">
        <v>547</v>
      </c>
      <c r="M363" s="56"/>
    </row>
    <row r="364" spans="1:13">
      <c r="A364" s="52"/>
      <c r="B364" s="66"/>
      <c r="C364" t="s">
        <v>869</v>
      </c>
      <c r="D364" t="s">
        <v>543</v>
      </c>
      <c r="F364" s="1">
        <v>2</v>
      </c>
      <c r="G364" s="61">
        <v>169.511</v>
      </c>
      <c r="H364" s="3" t="s">
        <v>1013</v>
      </c>
      <c r="I364" s="3" t="s">
        <v>554</v>
      </c>
      <c r="J364" s="15" t="s">
        <v>546</v>
      </c>
      <c r="K364" s="15" t="s">
        <v>547</v>
      </c>
      <c r="L364" s="15" t="s">
        <v>546</v>
      </c>
      <c r="M364" s="56"/>
    </row>
    <row r="365" spans="1:13">
      <c r="A365" s="52"/>
      <c r="B365" s="66"/>
      <c r="C365" t="s">
        <v>871</v>
      </c>
      <c r="D365" t="s">
        <v>569</v>
      </c>
      <c r="F365"/>
      <c r="H365" s="3" t="s">
        <v>552</v>
      </c>
      <c r="I365" s="3" t="s">
        <v>554</v>
      </c>
      <c r="K365" s="15" t="s">
        <v>547</v>
      </c>
      <c r="M365" s="56"/>
    </row>
    <row r="366" spans="1:13">
      <c r="A366" s="52"/>
      <c r="B366" s="66"/>
      <c r="C366" t="s">
        <v>872</v>
      </c>
      <c r="D366" t="s">
        <v>569</v>
      </c>
      <c r="F366"/>
      <c r="H366" s="3" t="s">
        <v>611</v>
      </c>
      <c r="I366" s="3" t="s">
        <v>554</v>
      </c>
      <c r="K366" s="15" t="s">
        <v>547</v>
      </c>
      <c r="M366" s="56"/>
    </row>
    <row r="367" spans="1:13">
      <c r="A367" s="52"/>
      <c r="B367" s="66"/>
      <c r="C367" t="s">
        <v>873</v>
      </c>
      <c r="D367" t="s">
        <v>543</v>
      </c>
      <c r="F367" s="1">
        <v>2</v>
      </c>
      <c r="G367" s="61">
        <v>167.82900000000001</v>
      </c>
      <c r="H367" s="3" t="s">
        <v>862</v>
      </c>
      <c r="I367" s="3" t="s">
        <v>552</v>
      </c>
      <c r="J367" s="15" t="s">
        <v>546</v>
      </c>
      <c r="K367" s="15" t="s">
        <v>547</v>
      </c>
      <c r="L367" s="15" t="s">
        <v>546</v>
      </c>
      <c r="M367" s="56"/>
    </row>
    <row r="368" spans="1:13">
      <c r="A368" s="52"/>
      <c r="B368" s="66"/>
      <c r="C368" t="s">
        <v>874</v>
      </c>
      <c r="D368" t="s">
        <v>569</v>
      </c>
      <c r="F368"/>
      <c r="H368" s="3" t="s">
        <v>554</v>
      </c>
      <c r="I368" s="3" t="s">
        <v>552</v>
      </c>
      <c r="K368" s="15" t="s">
        <v>547</v>
      </c>
      <c r="M368" s="56"/>
    </row>
    <row r="369" spans="1:13">
      <c r="A369" s="52"/>
      <c r="B369" s="66"/>
      <c r="C369" t="s">
        <v>875</v>
      </c>
      <c r="D369" t="s">
        <v>569</v>
      </c>
      <c r="F369"/>
      <c r="H369" s="3" t="s">
        <v>864</v>
      </c>
      <c r="I369" s="3" t="s">
        <v>552</v>
      </c>
      <c r="K369" s="15" t="s">
        <v>547</v>
      </c>
      <c r="M369" s="56"/>
    </row>
    <row r="370" spans="1:13">
      <c r="A370" s="52"/>
      <c r="B370" s="66"/>
      <c r="C370" t="s">
        <v>876</v>
      </c>
      <c r="D370" t="s">
        <v>632</v>
      </c>
      <c r="F370"/>
      <c r="H370" s="3"/>
      <c r="I370" s="3"/>
      <c r="M370" s="56"/>
    </row>
    <row r="371" spans="1:13">
      <c r="A371" s="52"/>
      <c r="B371" s="66"/>
      <c r="C371" t="s">
        <v>877</v>
      </c>
      <c r="D371" t="s">
        <v>632</v>
      </c>
      <c r="F371"/>
      <c r="H371" s="3"/>
      <c r="I371" s="3"/>
      <c r="M371" s="56"/>
    </row>
    <row r="372" spans="1:13">
      <c r="A372" s="52"/>
      <c r="B372" s="66"/>
      <c r="C372" t="s">
        <v>912</v>
      </c>
      <c r="D372" t="s">
        <v>543</v>
      </c>
      <c r="F372">
        <f>0.3/0.05+1</f>
        <v>6.9999999999999991</v>
      </c>
      <c r="G372" s="61">
        <v>4134.37</v>
      </c>
      <c r="H372" s="3" t="s">
        <v>913</v>
      </c>
      <c r="I372" s="3" t="s">
        <v>554</v>
      </c>
      <c r="J372" s="15" t="s">
        <v>546</v>
      </c>
      <c r="K372" s="15" t="s">
        <v>547</v>
      </c>
      <c r="L372" s="15" t="s">
        <v>546</v>
      </c>
      <c r="M372" s="56"/>
    </row>
    <row r="373" spans="1:13">
      <c r="A373" s="52"/>
      <c r="B373" s="66"/>
      <c r="C373" t="s">
        <v>879</v>
      </c>
      <c r="D373" t="s">
        <v>639</v>
      </c>
      <c r="F373"/>
      <c r="H373" s="3" t="s">
        <v>913</v>
      </c>
      <c r="I373" s="3" t="s">
        <v>554</v>
      </c>
      <c r="K373" s="15" t="s">
        <v>547</v>
      </c>
      <c r="M373" s="56"/>
    </row>
    <row r="374" spans="1:13">
      <c r="A374" s="115"/>
      <c r="B374" s="64"/>
      <c r="C374" s="54" t="s">
        <v>882</v>
      </c>
      <c r="D374" s="54" t="s">
        <v>632</v>
      </c>
      <c r="E374" s="54"/>
      <c r="F374" s="54"/>
      <c r="G374" s="85"/>
      <c r="H374" s="91"/>
      <c r="I374" s="91"/>
      <c r="J374" s="86"/>
      <c r="K374" s="86"/>
      <c r="L374" s="86"/>
      <c r="M374" s="57"/>
    </row>
    <row r="376" spans="1:13">
      <c r="A376" s="163" t="s">
        <v>1523</v>
      </c>
      <c r="B376" s="163" t="s">
        <v>1523</v>
      </c>
      <c r="C376" s="165" t="s">
        <v>642</v>
      </c>
      <c r="D376" s="53"/>
      <c r="E376" s="53"/>
      <c r="F376" s="88"/>
      <c r="G376" s="82"/>
      <c r="H376" s="83" t="s">
        <v>1524</v>
      </c>
      <c r="I376" s="83"/>
      <c r="J376" s="83"/>
      <c r="K376" s="83"/>
      <c r="L376" s="83"/>
      <c r="M376" s="55"/>
    </row>
    <row r="377" spans="1:13">
      <c r="A377" s="164"/>
      <c r="B377" s="164"/>
      <c r="C377" s="89" t="s">
        <v>593</v>
      </c>
      <c r="H377" s="83"/>
      <c r="M377" s="56"/>
    </row>
    <row r="378" spans="1:13">
      <c r="A378" s="164"/>
      <c r="B378" s="164"/>
      <c r="C378" s="90" t="s">
        <v>594</v>
      </c>
      <c r="H378" s="83"/>
      <c r="M378" s="56"/>
    </row>
    <row r="379" spans="1:13">
      <c r="A379" s="164"/>
      <c r="B379" s="164"/>
      <c r="C379" s="90" t="s">
        <v>595</v>
      </c>
      <c r="H379" s="83"/>
      <c r="M379" s="56"/>
    </row>
    <row r="380" spans="1:13">
      <c r="A380" s="164"/>
      <c r="B380" s="164"/>
      <c r="C380" s="166" t="s">
        <v>1525</v>
      </c>
      <c r="H380" s="83" t="s">
        <v>1524</v>
      </c>
      <c r="M380" s="56"/>
    </row>
    <row r="381" spans="1:13">
      <c r="A381" s="164"/>
      <c r="B381" s="164"/>
      <c r="C381" s="166" t="s">
        <v>1360</v>
      </c>
      <c r="M381" s="56"/>
    </row>
    <row r="382" spans="1:13">
      <c r="A382" s="164"/>
      <c r="B382" s="164"/>
      <c r="C382" s="166" t="s">
        <v>1363</v>
      </c>
      <c r="M382" s="56"/>
    </row>
    <row r="383" spans="1:13">
      <c r="A383" s="164"/>
      <c r="B383" s="164"/>
      <c r="C383" s="166" t="s">
        <v>1349</v>
      </c>
      <c r="M383" s="56"/>
    </row>
    <row r="384" spans="1:13">
      <c r="A384" s="164"/>
      <c r="B384" s="164"/>
      <c r="C384" s="166" t="s">
        <v>1526</v>
      </c>
      <c r="M384" s="56"/>
    </row>
    <row r="385" spans="1:13">
      <c r="A385" s="281"/>
      <c r="B385" s="164"/>
      <c r="C385" s="166" t="s">
        <v>1396</v>
      </c>
      <c r="M385" s="56"/>
    </row>
    <row r="386" spans="1:13">
      <c r="A386" s="281"/>
      <c r="B386" s="164"/>
      <c r="C386" s="166" t="s">
        <v>1398</v>
      </c>
      <c r="M386" s="56"/>
    </row>
    <row r="387" spans="1:13">
      <c r="A387" s="281"/>
      <c r="B387" s="164"/>
      <c r="C387" s="166" t="s">
        <v>1412</v>
      </c>
      <c r="M387" s="56"/>
    </row>
    <row r="388" spans="1:13">
      <c r="A388" s="281"/>
      <c r="B388" s="282"/>
      <c r="C388" s="167" t="s">
        <v>1413</v>
      </c>
      <c r="D388" s="54"/>
      <c r="E388" s="54"/>
      <c r="F388" s="91"/>
      <c r="G388" s="85"/>
      <c r="H388" s="86"/>
      <c r="I388" s="86"/>
      <c r="J388" s="86"/>
      <c r="K388" s="86"/>
      <c r="L388" s="86"/>
      <c r="M388" s="57"/>
    </row>
    <row r="389" spans="1:13">
      <c r="A389" s="281"/>
      <c r="B389" s="282"/>
    </row>
    <row r="390" spans="1:13">
      <c r="A390" s="281"/>
      <c r="B390" s="282"/>
      <c r="D390" s="53"/>
      <c r="E390" s="53"/>
      <c r="F390" s="88"/>
      <c r="G390" s="82"/>
      <c r="H390" s="83"/>
      <c r="I390" s="83"/>
      <c r="J390" s="83"/>
      <c r="K390" s="83"/>
      <c r="L390" s="83"/>
      <c r="M390" s="55"/>
    </row>
    <row r="391" spans="1:13">
      <c r="A391" s="281"/>
      <c r="B391" s="282"/>
      <c r="M391" s="56"/>
    </row>
    <row r="392" spans="1:13">
      <c r="A392" s="281"/>
      <c r="B392" s="282"/>
      <c r="M392" s="56"/>
    </row>
    <row r="393" spans="1:13">
      <c r="A393" s="281"/>
      <c r="B393" s="283"/>
      <c r="C393" s="117" t="s">
        <v>667</v>
      </c>
      <c r="D393" s="54"/>
      <c r="E393" s="54"/>
      <c r="F393" s="91"/>
      <c r="G393" s="85"/>
      <c r="H393" s="86"/>
      <c r="I393" s="86"/>
      <c r="J393" s="86"/>
      <c r="K393" s="86"/>
      <c r="L393" s="86"/>
      <c r="M393" s="57"/>
    </row>
    <row r="394" spans="1:13">
      <c r="G394" s="61">
        <v>3500</v>
      </c>
    </row>
    <row r="396" spans="1:13">
      <c r="A396" s="222" t="s">
        <v>1527</v>
      </c>
      <c r="B396" s="222" t="s">
        <v>1527</v>
      </c>
      <c r="C396" s="13" t="s">
        <v>642</v>
      </c>
      <c r="D396" s="53"/>
      <c r="E396" s="53"/>
      <c r="F396" s="88"/>
      <c r="G396" s="82"/>
      <c r="H396" s="83"/>
      <c r="I396" s="83"/>
      <c r="J396" s="83"/>
      <c r="K396" s="83"/>
      <c r="L396" s="83"/>
      <c r="M396" s="55"/>
    </row>
    <row r="397" spans="1:13">
      <c r="A397" s="224"/>
      <c r="B397" s="224"/>
      <c r="C397" s="13" t="s">
        <v>641</v>
      </c>
      <c r="M397" s="56"/>
    </row>
    <row r="398" spans="1:13">
      <c r="A398" s="215"/>
      <c r="B398" s="224"/>
      <c r="C398" s="47" t="s">
        <v>933</v>
      </c>
      <c r="M398" s="56"/>
    </row>
    <row r="399" spans="1:13">
      <c r="A399" s="215"/>
      <c r="B399" s="224"/>
      <c r="C399" s="47" t="s">
        <v>605</v>
      </c>
      <c r="M399" s="56"/>
    </row>
    <row r="400" spans="1:13">
      <c r="A400" s="215"/>
      <c r="B400" s="224"/>
      <c r="C400" s="47" t="s">
        <v>1360</v>
      </c>
      <c r="M400" s="56"/>
    </row>
    <row r="401" spans="1:13">
      <c r="A401" s="215"/>
      <c r="B401" s="224"/>
      <c r="C401" s="47" t="s">
        <v>970</v>
      </c>
      <c r="M401" s="56"/>
    </row>
    <row r="402" spans="1:13">
      <c r="A402" s="215"/>
      <c r="B402" s="224"/>
      <c r="C402" s="47" t="s">
        <v>1529</v>
      </c>
      <c r="M402" s="56"/>
    </row>
    <row r="403" spans="1:13">
      <c r="A403" s="215"/>
      <c r="B403" s="224"/>
      <c r="C403" s="47" t="s">
        <v>579</v>
      </c>
      <c r="M403" s="56"/>
    </row>
    <row r="404" spans="1:13">
      <c r="A404" s="215"/>
      <c r="B404" s="224"/>
      <c r="C404" s="47" t="s">
        <v>1349</v>
      </c>
      <c r="M404" s="56"/>
    </row>
    <row r="405" spans="1:13">
      <c r="A405" s="215"/>
      <c r="B405" s="224"/>
      <c r="C405" s="47" t="s">
        <v>593</v>
      </c>
      <c r="M405" s="56"/>
    </row>
    <row r="406" spans="1:13">
      <c r="A406" s="215"/>
      <c r="B406" s="224"/>
      <c r="C406" s="47" t="s">
        <v>594</v>
      </c>
      <c r="M406" s="56"/>
    </row>
    <row r="407" spans="1:13">
      <c r="A407" s="215"/>
      <c r="B407" s="224"/>
      <c r="C407" s="47" t="s">
        <v>595</v>
      </c>
      <c r="M407" s="56"/>
    </row>
    <row r="408" spans="1:13">
      <c r="A408" s="215"/>
      <c r="B408" s="224"/>
      <c r="C408" s="47" t="s">
        <v>613</v>
      </c>
      <c r="M408" s="56"/>
    </row>
    <row r="409" spans="1:13">
      <c r="A409" s="215"/>
      <c r="B409" s="224"/>
      <c r="C409" s="47" t="s">
        <v>1363</v>
      </c>
      <c r="M409" s="56"/>
    </row>
    <row r="410" spans="1:13">
      <c r="A410" s="215"/>
      <c r="B410" s="224"/>
      <c r="C410" s="47" t="s">
        <v>1375</v>
      </c>
      <c r="M410" s="56"/>
    </row>
    <row r="411" spans="1:13">
      <c r="A411" s="215"/>
      <c r="B411" s="224"/>
      <c r="C411" s="47" t="s">
        <v>631</v>
      </c>
      <c r="M411" s="56"/>
    </row>
    <row r="412" spans="1:13">
      <c r="A412" s="215"/>
      <c r="B412" s="224"/>
      <c r="C412" s="47" t="s">
        <v>1784</v>
      </c>
      <c r="M412" s="56"/>
    </row>
    <row r="413" spans="1:13">
      <c r="A413" s="215"/>
      <c r="B413" s="224"/>
      <c r="C413" s="47" t="s">
        <v>654</v>
      </c>
      <c r="M413" s="56"/>
    </row>
    <row r="414" spans="1:13">
      <c r="A414" s="215"/>
      <c r="B414" s="224"/>
      <c r="C414" s="47" t="s">
        <v>653</v>
      </c>
      <c r="M414" s="56"/>
    </row>
    <row r="415" spans="1:13">
      <c r="A415" s="215"/>
      <c r="B415" s="224"/>
      <c r="C415" s="47" t="s">
        <v>1785</v>
      </c>
      <c r="M415" s="56"/>
    </row>
    <row r="416" spans="1:13">
      <c r="A416" s="215"/>
      <c r="B416" s="224"/>
      <c r="C416" s="47" t="s">
        <v>951</v>
      </c>
      <c r="M416" s="56"/>
    </row>
    <row r="417" spans="1:13">
      <c r="A417" s="215"/>
      <c r="B417" s="224"/>
      <c r="C417" s="47" t="s">
        <v>667</v>
      </c>
      <c r="M417" s="56"/>
    </row>
    <row r="418" spans="1:13">
      <c r="A418" s="215"/>
      <c r="B418" s="224"/>
      <c r="C418" s="47" t="s">
        <v>693</v>
      </c>
      <c r="M418" s="56"/>
    </row>
    <row r="419" spans="1:13">
      <c r="A419" s="215"/>
      <c r="B419" s="224"/>
      <c r="C419" s="47" t="s">
        <v>1396</v>
      </c>
      <c r="M419" s="56"/>
    </row>
    <row r="420" spans="1:13">
      <c r="A420" s="215"/>
      <c r="B420" s="224"/>
      <c r="C420" s="47" t="s">
        <v>695</v>
      </c>
      <c r="M420" s="56"/>
    </row>
    <row r="421" spans="1:13">
      <c r="A421" s="215"/>
      <c r="B421" s="224"/>
      <c r="C421" s="47" t="s">
        <v>1398</v>
      </c>
      <c r="M421" s="56"/>
    </row>
    <row r="422" spans="1:13">
      <c r="A422" s="215"/>
      <c r="B422" s="224"/>
      <c r="C422" s="47" t="s">
        <v>697</v>
      </c>
      <c r="M422" s="56"/>
    </row>
    <row r="423" spans="1:13">
      <c r="A423" s="215"/>
      <c r="B423" s="224"/>
      <c r="C423" s="47" t="s">
        <v>1400</v>
      </c>
      <c r="M423" s="56"/>
    </row>
    <row r="424" spans="1:13">
      <c r="A424" s="215"/>
      <c r="B424" s="224"/>
      <c r="C424" s="47" t="s">
        <v>699</v>
      </c>
      <c r="M424" s="56"/>
    </row>
    <row r="425" spans="1:13">
      <c r="A425" s="215"/>
      <c r="B425" s="224"/>
      <c r="C425" s="47" t="s">
        <v>1530</v>
      </c>
      <c r="M425" s="56"/>
    </row>
    <row r="426" spans="1:13">
      <c r="A426" s="215"/>
      <c r="B426" s="224"/>
      <c r="C426" s="47" t="s">
        <v>701</v>
      </c>
      <c r="M426" s="56"/>
    </row>
    <row r="427" spans="1:13">
      <c r="A427" s="215"/>
      <c r="B427" s="224"/>
      <c r="C427" s="47" t="s">
        <v>1531</v>
      </c>
      <c r="M427" s="56"/>
    </row>
    <row r="428" spans="1:13">
      <c r="A428" s="215"/>
      <c r="B428" s="224"/>
      <c r="C428" s="47" t="s">
        <v>703</v>
      </c>
      <c r="M428" s="56"/>
    </row>
    <row r="429" spans="1:13">
      <c r="A429" s="215"/>
      <c r="B429" s="224"/>
      <c r="C429" s="47" t="s">
        <v>1532</v>
      </c>
      <c r="M429" s="56"/>
    </row>
    <row r="430" spans="1:13">
      <c r="A430" s="215"/>
      <c r="B430" s="224"/>
      <c r="C430" s="47" t="s">
        <v>705</v>
      </c>
      <c r="M430" s="56"/>
    </row>
    <row r="431" spans="1:13">
      <c r="A431" s="215"/>
      <c r="B431" s="224"/>
      <c r="C431" s="47" t="s">
        <v>1533</v>
      </c>
      <c r="M431" s="56"/>
    </row>
    <row r="432" spans="1:13">
      <c r="A432" s="215"/>
      <c r="B432" s="224"/>
      <c r="C432" s="47" t="s">
        <v>707</v>
      </c>
      <c r="M432" s="56"/>
    </row>
    <row r="433" spans="1:13">
      <c r="A433" s="215"/>
      <c r="B433" s="224"/>
      <c r="C433" s="47" t="s">
        <v>1534</v>
      </c>
      <c r="M433" s="56"/>
    </row>
    <row r="434" spans="1:13">
      <c r="A434" s="215"/>
      <c r="B434" s="224"/>
      <c r="C434" s="47" t="s">
        <v>726</v>
      </c>
      <c r="M434" s="56"/>
    </row>
    <row r="435" spans="1:13">
      <c r="A435" s="215"/>
      <c r="B435" s="224"/>
      <c r="C435" s="47" t="s">
        <v>1535</v>
      </c>
      <c r="M435" s="56"/>
    </row>
    <row r="436" spans="1:13">
      <c r="A436" s="215"/>
      <c r="B436" s="224"/>
      <c r="C436" s="47" t="s">
        <v>1536</v>
      </c>
      <c r="M436" s="56"/>
    </row>
    <row r="437" spans="1:13">
      <c r="A437" s="215"/>
      <c r="B437" s="224"/>
      <c r="C437" s="47" t="s">
        <v>1537</v>
      </c>
      <c r="M437" s="56"/>
    </row>
    <row r="438" spans="1:13">
      <c r="A438" s="215"/>
      <c r="B438" s="224"/>
      <c r="C438" s="47" t="s">
        <v>1538</v>
      </c>
      <c r="M438" s="56"/>
    </row>
    <row r="439" spans="1:13">
      <c r="A439" s="215"/>
      <c r="B439" s="224"/>
      <c r="C439" s="47" t="s">
        <v>1539</v>
      </c>
      <c r="M439" s="56"/>
    </row>
    <row r="440" spans="1:13">
      <c r="A440" s="215"/>
      <c r="B440" s="224"/>
      <c r="C440" s="47" t="s">
        <v>1540</v>
      </c>
      <c r="M440" s="56"/>
    </row>
    <row r="441" spans="1:13">
      <c r="A441" s="215"/>
      <c r="B441" s="224"/>
      <c r="C441" s="47" t="s">
        <v>1745</v>
      </c>
      <c r="M441" s="56"/>
    </row>
    <row r="442" spans="1:13">
      <c r="A442" s="215"/>
      <c r="B442" s="224"/>
      <c r="C442" s="47" t="s">
        <v>1746</v>
      </c>
      <c r="M442" s="56"/>
    </row>
    <row r="443" spans="1:13">
      <c r="A443" s="215"/>
      <c r="B443" s="224"/>
      <c r="C443" s="47" t="s">
        <v>1747</v>
      </c>
      <c r="M443" s="56"/>
    </row>
    <row r="444" spans="1:13">
      <c r="A444" s="215"/>
      <c r="B444" s="224"/>
      <c r="C444" s="47" t="s">
        <v>1748</v>
      </c>
      <c r="M444" s="56"/>
    </row>
    <row r="445" spans="1:13">
      <c r="A445" s="215"/>
      <c r="B445" s="224"/>
      <c r="C445" s="47" t="s">
        <v>1749</v>
      </c>
      <c r="M445" s="56"/>
    </row>
    <row r="446" spans="1:13">
      <c r="A446" s="215"/>
      <c r="B446" s="224"/>
      <c r="C446" s="47" t="s">
        <v>1750</v>
      </c>
      <c r="M446" s="56"/>
    </row>
    <row r="447" spans="1:13">
      <c r="A447" s="215"/>
      <c r="B447" s="224"/>
      <c r="C447" s="47" t="s">
        <v>1751</v>
      </c>
      <c r="M447" s="56"/>
    </row>
    <row r="448" spans="1:13">
      <c r="A448" s="215"/>
      <c r="B448" s="224"/>
      <c r="C448" s="47" t="s">
        <v>1752</v>
      </c>
      <c r="M448" s="56"/>
    </row>
    <row r="449" spans="1:13">
      <c r="A449" s="215"/>
      <c r="B449" s="224"/>
      <c r="C449" s="47" t="s">
        <v>1753</v>
      </c>
      <c r="M449" s="56"/>
    </row>
    <row r="450" spans="1:13">
      <c r="A450" s="215"/>
      <c r="B450" s="224"/>
      <c r="C450" s="47" t="s">
        <v>1754</v>
      </c>
      <c r="M450" s="56"/>
    </row>
    <row r="451" spans="1:13">
      <c r="A451" s="223"/>
      <c r="B451" s="225"/>
      <c r="C451" s="48" t="s">
        <v>1755</v>
      </c>
      <c r="M451" s="56"/>
    </row>
    <row r="452" spans="1:13">
      <c r="A452" s="90"/>
      <c r="G452" s="61">
        <f>5100+150</f>
        <v>5250</v>
      </c>
      <c r="M452" s="56"/>
    </row>
    <row r="453" spans="1:13">
      <c r="A453" s="219" t="s">
        <v>360</v>
      </c>
      <c r="B453" s="216" t="s">
        <v>1541</v>
      </c>
      <c r="C453" s="13" t="s">
        <v>1542</v>
      </c>
      <c r="M453" s="56"/>
    </row>
    <row r="454" spans="1:13">
      <c r="A454" s="220"/>
      <c r="B454" s="217"/>
      <c r="C454" s="47" t="s">
        <v>1543</v>
      </c>
      <c r="D454" s="54"/>
      <c r="E454" s="54"/>
      <c r="F454" s="91"/>
      <c r="G454" s="85"/>
      <c r="H454" s="86"/>
      <c r="I454" s="86"/>
      <c r="J454" s="86"/>
      <c r="K454" s="86"/>
      <c r="L454" s="86"/>
      <c r="M454" s="57"/>
    </row>
    <row r="455" spans="1:13">
      <c r="A455" s="220"/>
      <c r="B455" s="217"/>
      <c r="C455" s="47" t="s">
        <v>1544</v>
      </c>
    </row>
    <row r="456" spans="1:13">
      <c r="A456" s="220"/>
      <c r="B456" s="217"/>
      <c r="C456" s="47" t="s">
        <v>1545</v>
      </c>
    </row>
    <row r="457" spans="1:13">
      <c r="A457" s="221"/>
      <c r="B457" s="218"/>
      <c r="C457" s="48" t="s">
        <v>1546</v>
      </c>
    </row>
    <row r="459" spans="1:13">
      <c r="B459" s="275" t="s">
        <v>1547</v>
      </c>
      <c r="C459" s="13" t="s">
        <v>1548</v>
      </c>
    </row>
    <row r="460" spans="1:13">
      <c r="B460" s="276"/>
      <c r="C460" s="47" t="s">
        <v>1549</v>
      </c>
    </row>
    <row r="461" spans="1:13">
      <c r="B461" s="277"/>
      <c r="C461" s="48" t="s">
        <v>1550</v>
      </c>
    </row>
    <row r="463" spans="1:13">
      <c r="B463" s="275" t="s">
        <v>1551</v>
      </c>
      <c r="C463" s="13" t="s">
        <v>1552</v>
      </c>
    </row>
    <row r="464" spans="1:13">
      <c r="B464" s="276"/>
      <c r="C464" s="47" t="s">
        <v>1553</v>
      </c>
    </row>
    <row r="465" spans="2:7">
      <c r="B465" s="277"/>
      <c r="C465" s="48" t="s">
        <v>1554</v>
      </c>
    </row>
    <row r="467" spans="2:7">
      <c r="B467" s="275" t="s">
        <v>1555</v>
      </c>
      <c r="C467" s="13" t="s">
        <v>1556</v>
      </c>
    </row>
    <row r="468" spans="2:7">
      <c r="B468" s="277"/>
      <c r="C468" s="48" t="s">
        <v>1557</v>
      </c>
    </row>
    <row r="469" spans="2:7">
      <c r="G469" s="61" t="s">
        <v>1558</v>
      </c>
    </row>
    <row r="470" spans="2:7">
      <c r="B470" s="272" t="s">
        <v>1559</v>
      </c>
      <c r="C470" s="13" t="s">
        <v>1560</v>
      </c>
    </row>
    <row r="471" spans="2:7">
      <c r="B471" s="273"/>
      <c r="C471" s="48" t="s">
        <v>1561</v>
      </c>
    </row>
    <row r="473" spans="2:7">
      <c r="B473" s="222" t="s">
        <v>1562</v>
      </c>
      <c r="C473" s="13" t="s">
        <v>1563</v>
      </c>
    </row>
    <row r="474" spans="2:7">
      <c r="B474" s="224"/>
      <c r="C474" s="47" t="s">
        <v>1564</v>
      </c>
    </row>
    <row r="475" spans="2:7">
      <c r="B475" s="224"/>
      <c r="C475" s="47" t="s">
        <v>1565</v>
      </c>
    </row>
    <row r="476" spans="2:7">
      <c r="B476" s="224"/>
      <c r="C476" s="47" t="s">
        <v>1566</v>
      </c>
    </row>
    <row r="477" spans="2:7">
      <c r="B477" s="224"/>
      <c r="C477" s="226" t="s">
        <v>1567</v>
      </c>
    </row>
    <row r="478" spans="2:7">
      <c r="B478" s="224"/>
      <c r="C478" s="226" t="s">
        <v>1568</v>
      </c>
    </row>
    <row r="479" spans="2:7">
      <c r="B479" s="224"/>
      <c r="C479" s="226" t="s">
        <v>1569</v>
      </c>
    </row>
    <row r="480" spans="2:7">
      <c r="B480" s="224"/>
      <c r="C480" s="226" t="s">
        <v>1570</v>
      </c>
    </row>
    <row r="481" spans="2:3">
      <c r="B481" s="224"/>
      <c r="C481" s="47" t="s">
        <v>1571</v>
      </c>
    </row>
    <row r="482" spans="2:3">
      <c r="B482" s="225"/>
      <c r="C482" s="48" t="s">
        <v>1572</v>
      </c>
    </row>
    <row r="484" spans="2:3">
      <c r="B484" s="272" t="s">
        <v>1573</v>
      </c>
      <c r="C484" s="16" t="s">
        <v>1574</v>
      </c>
    </row>
    <row r="485" spans="2:3">
      <c r="B485" s="273"/>
      <c r="C485" s="46" t="s">
        <v>1575</v>
      </c>
    </row>
    <row r="487" spans="2:3">
      <c r="B487" s="272" t="s">
        <v>1576</v>
      </c>
      <c r="C487" s="16" t="s">
        <v>1577</v>
      </c>
    </row>
    <row r="488" spans="2:3">
      <c r="B488" s="273"/>
      <c r="C488" s="46" t="s">
        <v>1578</v>
      </c>
    </row>
    <row r="490" spans="2:3">
      <c r="B490" s="272" t="s">
        <v>1579</v>
      </c>
      <c r="C490" s="16" t="s">
        <v>1580</v>
      </c>
    </row>
    <row r="491" spans="2:3">
      <c r="B491" s="273"/>
      <c r="C491" s="46" t="s">
        <v>1581</v>
      </c>
    </row>
    <row r="493" spans="2:3">
      <c r="B493" s="272" t="s">
        <v>1582</v>
      </c>
      <c r="C493" s="16" t="s">
        <v>964</v>
      </c>
    </row>
    <row r="494" spans="2:3">
      <c r="B494" s="274"/>
      <c r="C494" s="45" t="s">
        <v>966</v>
      </c>
    </row>
    <row r="495" spans="2:3">
      <c r="B495" s="274"/>
      <c r="C495" s="45" t="s">
        <v>967</v>
      </c>
    </row>
    <row r="496" spans="2:3">
      <c r="B496" s="274"/>
      <c r="C496" s="45" t="s">
        <v>982</v>
      </c>
    </row>
    <row r="497" spans="2:3">
      <c r="B497" s="273"/>
      <c r="C497" s="46" t="s">
        <v>1583</v>
      </c>
    </row>
    <row r="499" spans="2:3">
      <c r="B499" s="272" t="s">
        <v>1584</v>
      </c>
      <c r="C499" s="16" t="s">
        <v>1585</v>
      </c>
    </row>
    <row r="500" spans="2:3">
      <c r="B500" s="273"/>
      <c r="C500" s="46" t="s">
        <v>1586</v>
      </c>
    </row>
    <row r="502" spans="2:3">
      <c r="B502" s="272" t="s">
        <v>1587</v>
      </c>
      <c r="C502" s="16" t="s">
        <v>1588</v>
      </c>
    </row>
    <row r="503" spans="2:3">
      <c r="B503" s="273"/>
      <c r="C503" s="46" t="s">
        <v>1589</v>
      </c>
    </row>
    <row r="505" spans="2:3">
      <c r="B505" s="272" t="s">
        <v>1590</v>
      </c>
      <c r="C505" s="227" t="s">
        <v>1591</v>
      </c>
    </row>
    <row r="506" spans="2:3">
      <c r="B506" s="274"/>
      <c r="C506" s="228" t="s">
        <v>1592</v>
      </c>
    </row>
    <row r="507" spans="2:3">
      <c r="B507" s="274"/>
      <c r="C507" s="45" t="s">
        <v>1593</v>
      </c>
    </row>
    <row r="508" spans="2:3">
      <c r="B508" s="273"/>
      <c r="C508" s="46" t="s">
        <v>1594</v>
      </c>
    </row>
    <row r="510" spans="2:3">
      <c r="B510" s="275" t="s">
        <v>1595</v>
      </c>
      <c r="C510" s="13" t="s">
        <v>856</v>
      </c>
    </row>
    <row r="511" spans="2:3">
      <c r="B511" s="276"/>
      <c r="C511" s="47" t="s">
        <v>857</v>
      </c>
    </row>
    <row r="512" spans="2:3">
      <c r="B512" s="276"/>
      <c r="C512" s="47" t="s">
        <v>858</v>
      </c>
    </row>
    <row r="513" spans="2:13">
      <c r="B513" s="276"/>
      <c r="C513" s="47" t="s">
        <v>876</v>
      </c>
    </row>
    <row r="514" spans="2:13">
      <c r="B514" s="277"/>
      <c r="C514" s="48" t="s">
        <v>1466</v>
      </c>
    </row>
    <row r="519" spans="2:13">
      <c r="B519" s="272" t="s">
        <v>1596</v>
      </c>
      <c r="C519" s="16" t="s">
        <v>1597</v>
      </c>
    </row>
    <row r="520" spans="2:13">
      <c r="B520" s="273"/>
      <c r="C520" s="46" t="s">
        <v>1598</v>
      </c>
    </row>
    <row r="522" spans="2:13">
      <c r="B522" s="272" t="s">
        <v>1599</v>
      </c>
      <c r="C522" s="16" t="s">
        <v>1597</v>
      </c>
    </row>
    <row r="523" spans="2:13">
      <c r="B523" s="273"/>
      <c r="C523" s="46" t="s">
        <v>1598</v>
      </c>
    </row>
    <row r="525" spans="2:13">
      <c r="B525" s="272" t="s">
        <v>1600</v>
      </c>
      <c r="C525" s="16" t="s">
        <v>1601</v>
      </c>
    </row>
    <row r="526" spans="2:13">
      <c r="B526" s="273"/>
      <c r="C526" s="46" t="s">
        <v>1602</v>
      </c>
    </row>
    <row r="528" spans="2:13">
      <c r="B528" s="222" t="s">
        <v>1786</v>
      </c>
      <c r="C528" s="13" t="s">
        <v>915</v>
      </c>
      <c r="D528" s="53" t="s">
        <v>543</v>
      </c>
      <c r="E528" s="53"/>
      <c r="F528" s="88"/>
      <c r="G528" s="82">
        <v>910</v>
      </c>
      <c r="H528" s="83" t="s">
        <v>1787</v>
      </c>
      <c r="I528" s="83"/>
      <c r="J528" s="83"/>
      <c r="K528" s="83"/>
      <c r="L528" s="83"/>
      <c r="M528" s="55"/>
    </row>
    <row r="529" spans="2:13">
      <c r="B529" s="224"/>
      <c r="C529" s="47" t="s">
        <v>917</v>
      </c>
      <c r="D529" t="s">
        <v>639</v>
      </c>
      <c r="F529"/>
      <c r="H529" s="3" t="s">
        <v>1788</v>
      </c>
      <c r="M529" s="56"/>
    </row>
    <row r="530" spans="2:13">
      <c r="B530" s="224"/>
      <c r="C530" s="47" t="s">
        <v>919</v>
      </c>
      <c r="D530" t="s">
        <v>543</v>
      </c>
      <c r="F530" s="1"/>
      <c r="G530" s="61">
        <v>244</v>
      </c>
      <c r="H530" s="3" t="s">
        <v>920</v>
      </c>
      <c r="M530" s="56"/>
    </row>
    <row r="531" spans="2:13">
      <c r="B531" s="224"/>
      <c r="C531" s="47" t="s">
        <v>642</v>
      </c>
      <c r="D531" t="s">
        <v>639</v>
      </c>
      <c r="F531"/>
      <c r="H531" s="3" t="s">
        <v>920</v>
      </c>
      <c r="M531" s="56"/>
    </row>
    <row r="532" spans="2:13">
      <c r="B532" s="224"/>
      <c r="C532" s="47" t="s">
        <v>921</v>
      </c>
      <c r="D532" t="s">
        <v>639</v>
      </c>
      <c r="F532"/>
      <c r="H532" s="3" t="s">
        <v>1788</v>
      </c>
      <c r="M532" s="56"/>
    </row>
    <row r="533" spans="2:13">
      <c r="B533" s="224"/>
      <c r="C533" s="47" t="s">
        <v>922</v>
      </c>
      <c r="D533" t="s">
        <v>543</v>
      </c>
      <c r="F533" s="1"/>
      <c r="G533" s="61">
        <v>195</v>
      </c>
      <c r="H533" s="3" t="s">
        <v>1789</v>
      </c>
      <c r="M533" s="56"/>
    </row>
    <row r="534" spans="2:13">
      <c r="B534" s="224"/>
      <c r="C534" s="47" t="s">
        <v>923</v>
      </c>
      <c r="D534" t="s">
        <v>569</v>
      </c>
      <c r="F534"/>
      <c r="H534" s="3" t="s">
        <v>924</v>
      </c>
      <c r="M534" s="56"/>
    </row>
    <row r="535" spans="2:13">
      <c r="B535" s="224"/>
      <c r="C535" s="47" t="s">
        <v>925</v>
      </c>
      <c r="D535" t="s">
        <v>569</v>
      </c>
      <c r="F535"/>
      <c r="H535" s="3" t="s">
        <v>926</v>
      </c>
      <c r="M535" s="56"/>
    </row>
    <row r="536" spans="2:13">
      <c r="B536" s="224"/>
      <c r="C536" s="47" t="s">
        <v>927</v>
      </c>
      <c r="D536" t="s">
        <v>569</v>
      </c>
      <c r="F536"/>
      <c r="H536" s="3" t="s">
        <v>928</v>
      </c>
      <c r="M536" s="56"/>
    </row>
    <row r="537" spans="2:13">
      <c r="B537" s="224"/>
      <c r="C537" s="47" t="s">
        <v>929</v>
      </c>
      <c r="D537" t="s">
        <v>569</v>
      </c>
      <c r="F537"/>
      <c r="H537" s="3" t="s">
        <v>930</v>
      </c>
      <c r="M537" s="56"/>
    </row>
    <row r="538" spans="2:13">
      <c r="B538" s="224"/>
      <c r="C538" s="47" t="s">
        <v>931</v>
      </c>
      <c r="D538" t="s">
        <v>569</v>
      </c>
      <c r="F538"/>
      <c r="H538" s="3" t="s">
        <v>932</v>
      </c>
      <c r="M538" s="56"/>
    </row>
    <row r="539" spans="2:13">
      <c r="B539" s="224"/>
      <c r="C539" s="47" t="s">
        <v>933</v>
      </c>
      <c r="D539" t="s">
        <v>632</v>
      </c>
      <c r="F539"/>
      <c r="H539" s="3"/>
      <c r="M539" s="56"/>
    </row>
    <row r="540" spans="2:13">
      <c r="B540" s="224"/>
      <c r="C540" s="47" t="s">
        <v>934</v>
      </c>
      <c r="D540" t="s">
        <v>632</v>
      </c>
      <c r="F540"/>
      <c r="H540" s="3"/>
      <c r="M540" s="56"/>
    </row>
    <row r="541" spans="2:13">
      <c r="B541" s="224"/>
      <c r="C541" s="47" t="s">
        <v>935</v>
      </c>
      <c r="D541" t="s">
        <v>632</v>
      </c>
      <c r="F541"/>
      <c r="H541" s="3"/>
      <c r="M541" s="56"/>
    </row>
    <row r="542" spans="2:13">
      <c r="B542" s="224"/>
      <c r="C542" s="47" t="s">
        <v>605</v>
      </c>
      <c r="D542" t="s">
        <v>569</v>
      </c>
      <c r="F542"/>
      <c r="H542" s="3" t="s">
        <v>552</v>
      </c>
      <c r="M542" s="56"/>
    </row>
    <row r="543" spans="2:13">
      <c r="B543" s="224"/>
      <c r="C543" s="47" t="s">
        <v>1790</v>
      </c>
      <c r="D543" t="s">
        <v>543</v>
      </c>
      <c r="G543" s="61">
        <v>86</v>
      </c>
      <c r="H543" s="15" t="s">
        <v>965</v>
      </c>
      <c r="M543" s="56"/>
    </row>
    <row r="544" spans="2:13">
      <c r="B544" s="224"/>
      <c r="C544" s="47" t="s">
        <v>970</v>
      </c>
      <c r="D544" t="s">
        <v>569</v>
      </c>
      <c r="F544"/>
      <c r="H544" s="3" t="s">
        <v>965</v>
      </c>
      <c r="M544" s="56"/>
    </row>
    <row r="545" spans="2:13">
      <c r="B545" s="224"/>
      <c r="C545" s="47" t="s">
        <v>1791</v>
      </c>
      <c r="D545" t="s">
        <v>543</v>
      </c>
      <c r="G545" s="61">
        <v>86</v>
      </c>
      <c r="H545" s="15" t="s">
        <v>554</v>
      </c>
      <c r="M545" s="56"/>
    </row>
    <row r="546" spans="2:13">
      <c r="B546" s="224"/>
      <c r="C546" s="47" t="s">
        <v>579</v>
      </c>
      <c r="D546" t="s">
        <v>569</v>
      </c>
      <c r="F546"/>
      <c r="H546" s="3" t="s">
        <v>554</v>
      </c>
      <c r="M546" s="56"/>
    </row>
    <row r="547" spans="2:13">
      <c r="B547" s="224"/>
      <c r="C547" s="47" t="s">
        <v>593</v>
      </c>
      <c r="D547" t="s">
        <v>561</v>
      </c>
      <c r="F547"/>
      <c r="G547" s="61">
        <v>204</v>
      </c>
      <c r="H547" s="3" t="s">
        <v>547</v>
      </c>
      <c r="M547" s="56"/>
    </row>
    <row r="548" spans="2:13">
      <c r="B548" s="224"/>
      <c r="C548" s="47" t="s">
        <v>594</v>
      </c>
      <c r="F548"/>
      <c r="H548" s="3"/>
      <c r="M548" s="56"/>
    </row>
    <row r="549" spans="2:13">
      <c r="B549" s="224"/>
      <c r="C549" s="47" t="s">
        <v>595</v>
      </c>
      <c r="F549"/>
      <c r="H549" s="3"/>
      <c r="M549" s="56"/>
    </row>
    <row r="550" spans="2:13">
      <c r="B550" s="224"/>
      <c r="C550" t="s">
        <v>602</v>
      </c>
      <c r="D550" t="s">
        <v>561</v>
      </c>
      <c r="F550" s="3">
        <v>1</v>
      </c>
      <c r="G550" s="61">
        <v>92.903999999999996</v>
      </c>
      <c r="H550" s="15" t="s">
        <v>552</v>
      </c>
      <c r="M550" s="56"/>
    </row>
    <row r="551" spans="2:13">
      <c r="B551" s="224"/>
      <c r="C551" s="47" t="s">
        <v>1792</v>
      </c>
      <c r="D551" t="s">
        <v>543</v>
      </c>
      <c r="F551" s="3">
        <v>1</v>
      </c>
      <c r="G551" s="61">
        <v>81</v>
      </c>
      <c r="H551" s="15" t="s">
        <v>620</v>
      </c>
      <c r="I551" s="15">
        <v>0.65</v>
      </c>
      <c r="M551" s="56"/>
    </row>
    <row r="552" spans="2:13">
      <c r="B552" s="224"/>
      <c r="C552" s="47" t="s">
        <v>619</v>
      </c>
      <c r="D552" t="s">
        <v>569</v>
      </c>
      <c r="H552" s="15" t="s">
        <v>620</v>
      </c>
      <c r="M552" s="56"/>
    </row>
    <row r="553" spans="2:13">
      <c r="B553" s="224"/>
      <c r="C553" s="47" t="s">
        <v>626</v>
      </c>
      <c r="D553" t="s">
        <v>543</v>
      </c>
      <c r="G553" s="61">
        <v>83</v>
      </c>
      <c r="H553" s="15" t="s">
        <v>552</v>
      </c>
      <c r="M553" s="56"/>
    </row>
    <row r="554" spans="2:13">
      <c r="B554" s="224"/>
      <c r="C554" s="47" t="s">
        <v>627</v>
      </c>
      <c r="D554" t="s">
        <v>569</v>
      </c>
      <c r="H554" s="15" t="s">
        <v>552</v>
      </c>
      <c r="I554" s="15" t="s">
        <v>552</v>
      </c>
      <c r="M554" s="56"/>
    </row>
    <row r="555" spans="2:13">
      <c r="B555" s="224"/>
      <c r="C555" s="47" t="s">
        <v>631</v>
      </c>
      <c r="D555" t="s">
        <v>632</v>
      </c>
      <c r="I555" s="15" t="s">
        <v>552</v>
      </c>
      <c r="M555" s="56"/>
    </row>
    <row r="556" spans="2:13">
      <c r="B556" s="224"/>
      <c r="C556" s="47" t="s">
        <v>687</v>
      </c>
      <c r="D556" t="s">
        <v>543</v>
      </c>
      <c r="G556" s="61">
        <v>81</v>
      </c>
      <c r="H556" s="15" t="s">
        <v>1793</v>
      </c>
      <c r="I556" s="15" t="s">
        <v>620</v>
      </c>
      <c r="M556" s="56"/>
    </row>
    <row r="557" spans="2:13">
      <c r="B557" s="224"/>
      <c r="C557" s="47" t="s">
        <v>689</v>
      </c>
      <c r="D557" t="s">
        <v>543</v>
      </c>
      <c r="G557" s="61">
        <v>383</v>
      </c>
      <c r="H557" s="15" t="s">
        <v>1794</v>
      </c>
      <c r="I557" s="15" t="s">
        <v>620</v>
      </c>
      <c r="M557" s="56"/>
    </row>
    <row r="558" spans="2:13">
      <c r="B558" s="224"/>
      <c r="C558" s="47" t="s">
        <v>693</v>
      </c>
      <c r="D558" t="s">
        <v>569</v>
      </c>
      <c r="F558"/>
      <c r="H558" s="3" t="s">
        <v>694</v>
      </c>
      <c r="M558" s="56"/>
    </row>
    <row r="559" spans="2:13">
      <c r="B559" s="224"/>
      <c r="C559" s="47" t="s">
        <v>695</v>
      </c>
      <c r="D559" t="s">
        <v>569</v>
      </c>
      <c r="F559"/>
      <c r="H559" s="3" t="s">
        <v>696</v>
      </c>
      <c r="I559" s="15" t="s">
        <v>545</v>
      </c>
      <c r="M559" s="56"/>
    </row>
    <row r="560" spans="2:13">
      <c r="B560" s="224"/>
      <c r="C560" s="47" t="s">
        <v>697</v>
      </c>
      <c r="D560" t="s">
        <v>569</v>
      </c>
      <c r="F560"/>
      <c r="H560" s="3" t="s">
        <v>698</v>
      </c>
      <c r="I560" s="15" t="s">
        <v>545</v>
      </c>
      <c r="M560" s="56"/>
    </row>
    <row r="561" spans="2:13">
      <c r="B561" s="224"/>
      <c r="C561" s="47" t="s">
        <v>699</v>
      </c>
      <c r="D561" t="s">
        <v>569</v>
      </c>
      <c r="F561"/>
      <c r="H561" s="3" t="s">
        <v>700</v>
      </c>
      <c r="I561" s="3" t="s">
        <v>545</v>
      </c>
      <c r="M561" s="56"/>
    </row>
    <row r="562" spans="2:13">
      <c r="B562" s="224"/>
      <c r="C562" s="47" t="s">
        <v>701</v>
      </c>
      <c r="D562" t="s">
        <v>569</v>
      </c>
      <c r="F562"/>
      <c r="H562" s="3" t="s">
        <v>702</v>
      </c>
      <c r="I562" s="3" t="s">
        <v>545</v>
      </c>
      <c r="M562" s="56"/>
    </row>
    <row r="563" spans="2:13">
      <c r="B563" s="224"/>
      <c r="C563" s="47" t="s">
        <v>703</v>
      </c>
      <c r="D563" t="s">
        <v>569</v>
      </c>
      <c r="F563"/>
      <c r="H563" s="3" t="s">
        <v>704</v>
      </c>
      <c r="I563" s="3" t="s">
        <v>545</v>
      </c>
      <c r="M563" s="56"/>
    </row>
    <row r="564" spans="2:13">
      <c r="B564" s="224"/>
      <c r="C564" s="47" t="s">
        <v>705</v>
      </c>
      <c r="D564" t="s">
        <v>569</v>
      </c>
      <c r="F564"/>
      <c r="H564" s="3" t="s">
        <v>706</v>
      </c>
      <c r="I564" s="3" t="s">
        <v>545</v>
      </c>
      <c r="M564" s="56"/>
    </row>
    <row r="565" spans="2:13">
      <c r="B565" s="224"/>
      <c r="C565" s="47" t="s">
        <v>707</v>
      </c>
      <c r="D565" t="s">
        <v>569</v>
      </c>
      <c r="F565"/>
      <c r="H565" s="3" t="s">
        <v>708</v>
      </c>
      <c r="I565" s="3" t="s">
        <v>545</v>
      </c>
      <c r="M565" s="56"/>
    </row>
    <row r="566" spans="2:13">
      <c r="B566" s="224"/>
      <c r="C566" s="47" t="s">
        <v>1745</v>
      </c>
      <c r="D566" t="s">
        <v>632</v>
      </c>
      <c r="I566" s="3" t="s">
        <v>545</v>
      </c>
      <c r="M566" s="56"/>
    </row>
    <row r="567" spans="2:13">
      <c r="B567" s="224"/>
      <c r="C567" s="47" t="s">
        <v>1746</v>
      </c>
      <c r="D567" t="s">
        <v>632</v>
      </c>
      <c r="I567" s="3" t="s">
        <v>545</v>
      </c>
      <c r="M567" s="56"/>
    </row>
    <row r="568" spans="2:13">
      <c r="B568" s="224"/>
      <c r="C568" s="47" t="s">
        <v>1747</v>
      </c>
      <c r="D568" t="s">
        <v>632</v>
      </c>
      <c r="I568" s="91" t="s">
        <v>545</v>
      </c>
      <c r="J568" s="86"/>
      <c r="K568" s="86"/>
      <c r="L568" s="86"/>
      <c r="M568" s="57"/>
    </row>
    <row r="569" spans="2:13">
      <c r="B569" s="224"/>
      <c r="C569" s="47" t="s">
        <v>1748</v>
      </c>
      <c r="D569" t="s">
        <v>632</v>
      </c>
      <c r="M569" s="56"/>
    </row>
    <row r="570" spans="2:13">
      <c r="B570" s="224"/>
      <c r="C570" s="47" t="s">
        <v>1749</v>
      </c>
      <c r="D570" t="s">
        <v>632</v>
      </c>
      <c r="M570" s="56"/>
    </row>
    <row r="571" spans="2:13">
      <c r="B571" s="224"/>
      <c r="C571" s="47" t="s">
        <v>1750</v>
      </c>
      <c r="D571" t="s">
        <v>632</v>
      </c>
      <c r="M571" s="56"/>
    </row>
    <row r="572" spans="2:13">
      <c r="B572" s="224"/>
      <c r="C572" s="47" t="s">
        <v>1751</v>
      </c>
      <c r="D572" t="s">
        <v>632</v>
      </c>
      <c r="M572" s="56"/>
    </row>
    <row r="573" spans="2:13">
      <c r="B573" s="224"/>
      <c r="C573" s="47" t="s">
        <v>1752</v>
      </c>
      <c r="D573" t="s">
        <v>632</v>
      </c>
      <c r="M573" s="56"/>
    </row>
    <row r="574" spans="2:13">
      <c r="B574" s="224"/>
      <c r="C574" s="47" t="s">
        <v>1753</v>
      </c>
      <c r="D574" t="s">
        <v>632</v>
      </c>
      <c r="M574" s="56"/>
    </row>
    <row r="575" spans="2:13">
      <c r="B575" s="224"/>
      <c r="C575" s="47" t="s">
        <v>1754</v>
      </c>
      <c r="D575" t="s">
        <v>632</v>
      </c>
      <c r="M575" s="56"/>
    </row>
    <row r="576" spans="2:13">
      <c r="B576" s="225"/>
      <c r="C576" s="48" t="s">
        <v>1755</v>
      </c>
      <c r="D576" s="54" t="s">
        <v>632</v>
      </c>
      <c r="E576" s="54"/>
      <c r="F576" s="91"/>
      <c r="G576" s="85"/>
      <c r="H576" s="86"/>
      <c r="I576" s="86"/>
      <c r="J576" s="86"/>
      <c r="K576" s="86"/>
      <c r="L576" s="86"/>
      <c r="M576" s="57"/>
    </row>
    <row r="577" spans="2:14">
      <c r="B577" s="1"/>
      <c r="G577" s="61">
        <f>SUM(G528:G564)</f>
        <v>2445.904</v>
      </c>
    </row>
    <row r="578" spans="2:14">
      <c r="B578" s="1"/>
    </row>
    <row r="579" spans="2:14">
      <c r="B579" s="1"/>
    </row>
    <row r="581" spans="2:14">
      <c r="B581" s="170" t="s">
        <v>1795</v>
      </c>
      <c r="C581" s="53" t="s">
        <v>915</v>
      </c>
      <c r="D581" s="89" t="s">
        <v>543</v>
      </c>
      <c r="E581" s="53">
        <v>1</v>
      </c>
      <c r="F581" s="88"/>
      <c r="G581" s="82">
        <v>910</v>
      </c>
      <c r="H581" s="83" t="s">
        <v>1787</v>
      </c>
      <c r="I581" s="83"/>
      <c r="J581" s="83"/>
      <c r="K581" s="83"/>
      <c r="L581" s="83"/>
      <c r="M581" s="88"/>
      <c r="N581" s="16"/>
    </row>
    <row r="582" spans="2:14">
      <c r="B582" s="171"/>
      <c r="C582" t="s">
        <v>917</v>
      </c>
      <c r="D582" s="90" t="s">
        <v>639</v>
      </c>
      <c r="F582"/>
      <c r="H582" s="3" t="s">
        <v>1788</v>
      </c>
      <c r="N582" s="45"/>
    </row>
    <row r="583" spans="2:14">
      <c r="B583" s="171"/>
      <c r="C583" t="s">
        <v>919</v>
      </c>
      <c r="D583" s="90" t="s">
        <v>543</v>
      </c>
      <c r="E583">
        <v>5</v>
      </c>
      <c r="F583" s="1"/>
      <c r="G583" s="61">
        <v>244</v>
      </c>
      <c r="H583" s="3" t="s">
        <v>920</v>
      </c>
      <c r="N583" s="45"/>
    </row>
    <row r="584" spans="2:14">
      <c r="B584" s="171"/>
      <c r="C584" t="s">
        <v>642</v>
      </c>
      <c r="D584" s="90" t="s">
        <v>639</v>
      </c>
      <c r="F584"/>
      <c r="H584" s="3" t="s">
        <v>920</v>
      </c>
      <c r="N584" s="45"/>
    </row>
    <row r="585" spans="2:14">
      <c r="B585" s="171"/>
      <c r="C585" t="s">
        <v>605</v>
      </c>
      <c r="D585" s="90" t="s">
        <v>569</v>
      </c>
      <c r="F585"/>
      <c r="H585" s="3" t="s">
        <v>552</v>
      </c>
      <c r="N585" s="45"/>
    </row>
    <row r="586" spans="2:14">
      <c r="B586" s="171"/>
      <c r="C586" t="s">
        <v>593</v>
      </c>
      <c r="D586" s="90" t="s">
        <v>561</v>
      </c>
      <c r="E586">
        <v>11</v>
      </c>
      <c r="F586"/>
      <c r="G586" s="61">
        <v>204</v>
      </c>
      <c r="H586" s="3" t="s">
        <v>547</v>
      </c>
      <c r="N586" s="45"/>
    </row>
    <row r="587" spans="2:14">
      <c r="B587" s="171"/>
      <c r="C587" t="s">
        <v>594</v>
      </c>
      <c r="D587" s="90"/>
      <c r="F587"/>
      <c r="H587" s="3"/>
      <c r="N587" s="45"/>
    </row>
    <row r="588" spans="2:14">
      <c r="B588" s="171"/>
      <c r="C588" t="s">
        <v>595</v>
      </c>
      <c r="D588" s="90"/>
      <c r="F588"/>
      <c r="H588" s="3"/>
      <c r="N588" s="45"/>
    </row>
    <row r="589" spans="2:14">
      <c r="B589" s="171"/>
      <c r="C589" t="s">
        <v>602</v>
      </c>
      <c r="D589" s="90" t="s">
        <v>561</v>
      </c>
      <c r="E589">
        <v>18</v>
      </c>
      <c r="F589" s="3">
        <v>1</v>
      </c>
      <c r="G589" s="61">
        <v>92.903999999999996</v>
      </c>
      <c r="H589" s="15" t="s">
        <v>552</v>
      </c>
      <c r="N589" s="45"/>
    </row>
    <row r="590" spans="2:14">
      <c r="B590" s="171"/>
      <c r="C590" t="s">
        <v>687</v>
      </c>
      <c r="D590" s="90" t="s">
        <v>543</v>
      </c>
      <c r="E590">
        <v>21</v>
      </c>
      <c r="G590" s="61">
        <v>81</v>
      </c>
      <c r="H590" s="15" t="s">
        <v>1793</v>
      </c>
      <c r="N590" s="45"/>
    </row>
    <row r="591" spans="2:14">
      <c r="B591" s="171"/>
      <c r="C591" t="s">
        <v>689</v>
      </c>
      <c r="D591" s="90" t="s">
        <v>543</v>
      </c>
      <c r="E591">
        <v>26</v>
      </c>
      <c r="G591" s="61">
        <v>383</v>
      </c>
      <c r="H591" s="15" t="s">
        <v>1794</v>
      </c>
      <c r="N591" s="45"/>
    </row>
    <row r="592" spans="2:14">
      <c r="B592" s="171"/>
      <c r="C592" t="s">
        <v>693</v>
      </c>
      <c r="D592" s="90" t="s">
        <v>569</v>
      </c>
      <c r="F592"/>
      <c r="H592" s="3" t="s">
        <v>694</v>
      </c>
      <c r="N592" s="45"/>
    </row>
    <row r="593" spans="2:14">
      <c r="B593" s="171"/>
      <c r="C593" t="s">
        <v>695</v>
      </c>
      <c r="D593" s="90" t="s">
        <v>569</v>
      </c>
      <c r="F593"/>
      <c r="H593" s="3" t="s">
        <v>696</v>
      </c>
      <c r="N593" s="45"/>
    </row>
    <row r="594" spans="2:14">
      <c r="B594" s="171"/>
      <c r="C594" t="s">
        <v>697</v>
      </c>
      <c r="D594" s="90" t="s">
        <v>569</v>
      </c>
      <c r="F594"/>
      <c r="H594" s="3" t="s">
        <v>698</v>
      </c>
      <c r="N594" s="45"/>
    </row>
    <row r="595" spans="2:14">
      <c r="B595" s="171"/>
      <c r="C595" t="s">
        <v>699</v>
      </c>
      <c r="D595" s="90" t="s">
        <v>569</v>
      </c>
      <c r="F595"/>
      <c r="H595" s="3" t="s">
        <v>700</v>
      </c>
      <c r="N595" s="45"/>
    </row>
    <row r="596" spans="2:14">
      <c r="B596" s="171"/>
      <c r="C596" t="s">
        <v>701</v>
      </c>
      <c r="D596" s="90" t="s">
        <v>569</v>
      </c>
      <c r="F596"/>
      <c r="H596" s="3" t="s">
        <v>702</v>
      </c>
      <c r="N596" s="45"/>
    </row>
    <row r="597" spans="2:14">
      <c r="B597" s="171"/>
      <c r="C597" t="s">
        <v>703</v>
      </c>
      <c r="D597" s="90" t="s">
        <v>569</v>
      </c>
      <c r="F597"/>
      <c r="H597" s="3" t="s">
        <v>704</v>
      </c>
      <c r="N597" s="45"/>
    </row>
    <row r="598" spans="2:14">
      <c r="B598" s="171"/>
      <c r="C598" t="s">
        <v>705</v>
      </c>
      <c r="D598" s="90" t="s">
        <v>569</v>
      </c>
      <c r="F598"/>
      <c r="H598" s="3" t="s">
        <v>706</v>
      </c>
      <c r="N598" s="45"/>
    </row>
    <row r="599" spans="2:14">
      <c r="B599" s="171"/>
      <c r="C599" t="s">
        <v>707</v>
      </c>
      <c r="D599" s="90" t="s">
        <v>569</v>
      </c>
      <c r="F599"/>
      <c r="H599" s="3" t="s">
        <v>708</v>
      </c>
      <c r="N599" s="45"/>
    </row>
    <row r="600" spans="2:14">
      <c r="B600" s="171"/>
      <c r="C600" t="s">
        <v>1745</v>
      </c>
      <c r="D600" s="90" t="s">
        <v>632</v>
      </c>
      <c r="N600" s="45"/>
    </row>
    <row r="601" spans="2:14">
      <c r="B601" s="171"/>
      <c r="C601" t="s">
        <v>1746</v>
      </c>
      <c r="D601" s="90" t="s">
        <v>632</v>
      </c>
      <c r="N601" s="45"/>
    </row>
    <row r="602" spans="2:14">
      <c r="B602" s="171"/>
      <c r="C602" t="s">
        <v>1747</v>
      </c>
      <c r="D602" s="90" t="s">
        <v>632</v>
      </c>
      <c r="N602" s="45"/>
    </row>
    <row r="603" spans="2:14">
      <c r="B603" s="171"/>
      <c r="C603" t="s">
        <v>1748</v>
      </c>
      <c r="D603" s="90" t="s">
        <v>632</v>
      </c>
      <c r="N603" s="45"/>
    </row>
    <row r="604" spans="2:14">
      <c r="B604" s="171"/>
      <c r="C604" t="s">
        <v>1749</v>
      </c>
      <c r="D604" s="90" t="s">
        <v>632</v>
      </c>
      <c r="N604" s="45"/>
    </row>
    <row r="605" spans="2:14">
      <c r="B605" s="171"/>
      <c r="C605" t="s">
        <v>1750</v>
      </c>
      <c r="D605" s="90" t="s">
        <v>632</v>
      </c>
      <c r="N605" s="45"/>
    </row>
    <row r="606" spans="2:14">
      <c r="B606" s="171"/>
      <c r="C606" t="s">
        <v>1751</v>
      </c>
      <c r="D606" s="90" t="s">
        <v>632</v>
      </c>
      <c r="N606" s="45"/>
    </row>
    <row r="607" spans="2:14">
      <c r="B607" s="171"/>
      <c r="C607" t="s">
        <v>1752</v>
      </c>
      <c r="D607" s="90" t="s">
        <v>632</v>
      </c>
      <c r="N607" s="45"/>
    </row>
    <row r="608" spans="2:14">
      <c r="B608" s="171"/>
      <c r="C608" t="s">
        <v>1753</v>
      </c>
      <c r="D608" s="90" t="s">
        <v>632</v>
      </c>
      <c r="N608" s="45"/>
    </row>
    <row r="609" spans="2:14">
      <c r="B609" s="171"/>
      <c r="C609" t="s">
        <v>1754</v>
      </c>
      <c r="D609" s="90" t="s">
        <v>632</v>
      </c>
      <c r="N609" s="45"/>
    </row>
    <row r="610" spans="2:14">
      <c r="B610" s="171"/>
      <c r="C610" s="54" t="s">
        <v>1755</v>
      </c>
      <c r="D610" s="90" t="s">
        <v>632</v>
      </c>
      <c r="N610" s="45"/>
    </row>
    <row r="611" spans="2:14">
      <c r="B611" s="171"/>
      <c r="C611" s="89" t="s">
        <v>938</v>
      </c>
      <c r="D611" s="90" t="s">
        <v>543</v>
      </c>
      <c r="E611">
        <v>41</v>
      </c>
      <c r="F611" s="1">
        <f>(1.05)/0.05+1</f>
        <v>22</v>
      </c>
      <c r="G611" s="235">
        <v>610</v>
      </c>
      <c r="H611" s="3" t="s">
        <v>1788</v>
      </c>
      <c r="N611" s="45"/>
    </row>
    <row r="612" spans="2:14">
      <c r="B612" s="171"/>
      <c r="C612" s="90" t="s">
        <v>613</v>
      </c>
      <c r="D612" s="90" t="s">
        <v>569</v>
      </c>
      <c r="F612"/>
      <c r="H612" s="3" t="s">
        <v>552</v>
      </c>
      <c r="N612" s="45"/>
    </row>
    <row r="613" spans="2:14">
      <c r="B613" s="171"/>
      <c r="C613" s="90" t="s">
        <v>626</v>
      </c>
      <c r="D613" s="90" t="s">
        <v>543</v>
      </c>
      <c r="E613">
        <v>42</v>
      </c>
      <c r="G613" s="61">
        <v>83</v>
      </c>
      <c r="H613" s="15" t="s">
        <v>552</v>
      </c>
      <c r="N613" s="45"/>
    </row>
    <row r="614" spans="2:14">
      <c r="B614" s="171"/>
      <c r="C614" s="90" t="s">
        <v>627</v>
      </c>
      <c r="D614" s="90" t="s">
        <v>569</v>
      </c>
      <c r="H614" s="15" t="s">
        <v>552</v>
      </c>
      <c r="N614" s="45"/>
    </row>
    <row r="615" spans="2:14">
      <c r="B615" s="171"/>
      <c r="C615" s="90" t="s">
        <v>631</v>
      </c>
      <c r="D615" s="90" t="s">
        <v>632</v>
      </c>
      <c r="N615" s="45"/>
    </row>
    <row r="616" spans="2:14">
      <c r="B616" s="171"/>
      <c r="C616" s="90" t="s">
        <v>942</v>
      </c>
      <c r="D616" s="90" t="s">
        <v>639</v>
      </c>
      <c r="F616"/>
      <c r="H616" s="3" t="s">
        <v>918</v>
      </c>
      <c r="N616" s="45"/>
    </row>
    <row r="617" spans="2:14">
      <c r="B617" s="171"/>
      <c r="C617" s="90" t="s">
        <v>943</v>
      </c>
      <c r="D617" s="90" t="s">
        <v>543</v>
      </c>
      <c r="E617">
        <v>101</v>
      </c>
      <c r="F617" s="1">
        <v>11</v>
      </c>
      <c r="G617" s="61">
        <f>31.5*F617+44</f>
        <v>390.5</v>
      </c>
      <c r="H617" s="3" t="s">
        <v>920</v>
      </c>
      <c r="N617" s="45"/>
    </row>
    <row r="618" spans="2:14">
      <c r="B618" s="171"/>
      <c r="C618" s="90" t="s">
        <v>654</v>
      </c>
      <c r="D618" s="90" t="s">
        <v>639</v>
      </c>
      <c r="F618"/>
      <c r="H618" s="3" t="s">
        <v>920</v>
      </c>
      <c r="N618" s="45"/>
    </row>
    <row r="619" spans="2:14">
      <c r="B619" s="171"/>
      <c r="C619" s="90" t="s">
        <v>667</v>
      </c>
      <c r="D619" s="90" t="s">
        <v>632</v>
      </c>
      <c r="F619"/>
      <c r="H619" s="3"/>
      <c r="N619" s="45"/>
    </row>
    <row r="620" spans="2:14">
      <c r="B620" s="171"/>
      <c r="C620" s="90" t="s">
        <v>721</v>
      </c>
      <c r="D620" s="90" t="s">
        <v>543</v>
      </c>
      <c r="E620">
        <v>109</v>
      </c>
      <c r="F620" s="1">
        <v>2</v>
      </c>
      <c r="G620" s="235">
        <v>120</v>
      </c>
      <c r="H620" s="3" t="s">
        <v>1796</v>
      </c>
      <c r="N620" s="45"/>
    </row>
    <row r="621" spans="2:14">
      <c r="B621" s="171"/>
      <c r="C621" s="90" t="s">
        <v>726</v>
      </c>
      <c r="D621" s="90" t="s">
        <v>569</v>
      </c>
      <c r="F621"/>
      <c r="H621" s="3" t="s">
        <v>727</v>
      </c>
      <c r="N621" s="45"/>
    </row>
    <row r="622" spans="2:14">
      <c r="B622" s="172"/>
      <c r="C622" s="117" t="s">
        <v>728</v>
      </c>
      <c r="D622" s="117" t="s">
        <v>569</v>
      </c>
      <c r="E622" s="54"/>
      <c r="F622" s="54"/>
      <c r="G622" s="85"/>
      <c r="H622" s="91" t="s">
        <v>718</v>
      </c>
      <c r="I622" s="86"/>
      <c r="J622" s="86"/>
      <c r="K622" s="86"/>
      <c r="L622" s="86"/>
      <c r="M622" s="91"/>
      <c r="N622" s="46"/>
    </row>
    <row r="624" spans="2:14">
      <c r="G624" s="61">
        <f>SUM(G581:G622)</f>
        <v>3118.404</v>
      </c>
    </row>
    <row r="627" spans="2:8">
      <c r="B627" s="170" t="s">
        <v>1797</v>
      </c>
      <c r="C627" s="89" t="s">
        <v>1798</v>
      </c>
      <c r="D627" s="89" t="s">
        <v>543</v>
      </c>
      <c r="E627" s="53"/>
      <c r="F627" s="88"/>
      <c r="G627" s="82">
        <v>910</v>
      </c>
      <c r="H627" s="236" t="s">
        <v>1787</v>
      </c>
    </row>
    <row r="628" spans="2:8">
      <c r="B628" s="171"/>
      <c r="C628" s="90" t="s">
        <v>1799</v>
      </c>
      <c r="D628" s="90" t="s">
        <v>639</v>
      </c>
      <c r="F628"/>
      <c r="H628" s="56" t="s">
        <v>1788</v>
      </c>
    </row>
    <row r="629" spans="2:8">
      <c r="B629" s="171"/>
      <c r="C629" s="90" t="s">
        <v>1800</v>
      </c>
      <c r="D629" s="90" t="s">
        <v>543</v>
      </c>
      <c r="F629" s="1"/>
      <c r="G629" s="61">
        <v>244</v>
      </c>
      <c r="H629" s="56" t="s">
        <v>920</v>
      </c>
    </row>
    <row r="630" spans="2:8">
      <c r="B630" s="171"/>
      <c r="C630" s="90" t="s">
        <v>1801</v>
      </c>
      <c r="D630" s="90" t="s">
        <v>639</v>
      </c>
      <c r="F630"/>
      <c r="H630" s="56" t="s">
        <v>920</v>
      </c>
    </row>
    <row r="631" spans="2:8">
      <c r="B631" s="171"/>
      <c r="C631" s="47" t="s">
        <v>1802</v>
      </c>
      <c r="D631" t="s">
        <v>543</v>
      </c>
      <c r="G631" s="61">
        <v>86</v>
      </c>
      <c r="H631" s="237" t="s">
        <v>965</v>
      </c>
    </row>
    <row r="632" spans="2:8">
      <c r="B632" s="171"/>
      <c r="C632" s="47" t="s">
        <v>1803</v>
      </c>
      <c r="D632" t="s">
        <v>569</v>
      </c>
      <c r="H632" s="237"/>
    </row>
    <row r="633" spans="2:8">
      <c r="B633" s="171"/>
      <c r="C633" s="47" t="s">
        <v>1804</v>
      </c>
      <c r="D633" t="s">
        <v>569</v>
      </c>
      <c r="H633" s="237"/>
    </row>
    <row r="634" spans="2:8">
      <c r="B634" s="171"/>
      <c r="C634" s="47" t="s">
        <v>1805</v>
      </c>
      <c r="D634" t="s">
        <v>569</v>
      </c>
      <c r="H634" s="237"/>
    </row>
    <row r="635" spans="2:8">
      <c r="B635" s="172"/>
      <c r="C635" s="48" t="s">
        <v>1806</v>
      </c>
      <c r="D635" s="54" t="s">
        <v>569</v>
      </c>
      <c r="E635" s="54"/>
      <c r="F635" s="91"/>
      <c r="G635" s="85"/>
      <c r="H635" s="238"/>
    </row>
  </sheetData>
  <autoFilter ref="A1:M374" xr:uid="{D1BD0F84-301E-4C1F-9F5F-D6FE45716E44}"/>
  <mergeCells count="19">
    <mergeCell ref="B505:B508"/>
    <mergeCell ref="B510:B514"/>
    <mergeCell ref="B519:B520"/>
    <mergeCell ref="B522:B523"/>
    <mergeCell ref="B525:B526"/>
    <mergeCell ref="B499:B500"/>
    <mergeCell ref="B502:B503"/>
    <mergeCell ref="B493:B497"/>
    <mergeCell ref="B490:B491"/>
    <mergeCell ref="A331:A341"/>
    <mergeCell ref="B331:B341"/>
    <mergeCell ref="A385:A393"/>
    <mergeCell ref="B388:B393"/>
    <mergeCell ref="B459:B461"/>
    <mergeCell ref="B463:B465"/>
    <mergeCell ref="B467:B468"/>
    <mergeCell ref="B470:B471"/>
    <mergeCell ref="B484:B485"/>
    <mergeCell ref="B487:B488"/>
  </mergeCells>
  <phoneticPr fontId="16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7E40-7335-44EF-B506-70383A6E27B2}">
  <sheetPr>
    <tabColor theme="4"/>
  </sheetPr>
  <dimension ref="A1:P848"/>
  <sheetViews>
    <sheetView tabSelected="1" zoomScale="85" zoomScaleNormal="85" workbookViewId="0">
      <pane ySplit="1" topLeftCell="A564" activePane="bottomLeft" state="frozen"/>
      <selection pane="bottomLeft" activeCell="A570" sqref="A570"/>
    </sheetView>
  </sheetViews>
  <sheetFormatPr defaultRowHeight="14.25"/>
  <cols>
    <col min="1" max="1" width="21" bestFit="1" customWidth="1"/>
    <col min="2" max="2" width="38.28515625" customWidth="1"/>
    <col min="3" max="3" width="34.42578125" customWidth="1"/>
    <col min="4" max="4" width="17.5703125" bestFit="1" customWidth="1"/>
    <col min="5" max="5" width="11.85546875" bestFit="1" customWidth="1"/>
    <col min="6" max="6" width="14.42578125" style="3" bestFit="1" customWidth="1"/>
    <col min="7" max="7" width="11.140625" style="61" bestFit="1" customWidth="1"/>
    <col min="8" max="8" width="58.5703125" style="15" bestFit="1" customWidth="1"/>
    <col min="9" max="10" width="19.28515625" style="15" customWidth="1"/>
    <col min="11" max="12" width="25.42578125" style="15" customWidth="1"/>
    <col min="13" max="13" width="11.140625" style="3" bestFit="1" customWidth="1"/>
    <col min="14" max="14" width="13.5703125" bestFit="1" customWidth="1"/>
  </cols>
  <sheetData>
    <row r="1" spans="1:13">
      <c r="A1" s="32" t="s">
        <v>371</v>
      </c>
      <c r="B1" s="78" t="s">
        <v>149</v>
      </c>
      <c r="C1" s="192" t="s">
        <v>296</v>
      </c>
      <c r="D1" s="193" t="s">
        <v>538</v>
      </c>
      <c r="E1" s="127" t="s">
        <v>539</v>
      </c>
      <c r="F1" s="79" t="s">
        <v>540</v>
      </c>
      <c r="G1" s="128" t="s">
        <v>541</v>
      </c>
      <c r="H1" s="80" t="s">
        <v>83</v>
      </c>
      <c r="I1" s="80" t="s">
        <v>1807</v>
      </c>
      <c r="J1" s="80" t="s">
        <v>1808</v>
      </c>
      <c r="K1" s="80" t="s">
        <v>1809</v>
      </c>
      <c r="L1" s="80" t="s">
        <v>1810</v>
      </c>
      <c r="M1" s="80" t="s">
        <v>1509</v>
      </c>
    </row>
    <row r="2" spans="1:13" s="53" customFormat="1">
      <c r="A2" s="63" t="s">
        <v>361</v>
      </c>
      <c r="B2" s="63" t="s">
        <v>361</v>
      </c>
      <c r="C2" s="13" t="s">
        <v>542</v>
      </c>
      <c r="D2" s="81" t="s">
        <v>543</v>
      </c>
      <c r="F2" s="81">
        <f>(1/0.05)+1</f>
        <v>21</v>
      </c>
      <c r="G2" s="82">
        <v>1547.91</v>
      </c>
      <c r="H2" s="83" t="s">
        <v>544</v>
      </c>
      <c r="I2" s="83" t="s">
        <v>545</v>
      </c>
      <c r="J2" s="83" t="s">
        <v>546</v>
      </c>
      <c r="K2" s="83" t="s">
        <v>547</v>
      </c>
      <c r="L2" s="83" t="s">
        <v>546</v>
      </c>
      <c r="M2" s="55" t="s">
        <v>547</v>
      </c>
    </row>
    <row r="3" spans="1:13">
      <c r="A3" s="66"/>
      <c r="B3" s="66"/>
      <c r="C3" s="47" t="s">
        <v>548</v>
      </c>
      <c r="D3" s="1" t="s">
        <v>543</v>
      </c>
      <c r="F3" s="1">
        <f>1/0.1+1</f>
        <v>11</v>
      </c>
      <c r="G3" s="61">
        <v>921.77099999999996</v>
      </c>
      <c r="H3" s="15" t="s">
        <v>549</v>
      </c>
      <c r="I3" s="15" t="s">
        <v>550</v>
      </c>
      <c r="J3" s="15" t="s">
        <v>546</v>
      </c>
      <c r="K3" s="15" t="s">
        <v>547</v>
      </c>
      <c r="L3" s="15" t="s">
        <v>546</v>
      </c>
      <c r="M3" s="56" t="s">
        <v>547</v>
      </c>
    </row>
    <row r="4" spans="1:13">
      <c r="A4" s="66"/>
      <c r="B4" s="66"/>
      <c r="C4" s="47" t="s">
        <v>551</v>
      </c>
      <c r="D4" s="1" t="s">
        <v>543</v>
      </c>
      <c r="F4" s="1">
        <f>1/0.1+1</f>
        <v>11</v>
      </c>
      <c r="G4" s="61">
        <v>982.66600000000005</v>
      </c>
      <c r="H4" s="15" t="s">
        <v>549</v>
      </c>
      <c r="I4" s="15" t="s">
        <v>552</v>
      </c>
      <c r="J4" s="15" t="s">
        <v>546</v>
      </c>
      <c r="K4" s="15" t="s">
        <v>547</v>
      </c>
      <c r="L4" s="15" t="s">
        <v>546</v>
      </c>
      <c r="M4" s="56" t="s">
        <v>547</v>
      </c>
    </row>
    <row r="5" spans="1:13">
      <c r="A5" s="64"/>
      <c r="B5" s="64"/>
      <c r="C5" s="48" t="s">
        <v>553</v>
      </c>
      <c r="D5" s="84" t="s">
        <v>543</v>
      </c>
      <c r="E5" s="54"/>
      <c r="F5" s="84">
        <f>1/0.1+1</f>
        <v>11</v>
      </c>
      <c r="G5" s="85">
        <v>1086.02</v>
      </c>
      <c r="H5" s="86" t="s">
        <v>549</v>
      </c>
      <c r="I5" s="86" t="s">
        <v>554</v>
      </c>
      <c r="J5" s="86" t="s">
        <v>546</v>
      </c>
      <c r="K5" s="86" t="s">
        <v>547</v>
      </c>
      <c r="L5" s="86" t="s">
        <v>546</v>
      </c>
      <c r="M5" s="57" t="s">
        <v>547</v>
      </c>
    </row>
    <row r="7" spans="1:13">
      <c r="A7" s="63" t="s">
        <v>360</v>
      </c>
      <c r="B7" s="63" t="s">
        <v>362</v>
      </c>
      <c r="C7" s="16" t="s">
        <v>560</v>
      </c>
      <c r="D7" s="53" t="s">
        <v>561</v>
      </c>
      <c r="E7" s="53"/>
      <c r="F7" s="53">
        <v>1</v>
      </c>
      <c r="G7" s="82">
        <v>41.522300000000001</v>
      </c>
      <c r="H7" s="83"/>
      <c r="I7" s="83" t="s">
        <v>552</v>
      </c>
      <c r="J7" s="83" t="s">
        <v>547</v>
      </c>
      <c r="K7" s="83"/>
      <c r="L7" s="83"/>
      <c r="M7" s="55"/>
    </row>
    <row r="8" spans="1:13">
      <c r="A8" s="66"/>
      <c r="B8" s="66"/>
      <c r="C8" s="45" t="s">
        <v>562</v>
      </c>
      <c r="D8" t="s">
        <v>561</v>
      </c>
      <c r="F8">
        <v>1</v>
      </c>
      <c r="G8" s="61">
        <v>41.316299999999998</v>
      </c>
      <c r="K8" s="15" t="s">
        <v>552</v>
      </c>
      <c r="L8" s="15" t="s">
        <v>547</v>
      </c>
      <c r="M8" s="56"/>
    </row>
    <row r="9" spans="1:13">
      <c r="A9" s="66"/>
      <c r="B9" s="66"/>
      <c r="C9" s="45" t="s">
        <v>563</v>
      </c>
      <c r="D9" t="s">
        <v>561</v>
      </c>
      <c r="F9">
        <v>1</v>
      </c>
      <c r="G9" s="61">
        <v>54.264800000000001</v>
      </c>
      <c r="H9" s="15" t="s">
        <v>554</v>
      </c>
      <c r="K9" s="15" t="s">
        <v>547</v>
      </c>
      <c r="M9" s="56"/>
    </row>
    <row r="10" spans="1:13">
      <c r="A10" s="66"/>
      <c r="B10" s="66"/>
      <c r="C10" s="45" t="s">
        <v>564</v>
      </c>
      <c r="D10" t="s">
        <v>561</v>
      </c>
      <c r="F10">
        <v>1</v>
      </c>
      <c r="G10" s="61">
        <v>55.015099999999997</v>
      </c>
      <c r="H10" s="15" t="s">
        <v>554</v>
      </c>
      <c r="I10" s="15" t="s">
        <v>547</v>
      </c>
      <c r="M10" s="56"/>
    </row>
    <row r="11" spans="1:13">
      <c r="A11" s="66"/>
      <c r="B11" s="66"/>
      <c r="C11" s="45" t="s">
        <v>565</v>
      </c>
      <c r="D11" t="s">
        <v>561</v>
      </c>
      <c r="F11">
        <v>1</v>
      </c>
      <c r="G11" s="61">
        <v>57.929400000000001</v>
      </c>
      <c r="H11" s="15" t="s">
        <v>547</v>
      </c>
      <c r="I11" s="15" t="s">
        <v>554</v>
      </c>
      <c r="K11" s="15" t="s">
        <v>547</v>
      </c>
      <c r="M11" s="56"/>
    </row>
    <row r="12" spans="1:13">
      <c r="A12" s="64"/>
      <c r="B12" s="64"/>
      <c r="C12" s="46" t="s">
        <v>1510</v>
      </c>
      <c r="D12" s="54" t="s">
        <v>561</v>
      </c>
      <c r="E12" s="54"/>
      <c r="F12" s="54">
        <v>1</v>
      </c>
      <c r="G12" s="85">
        <v>50.990299999999998</v>
      </c>
      <c r="H12" s="86"/>
      <c r="I12" s="86" t="s">
        <v>554</v>
      </c>
      <c r="J12" s="86"/>
      <c r="K12" s="86" t="s">
        <v>547</v>
      </c>
      <c r="L12" s="86"/>
      <c r="M12" s="57"/>
    </row>
    <row r="14" spans="1:13">
      <c r="A14" s="63" t="s">
        <v>360</v>
      </c>
      <c r="B14" s="63" t="s">
        <v>363</v>
      </c>
      <c r="C14" s="13" t="s">
        <v>567</v>
      </c>
      <c r="D14" s="81" t="s">
        <v>543</v>
      </c>
      <c r="E14" s="53"/>
      <c r="F14" s="81">
        <v>1</v>
      </c>
      <c r="G14" s="82">
        <v>103.48699999999999</v>
      </c>
      <c r="H14" s="83" t="s">
        <v>554</v>
      </c>
      <c r="I14" s="83" t="s">
        <v>547</v>
      </c>
      <c r="J14" s="83" t="s">
        <v>546</v>
      </c>
      <c r="K14" s="83" t="s">
        <v>547</v>
      </c>
      <c r="L14" s="83" t="s">
        <v>546</v>
      </c>
      <c r="M14" s="55" t="s">
        <v>547</v>
      </c>
    </row>
    <row r="15" spans="1:13">
      <c r="A15" s="66"/>
      <c r="B15" s="66"/>
      <c r="C15" s="47" t="s">
        <v>568</v>
      </c>
      <c r="D15" s="1" t="s">
        <v>569</v>
      </c>
      <c r="F15" s="1"/>
      <c r="H15" s="15" t="s">
        <v>554</v>
      </c>
      <c r="I15" s="15" t="s">
        <v>547</v>
      </c>
      <c r="K15" s="15" t="s">
        <v>547</v>
      </c>
      <c r="M15" s="56"/>
    </row>
    <row r="16" spans="1:13">
      <c r="A16" s="66"/>
      <c r="B16" s="66"/>
      <c r="C16" s="47" t="s">
        <v>570</v>
      </c>
      <c r="D16" s="1" t="s">
        <v>543</v>
      </c>
      <c r="F16" s="1">
        <v>1</v>
      </c>
      <c r="G16" s="61">
        <v>92.689899999999994</v>
      </c>
      <c r="H16" s="15" t="s">
        <v>554</v>
      </c>
      <c r="I16" s="15" t="s">
        <v>571</v>
      </c>
      <c r="J16" s="15" t="s">
        <v>546</v>
      </c>
      <c r="K16" s="15" t="s">
        <v>547</v>
      </c>
      <c r="L16" s="15" t="s">
        <v>546</v>
      </c>
      <c r="M16" s="56" t="s">
        <v>547</v>
      </c>
    </row>
    <row r="17" spans="1:13">
      <c r="A17" s="66"/>
      <c r="B17" s="66"/>
      <c r="C17" s="47" t="s">
        <v>572</v>
      </c>
      <c r="D17" s="1" t="s">
        <v>569</v>
      </c>
      <c r="F17" s="1"/>
      <c r="H17" s="15" t="s">
        <v>554</v>
      </c>
      <c r="I17" s="15" t="s">
        <v>571</v>
      </c>
      <c r="K17" s="15" t="s">
        <v>547</v>
      </c>
      <c r="M17" s="56"/>
    </row>
    <row r="18" spans="1:13">
      <c r="A18" s="66"/>
      <c r="B18" s="66"/>
      <c r="C18" s="47" t="s">
        <v>573</v>
      </c>
      <c r="D18" s="1" t="s">
        <v>543</v>
      </c>
      <c r="F18" s="1">
        <v>1</v>
      </c>
      <c r="G18" s="61">
        <v>98.132099999999994</v>
      </c>
      <c r="H18" s="15" t="s">
        <v>554</v>
      </c>
      <c r="I18" s="15" t="s">
        <v>550</v>
      </c>
      <c r="J18" s="15" t="s">
        <v>546</v>
      </c>
      <c r="K18" s="15" t="s">
        <v>547</v>
      </c>
      <c r="L18" s="15" t="s">
        <v>546</v>
      </c>
      <c r="M18" s="56" t="s">
        <v>547</v>
      </c>
    </row>
    <row r="19" spans="1:13">
      <c r="A19" s="66"/>
      <c r="B19" s="66"/>
      <c r="C19" s="47" t="s">
        <v>574</v>
      </c>
      <c r="D19" s="1" t="s">
        <v>569</v>
      </c>
      <c r="F19" s="1"/>
      <c r="H19" s="15" t="s">
        <v>554</v>
      </c>
      <c r="I19" s="15" t="s">
        <v>550</v>
      </c>
      <c r="K19" s="15" t="s">
        <v>547</v>
      </c>
      <c r="M19" s="56"/>
    </row>
    <row r="20" spans="1:13">
      <c r="A20" s="66"/>
      <c r="B20" s="66"/>
      <c r="C20" s="47" t="s">
        <v>575</v>
      </c>
      <c r="D20" s="1" t="s">
        <v>543</v>
      </c>
      <c r="F20" s="1">
        <v>1</v>
      </c>
      <c r="G20" s="61">
        <v>100.773</v>
      </c>
      <c r="H20" s="15" t="s">
        <v>554</v>
      </c>
      <c r="I20" s="15" t="s">
        <v>576</v>
      </c>
      <c r="J20" s="15" t="s">
        <v>546</v>
      </c>
      <c r="K20" s="15" t="s">
        <v>547</v>
      </c>
      <c r="L20" s="15" t="s">
        <v>546</v>
      </c>
      <c r="M20" s="56" t="s">
        <v>547</v>
      </c>
    </row>
    <row r="21" spans="1:13">
      <c r="A21" s="66"/>
      <c r="B21" s="66"/>
      <c r="C21" s="47" t="s">
        <v>577</v>
      </c>
      <c r="D21" s="1" t="s">
        <v>569</v>
      </c>
      <c r="F21" s="1"/>
      <c r="H21" s="15" t="s">
        <v>554</v>
      </c>
      <c r="I21" s="15" t="s">
        <v>576</v>
      </c>
      <c r="K21" s="15" t="s">
        <v>547</v>
      </c>
      <c r="M21" s="56"/>
    </row>
    <row r="22" spans="1:13" s="137" customFormat="1">
      <c r="A22" s="134"/>
      <c r="B22" s="134"/>
      <c r="C22" s="135" t="s">
        <v>578</v>
      </c>
      <c r="D22" s="136" t="s">
        <v>543</v>
      </c>
      <c r="F22" s="136">
        <v>1</v>
      </c>
      <c r="G22" s="138">
        <v>75.372</v>
      </c>
      <c r="H22" s="139" t="s">
        <v>554</v>
      </c>
      <c r="I22" s="139" t="s">
        <v>545</v>
      </c>
      <c r="J22" s="139" t="s">
        <v>546</v>
      </c>
      <c r="K22" s="139" t="s">
        <v>547</v>
      </c>
      <c r="L22" s="139" t="s">
        <v>546</v>
      </c>
      <c r="M22" s="140" t="s">
        <v>547</v>
      </c>
    </row>
    <row r="23" spans="1:13" s="137" customFormat="1">
      <c r="A23" s="134"/>
      <c r="B23" s="134"/>
      <c r="C23" s="135" t="s">
        <v>579</v>
      </c>
      <c r="D23" s="136" t="s">
        <v>569</v>
      </c>
      <c r="F23" s="136"/>
      <c r="G23" s="138"/>
      <c r="H23" s="139" t="s">
        <v>554</v>
      </c>
      <c r="I23" s="139" t="s">
        <v>545</v>
      </c>
      <c r="J23" s="139"/>
      <c r="K23" s="139" t="s">
        <v>547</v>
      </c>
      <c r="L23" s="139"/>
      <c r="M23" s="140"/>
    </row>
    <row r="24" spans="1:13">
      <c r="A24" s="66"/>
      <c r="B24" s="66"/>
      <c r="C24" s="47" t="s">
        <v>580</v>
      </c>
      <c r="D24" s="1" t="s">
        <v>543</v>
      </c>
      <c r="F24" s="1">
        <v>1</v>
      </c>
      <c r="G24" s="61">
        <v>85.988699999999994</v>
      </c>
      <c r="H24" s="15" t="s">
        <v>554</v>
      </c>
      <c r="I24" s="15" t="s">
        <v>547</v>
      </c>
      <c r="J24" s="15" t="s">
        <v>546</v>
      </c>
      <c r="K24" s="15" t="s">
        <v>547</v>
      </c>
      <c r="L24" s="15" t="s">
        <v>546</v>
      </c>
      <c r="M24" s="56" t="s">
        <v>547</v>
      </c>
    </row>
    <row r="25" spans="1:13">
      <c r="A25" s="64"/>
      <c r="B25" s="64"/>
      <c r="C25" s="48" t="s">
        <v>581</v>
      </c>
      <c r="D25" s="84" t="s">
        <v>569</v>
      </c>
      <c r="E25" s="54"/>
      <c r="F25" s="84"/>
      <c r="G25" s="85"/>
      <c r="H25" s="86" t="s">
        <v>554</v>
      </c>
      <c r="I25" s="86" t="s">
        <v>547</v>
      </c>
      <c r="J25" s="86"/>
      <c r="K25" s="86" t="s">
        <v>547</v>
      </c>
      <c r="L25" s="86"/>
      <c r="M25" s="57"/>
    </row>
    <row r="27" spans="1:13" s="53" customFormat="1">
      <c r="A27" s="87" t="s">
        <v>360</v>
      </c>
      <c r="B27" s="87" t="s">
        <v>914</v>
      </c>
      <c r="C27" s="13" t="s">
        <v>915</v>
      </c>
      <c r="D27" s="81" t="s">
        <v>543</v>
      </c>
      <c r="F27" s="81">
        <f>1.5/0.05+1</f>
        <v>31</v>
      </c>
      <c r="G27" s="61">
        <f>31.5*F27+44</f>
        <v>1020.5</v>
      </c>
      <c r="H27" s="83" t="s">
        <v>916</v>
      </c>
      <c r="I27" s="83" t="s">
        <v>545</v>
      </c>
      <c r="J27" s="83" t="s">
        <v>546</v>
      </c>
      <c r="K27" s="83" t="s">
        <v>547</v>
      </c>
      <c r="L27" s="83" t="s">
        <v>546</v>
      </c>
      <c r="M27" s="55" t="s">
        <v>547</v>
      </c>
    </row>
    <row r="28" spans="1:13">
      <c r="A28" s="52"/>
      <c r="B28" s="66"/>
      <c r="C28" s="47" t="s">
        <v>557</v>
      </c>
      <c r="D28" s="1" t="s">
        <v>558</v>
      </c>
      <c r="F28" s="1"/>
      <c r="G28" s="61">
        <v>15</v>
      </c>
      <c r="M28" s="56"/>
    </row>
    <row r="29" spans="1:13">
      <c r="A29" s="66"/>
      <c r="B29" s="52"/>
      <c r="C29" s="90" t="s">
        <v>1493</v>
      </c>
      <c r="D29" t="s">
        <v>543</v>
      </c>
      <c r="F29" s="1">
        <v>1</v>
      </c>
      <c r="G29" s="61">
        <v>68.386399999999995</v>
      </c>
      <c r="H29" s="3" t="s">
        <v>557</v>
      </c>
      <c r="I29" s="3" t="s">
        <v>545</v>
      </c>
      <c r="J29" s="15" t="s">
        <v>546</v>
      </c>
      <c r="K29" s="15" t="s">
        <v>547</v>
      </c>
      <c r="L29" s="15" t="s">
        <v>546</v>
      </c>
      <c r="M29" s="56" t="s">
        <v>547</v>
      </c>
    </row>
    <row r="30" spans="1:13">
      <c r="A30" s="66"/>
      <c r="B30" s="52"/>
      <c r="C30" s="90" t="s">
        <v>637</v>
      </c>
      <c r="D30" t="s">
        <v>569</v>
      </c>
      <c r="F30"/>
      <c r="H30" s="3" t="s">
        <v>557</v>
      </c>
      <c r="I30" s="3" t="s">
        <v>545</v>
      </c>
      <c r="M30" s="56"/>
    </row>
    <row r="31" spans="1:13">
      <c r="A31" s="66"/>
      <c r="B31" s="52"/>
      <c r="C31" s="90" t="s">
        <v>917</v>
      </c>
      <c r="D31" t="s">
        <v>639</v>
      </c>
      <c r="F31"/>
      <c r="H31" s="3" t="s">
        <v>918</v>
      </c>
      <c r="I31" s="3" t="s">
        <v>545</v>
      </c>
      <c r="M31" s="56"/>
    </row>
    <row r="32" spans="1:13">
      <c r="A32" s="66"/>
      <c r="B32" s="52"/>
      <c r="C32" s="90" t="s">
        <v>919</v>
      </c>
      <c r="D32" t="s">
        <v>543</v>
      </c>
      <c r="F32" s="1">
        <v>11</v>
      </c>
      <c r="G32" s="61">
        <f>31.5*F32+44</f>
        <v>390.5</v>
      </c>
      <c r="H32" s="3" t="s">
        <v>920</v>
      </c>
      <c r="I32" s="3" t="s">
        <v>545</v>
      </c>
      <c r="J32" s="15" t="s">
        <v>546</v>
      </c>
      <c r="K32" s="15" t="s">
        <v>547</v>
      </c>
      <c r="L32" s="15" t="s">
        <v>546</v>
      </c>
      <c r="M32" s="56" t="s">
        <v>547</v>
      </c>
    </row>
    <row r="33" spans="1:13">
      <c r="A33" s="66"/>
      <c r="B33" s="52"/>
      <c r="C33" s="90" t="s">
        <v>642</v>
      </c>
      <c r="D33" t="s">
        <v>639</v>
      </c>
      <c r="F33"/>
      <c r="H33" s="3" t="s">
        <v>920</v>
      </c>
      <c r="I33" s="3" t="s">
        <v>545</v>
      </c>
      <c r="K33" s="15" t="s">
        <v>547</v>
      </c>
      <c r="M33" s="56"/>
    </row>
    <row r="34" spans="1:13">
      <c r="A34" s="66"/>
      <c r="B34" s="52"/>
      <c r="C34" s="90" t="s">
        <v>921</v>
      </c>
      <c r="D34" t="s">
        <v>639</v>
      </c>
      <c r="F34"/>
      <c r="H34" s="3" t="s">
        <v>918</v>
      </c>
      <c r="I34" s="3" t="s">
        <v>545</v>
      </c>
      <c r="M34" s="56"/>
    </row>
    <row r="35" spans="1:13">
      <c r="A35" s="66"/>
      <c r="B35" s="52"/>
      <c r="C35" s="90" t="s">
        <v>922</v>
      </c>
      <c r="D35" t="s">
        <v>543</v>
      </c>
      <c r="F35" s="1">
        <v>11</v>
      </c>
      <c r="G35" s="61">
        <f>31.5*F35+44</f>
        <v>390.5</v>
      </c>
      <c r="H35" s="3" t="s">
        <v>920</v>
      </c>
      <c r="I35" s="3" t="s">
        <v>545</v>
      </c>
      <c r="J35" s="15" t="s">
        <v>546</v>
      </c>
      <c r="K35" s="15" t="s">
        <v>547</v>
      </c>
      <c r="L35" s="15" t="s">
        <v>546</v>
      </c>
      <c r="M35" s="56" t="s">
        <v>547</v>
      </c>
    </row>
    <row r="36" spans="1:13">
      <c r="A36" s="66"/>
      <c r="B36" s="52"/>
      <c r="C36" s="90" t="s">
        <v>641</v>
      </c>
      <c r="D36" t="s">
        <v>639</v>
      </c>
      <c r="F36"/>
      <c r="H36" s="3" t="s">
        <v>920</v>
      </c>
      <c r="I36" s="3" t="s">
        <v>545</v>
      </c>
      <c r="K36" s="15" t="s">
        <v>547</v>
      </c>
      <c r="M36" s="56"/>
    </row>
    <row r="37" spans="1:13">
      <c r="A37" s="66"/>
      <c r="B37" s="52"/>
      <c r="C37" s="90" t="s">
        <v>923</v>
      </c>
      <c r="D37" t="s">
        <v>569</v>
      </c>
      <c r="F37"/>
      <c r="H37" s="3" t="s">
        <v>924</v>
      </c>
      <c r="I37" s="3" t="s">
        <v>545</v>
      </c>
      <c r="K37" s="15" t="s">
        <v>547</v>
      </c>
      <c r="M37" s="56"/>
    </row>
    <row r="38" spans="1:13">
      <c r="A38" s="66"/>
      <c r="B38" s="52"/>
      <c r="C38" s="90" t="s">
        <v>925</v>
      </c>
      <c r="D38" t="s">
        <v>569</v>
      </c>
      <c r="F38"/>
      <c r="H38" s="3" t="s">
        <v>926</v>
      </c>
      <c r="I38" s="3" t="s">
        <v>545</v>
      </c>
      <c r="K38" s="15" t="s">
        <v>547</v>
      </c>
      <c r="M38" s="56"/>
    </row>
    <row r="39" spans="1:13">
      <c r="A39" s="66"/>
      <c r="B39" s="52"/>
      <c r="C39" s="90" t="s">
        <v>927</v>
      </c>
      <c r="D39" t="s">
        <v>569</v>
      </c>
      <c r="F39"/>
      <c r="H39" s="3" t="s">
        <v>928</v>
      </c>
      <c r="I39" s="3" t="s">
        <v>545</v>
      </c>
      <c r="K39" s="15" t="s">
        <v>547</v>
      </c>
      <c r="M39" s="56"/>
    </row>
    <row r="40" spans="1:13">
      <c r="A40" s="66"/>
      <c r="B40" s="52"/>
      <c r="C40" s="90" t="s">
        <v>929</v>
      </c>
      <c r="D40" t="s">
        <v>569</v>
      </c>
      <c r="F40"/>
      <c r="H40" s="3" t="s">
        <v>930</v>
      </c>
      <c r="I40" s="3" t="s">
        <v>545</v>
      </c>
      <c r="K40" s="15" t="s">
        <v>547</v>
      </c>
      <c r="M40" s="56"/>
    </row>
    <row r="41" spans="1:13">
      <c r="A41" s="66"/>
      <c r="B41" s="52"/>
      <c r="C41" s="90" t="s">
        <v>931</v>
      </c>
      <c r="D41" t="s">
        <v>569</v>
      </c>
      <c r="F41"/>
      <c r="H41" s="3" t="s">
        <v>932</v>
      </c>
      <c r="I41" s="3" t="s">
        <v>545</v>
      </c>
      <c r="K41" s="15" t="s">
        <v>547</v>
      </c>
      <c r="M41" s="56"/>
    </row>
    <row r="42" spans="1:13">
      <c r="A42" s="66"/>
      <c r="B42" s="52"/>
      <c r="C42" s="90" t="s">
        <v>933</v>
      </c>
      <c r="D42" t="s">
        <v>632</v>
      </c>
      <c r="F42"/>
      <c r="H42" s="3"/>
      <c r="I42" s="3"/>
      <c r="M42" s="56"/>
    </row>
    <row r="43" spans="1:13">
      <c r="A43" s="66"/>
      <c r="B43" s="52"/>
      <c r="C43" s="90" t="s">
        <v>934</v>
      </c>
      <c r="D43" t="s">
        <v>632</v>
      </c>
      <c r="F43"/>
      <c r="H43" s="3"/>
      <c r="I43" s="3"/>
      <c r="M43" s="56"/>
    </row>
    <row r="44" spans="1:13">
      <c r="A44" s="66"/>
      <c r="B44" s="52"/>
      <c r="C44" s="90" t="s">
        <v>935</v>
      </c>
      <c r="D44" t="s">
        <v>632</v>
      </c>
      <c r="F44"/>
      <c r="H44" s="3"/>
      <c r="I44" s="3"/>
      <c r="M44" s="56"/>
    </row>
    <row r="45" spans="1:13">
      <c r="A45" s="66"/>
      <c r="B45" s="66"/>
      <c r="C45" s="47" t="s">
        <v>936</v>
      </c>
      <c r="D45" s="1" t="s">
        <v>585</v>
      </c>
      <c r="F45" s="1"/>
      <c r="H45" s="3" t="s">
        <v>918</v>
      </c>
      <c r="I45" s="15" t="s">
        <v>545</v>
      </c>
      <c r="K45" s="15" t="s">
        <v>547</v>
      </c>
      <c r="M45" s="56"/>
    </row>
    <row r="46" spans="1:13" s="54" customFormat="1">
      <c r="A46" s="64"/>
      <c r="B46" s="64"/>
      <c r="C46" s="48" t="s">
        <v>937</v>
      </c>
      <c r="D46" s="84"/>
      <c r="F46" s="84"/>
      <c r="G46" s="85"/>
      <c r="H46" s="86"/>
      <c r="I46" s="86"/>
      <c r="J46" s="86"/>
      <c r="K46" s="86"/>
      <c r="L46" s="86"/>
      <c r="M46" s="57"/>
    </row>
    <row r="47" spans="1:13">
      <c r="G47" s="61">
        <f>SUM(G27:G35)</f>
        <v>1884.8864000000001</v>
      </c>
    </row>
    <row r="48" spans="1:13" s="53" customFormat="1">
      <c r="A48" s="87" t="s">
        <v>360</v>
      </c>
      <c r="B48" s="87" t="s">
        <v>365</v>
      </c>
      <c r="C48" s="89" t="s">
        <v>593</v>
      </c>
      <c r="D48" s="53" t="s">
        <v>561</v>
      </c>
      <c r="F48" s="53">
        <v>1</v>
      </c>
      <c r="G48" s="82">
        <v>200.27799999999999</v>
      </c>
      <c r="H48" s="88" t="s">
        <v>547</v>
      </c>
      <c r="I48" s="88" t="s">
        <v>552</v>
      </c>
      <c r="J48" s="83"/>
      <c r="K48" s="83"/>
      <c r="L48" s="83"/>
      <c r="M48" s="55" t="s">
        <v>547</v>
      </c>
    </row>
    <row r="49" spans="1:13">
      <c r="A49" s="66"/>
      <c r="B49" s="52"/>
      <c r="C49" s="90" t="s">
        <v>594</v>
      </c>
      <c r="F49"/>
      <c r="H49" s="3"/>
      <c r="I49" s="3"/>
      <c r="M49" s="56"/>
    </row>
    <row r="50" spans="1:13">
      <c r="A50" s="66"/>
      <c r="B50" s="52"/>
      <c r="C50" s="90" t="s">
        <v>595</v>
      </c>
      <c r="F50"/>
      <c r="H50" s="3"/>
      <c r="I50" s="3"/>
      <c r="M50" s="56"/>
    </row>
    <row r="51" spans="1:13">
      <c r="A51" s="66"/>
      <c r="B51" s="52"/>
      <c r="C51" s="90" t="s">
        <v>596</v>
      </c>
      <c r="D51" t="s">
        <v>561</v>
      </c>
      <c r="F51" s="1">
        <v>1</v>
      </c>
      <c r="G51" s="61">
        <v>53.270200000000003</v>
      </c>
      <c r="H51" s="3" t="s">
        <v>597</v>
      </c>
      <c r="I51" s="3" t="s">
        <v>552</v>
      </c>
      <c r="M51" s="56" t="s">
        <v>547</v>
      </c>
    </row>
    <row r="52" spans="1:13">
      <c r="A52" s="66"/>
      <c r="B52" s="52"/>
      <c r="C52" s="90" t="s">
        <v>598</v>
      </c>
      <c r="D52" t="s">
        <v>561</v>
      </c>
      <c r="F52" s="1">
        <v>1</v>
      </c>
      <c r="G52" s="61">
        <v>50.950600000000001</v>
      </c>
      <c r="H52" s="3" t="s">
        <v>599</v>
      </c>
      <c r="I52" s="3" t="s">
        <v>552</v>
      </c>
      <c r="M52" s="56" t="s">
        <v>547</v>
      </c>
    </row>
    <row r="53" spans="1:13">
      <c r="A53" s="66"/>
      <c r="B53" s="52"/>
      <c r="C53" s="90" t="s">
        <v>600</v>
      </c>
      <c r="D53" t="s">
        <v>561</v>
      </c>
      <c r="F53" s="1">
        <v>1</v>
      </c>
      <c r="G53" s="61">
        <v>95.314700000000002</v>
      </c>
      <c r="H53" s="58" t="s">
        <v>601</v>
      </c>
      <c r="I53" s="3" t="s">
        <v>552</v>
      </c>
      <c r="M53" s="56" t="s">
        <v>547</v>
      </c>
    </row>
    <row r="54" spans="1:13">
      <c r="A54" s="66"/>
      <c r="B54" s="52"/>
      <c r="C54" s="90" t="s">
        <v>602</v>
      </c>
      <c r="D54" t="s">
        <v>561</v>
      </c>
      <c r="F54" s="1">
        <v>1</v>
      </c>
      <c r="G54" s="61">
        <v>92.903999999999996</v>
      </c>
      <c r="H54" s="3" t="s">
        <v>552</v>
      </c>
      <c r="I54" s="3" t="s">
        <v>547</v>
      </c>
      <c r="M54" s="56" t="s">
        <v>547</v>
      </c>
    </row>
    <row r="55" spans="1:13">
      <c r="A55" s="66"/>
      <c r="B55" s="52"/>
      <c r="C55" s="90" t="s">
        <v>605</v>
      </c>
      <c r="D55" t="s">
        <v>569</v>
      </c>
      <c r="F55"/>
      <c r="H55" s="3" t="s">
        <v>552</v>
      </c>
      <c r="I55" s="3" t="s">
        <v>545</v>
      </c>
      <c r="M55" s="56"/>
    </row>
    <row r="56" spans="1:13">
      <c r="A56" s="66"/>
      <c r="B56" s="52"/>
      <c r="C56" s="90" t="s">
        <v>606</v>
      </c>
      <c r="D56" t="s">
        <v>569</v>
      </c>
      <c r="F56"/>
      <c r="H56" s="3" t="s">
        <v>607</v>
      </c>
      <c r="I56" s="3" t="s">
        <v>545</v>
      </c>
      <c r="M56" s="56"/>
    </row>
    <row r="57" spans="1:13">
      <c r="A57" s="66"/>
      <c r="B57" s="52"/>
      <c r="C57" s="90" t="s">
        <v>608</v>
      </c>
      <c r="D57" t="s">
        <v>569</v>
      </c>
      <c r="F57"/>
      <c r="H57" s="3" t="s">
        <v>609</v>
      </c>
      <c r="I57" s="3" t="s">
        <v>545</v>
      </c>
      <c r="M57" s="56"/>
    </row>
    <row r="58" spans="1:13">
      <c r="A58" s="66"/>
      <c r="B58" s="52"/>
      <c r="C58" s="90" t="s">
        <v>610</v>
      </c>
      <c r="D58" t="s">
        <v>569</v>
      </c>
      <c r="F58"/>
      <c r="H58" s="3" t="s">
        <v>611</v>
      </c>
      <c r="I58" s="3" t="s">
        <v>545</v>
      </c>
      <c r="M58" s="56"/>
    </row>
    <row r="59" spans="1:13">
      <c r="A59" s="66"/>
      <c r="B59" s="52"/>
      <c r="C59" s="90" t="s">
        <v>1744</v>
      </c>
      <c r="F59"/>
      <c r="H59" s="3"/>
      <c r="I59" s="3"/>
      <c r="M59" s="56"/>
    </row>
    <row r="60" spans="1:13">
      <c r="A60" s="66"/>
      <c r="B60" s="52"/>
      <c r="C60" s="90" t="s">
        <v>938</v>
      </c>
      <c r="D60" t="s">
        <v>543</v>
      </c>
      <c r="F60" s="1">
        <f>(1.05)/0.05+1</f>
        <v>22</v>
      </c>
      <c r="G60" s="61">
        <f>31.5*F60+44</f>
        <v>737</v>
      </c>
      <c r="H60" s="3" t="s">
        <v>918</v>
      </c>
      <c r="I60" s="3" t="s">
        <v>552</v>
      </c>
      <c r="J60" s="15" t="s">
        <v>546</v>
      </c>
      <c r="K60" s="15" t="s">
        <v>547</v>
      </c>
      <c r="L60" s="15" t="s">
        <v>546</v>
      </c>
      <c r="M60" s="56" t="s">
        <v>547</v>
      </c>
    </row>
    <row r="61" spans="1:13">
      <c r="A61" s="66"/>
      <c r="B61" s="52"/>
      <c r="C61" s="90" t="s">
        <v>613</v>
      </c>
      <c r="D61" t="s">
        <v>569</v>
      </c>
      <c r="F61"/>
      <c r="H61" s="3" t="s">
        <v>552</v>
      </c>
      <c r="I61" s="3" t="s">
        <v>552</v>
      </c>
      <c r="M61" s="56"/>
    </row>
    <row r="62" spans="1:13">
      <c r="A62" s="66"/>
      <c r="B62" s="52"/>
      <c r="C62" s="90" t="s">
        <v>614</v>
      </c>
      <c r="D62" t="s">
        <v>569</v>
      </c>
      <c r="F62"/>
      <c r="H62" s="3" t="s">
        <v>607</v>
      </c>
      <c r="I62" s="3" t="s">
        <v>552</v>
      </c>
      <c r="M62" s="56"/>
    </row>
    <row r="63" spans="1:13">
      <c r="A63" s="66"/>
      <c r="B63" s="52"/>
      <c r="C63" s="90" t="s">
        <v>615</v>
      </c>
      <c r="D63" t="s">
        <v>569</v>
      </c>
      <c r="F63"/>
      <c r="H63" s="3" t="s">
        <v>609</v>
      </c>
      <c r="I63" s="3" t="s">
        <v>552</v>
      </c>
      <c r="M63" s="56"/>
    </row>
    <row r="64" spans="1:13">
      <c r="A64" s="66"/>
      <c r="B64" s="52"/>
      <c r="C64" s="90" t="s">
        <v>616</v>
      </c>
      <c r="D64" t="s">
        <v>569</v>
      </c>
      <c r="F64"/>
      <c r="H64" s="3" t="s">
        <v>611</v>
      </c>
      <c r="I64" s="3" t="s">
        <v>552</v>
      </c>
      <c r="M64" s="56"/>
    </row>
    <row r="65" spans="1:13">
      <c r="A65" s="66"/>
      <c r="B65" s="52"/>
      <c r="C65" s="90" t="s">
        <v>619</v>
      </c>
      <c r="D65" t="s">
        <v>569</v>
      </c>
      <c r="F65"/>
      <c r="H65" s="3" t="s">
        <v>620</v>
      </c>
      <c r="I65" s="3" t="s">
        <v>552</v>
      </c>
      <c r="M65" s="56"/>
    </row>
    <row r="66" spans="1:13">
      <c r="A66" s="66"/>
      <c r="B66" s="52"/>
      <c r="C66" s="90" t="s">
        <v>621</v>
      </c>
      <c r="D66" t="s">
        <v>569</v>
      </c>
      <c r="F66"/>
      <c r="H66" s="3" t="s">
        <v>622</v>
      </c>
      <c r="I66" s="3" t="s">
        <v>552</v>
      </c>
      <c r="M66" s="56"/>
    </row>
    <row r="67" spans="1:13">
      <c r="A67" s="66"/>
      <c r="B67" s="52"/>
      <c r="C67" s="90" t="s">
        <v>623</v>
      </c>
      <c r="D67" t="s">
        <v>569</v>
      </c>
      <c r="F67"/>
      <c r="H67" s="3" t="s">
        <v>624</v>
      </c>
      <c r="I67" s="3" t="s">
        <v>552</v>
      </c>
      <c r="M67" s="56"/>
    </row>
    <row r="68" spans="1:13">
      <c r="A68" s="66"/>
      <c r="B68" s="52"/>
      <c r="C68" s="90" t="s">
        <v>625</v>
      </c>
      <c r="D68" t="s">
        <v>569</v>
      </c>
      <c r="F68"/>
      <c r="H68" s="3" t="s">
        <v>550</v>
      </c>
      <c r="I68" s="3" t="s">
        <v>552</v>
      </c>
      <c r="M68" s="56"/>
    </row>
    <row r="69" spans="1:13">
      <c r="A69" s="66"/>
      <c r="B69" s="52"/>
      <c r="C69" s="90" t="s">
        <v>626</v>
      </c>
      <c r="D69" t="s">
        <v>543</v>
      </c>
      <c r="F69" s="1">
        <v>4</v>
      </c>
      <c r="G69" s="61">
        <v>171.91</v>
      </c>
      <c r="H69" s="3" t="s">
        <v>604</v>
      </c>
      <c r="I69" s="3" t="s">
        <v>620</v>
      </c>
      <c r="J69" s="15" t="s">
        <v>546</v>
      </c>
      <c r="K69" s="15" t="s">
        <v>547</v>
      </c>
      <c r="L69" s="15" t="s">
        <v>546</v>
      </c>
      <c r="M69" s="56" t="s">
        <v>547</v>
      </c>
    </row>
    <row r="70" spans="1:13">
      <c r="A70" s="66"/>
      <c r="B70" s="52"/>
      <c r="C70" s="90" t="s">
        <v>627</v>
      </c>
      <c r="D70" t="s">
        <v>569</v>
      </c>
      <c r="F70"/>
      <c r="H70" s="3" t="s">
        <v>552</v>
      </c>
      <c r="I70" s="3" t="s">
        <v>620</v>
      </c>
      <c r="M70" s="56"/>
    </row>
    <row r="71" spans="1:13">
      <c r="A71" s="66"/>
      <c r="B71" s="52"/>
      <c r="C71" s="90" t="s">
        <v>628</v>
      </c>
      <c r="D71" t="s">
        <v>569</v>
      </c>
      <c r="F71"/>
      <c r="H71" s="3" t="s">
        <v>607</v>
      </c>
      <c r="I71" s="3" t="s">
        <v>620</v>
      </c>
      <c r="M71" s="56"/>
    </row>
    <row r="72" spans="1:13">
      <c r="A72" s="66"/>
      <c r="B72" s="52"/>
      <c r="C72" s="90" t="s">
        <v>629</v>
      </c>
      <c r="D72" t="s">
        <v>569</v>
      </c>
      <c r="F72"/>
      <c r="H72" s="3" t="s">
        <v>609</v>
      </c>
      <c r="I72" s="3" t="s">
        <v>620</v>
      </c>
      <c r="M72" s="56"/>
    </row>
    <row r="73" spans="1:13">
      <c r="A73" s="66"/>
      <c r="B73" s="52"/>
      <c r="C73" s="90" t="s">
        <v>630</v>
      </c>
      <c r="D73" t="s">
        <v>569</v>
      </c>
      <c r="F73"/>
      <c r="H73" s="3" t="s">
        <v>611</v>
      </c>
      <c r="I73" s="3" t="s">
        <v>620</v>
      </c>
      <c r="M73" s="56"/>
    </row>
    <row r="74" spans="1:13">
      <c r="A74" s="66"/>
      <c r="B74" s="52"/>
      <c r="C74" s="90" t="s">
        <v>631</v>
      </c>
      <c r="D74" t="s">
        <v>632</v>
      </c>
      <c r="F74"/>
      <c r="H74" s="3"/>
      <c r="I74" s="3"/>
      <c r="M74" s="56"/>
    </row>
    <row r="75" spans="1:13">
      <c r="A75" s="66"/>
      <c r="B75" s="52"/>
      <c r="C75" s="90" t="s">
        <v>633</v>
      </c>
      <c r="D75" t="s">
        <v>632</v>
      </c>
      <c r="F75"/>
      <c r="H75" s="3"/>
      <c r="I75" s="3"/>
      <c r="M75" s="56"/>
    </row>
    <row r="76" spans="1:13">
      <c r="A76" s="66"/>
      <c r="B76" s="52"/>
      <c r="C76" s="90" t="s">
        <v>634</v>
      </c>
      <c r="D76" t="s">
        <v>632</v>
      </c>
      <c r="F76"/>
      <c r="H76" s="3"/>
      <c r="I76" s="3"/>
      <c r="M76" s="56"/>
    </row>
    <row r="77" spans="1:13">
      <c r="A77" s="66"/>
      <c r="B77" s="52"/>
      <c r="C77" s="90" t="s">
        <v>635</v>
      </c>
      <c r="D77" t="s">
        <v>632</v>
      </c>
      <c r="F77"/>
      <c r="H77" s="3"/>
      <c r="I77" s="3"/>
      <c r="M77" s="56"/>
    </row>
    <row r="78" spans="1:13">
      <c r="A78" s="66"/>
      <c r="B78" s="52"/>
      <c r="C78" s="90" t="s">
        <v>939</v>
      </c>
      <c r="D78" t="s">
        <v>639</v>
      </c>
      <c r="F78"/>
      <c r="H78" s="3" t="s">
        <v>918</v>
      </c>
      <c r="I78" s="3" t="s">
        <v>552</v>
      </c>
      <c r="M78" s="56"/>
    </row>
    <row r="79" spans="1:13">
      <c r="A79" s="66"/>
      <c r="B79" s="52"/>
      <c r="C79" s="90" t="s">
        <v>940</v>
      </c>
      <c r="D79" t="s">
        <v>543</v>
      </c>
      <c r="F79" s="1">
        <v>11</v>
      </c>
      <c r="G79" s="61">
        <f>31.5*F79+44</f>
        <v>390.5</v>
      </c>
      <c r="H79" s="3" t="s">
        <v>941</v>
      </c>
      <c r="I79" s="3" t="s">
        <v>552</v>
      </c>
      <c r="J79" s="15" t="s">
        <v>546</v>
      </c>
      <c r="K79" s="15" t="s">
        <v>547</v>
      </c>
      <c r="L79" s="15" t="s">
        <v>546</v>
      </c>
      <c r="M79" s="56" t="s">
        <v>547</v>
      </c>
    </row>
    <row r="80" spans="1:13">
      <c r="A80" s="66"/>
      <c r="B80" s="52"/>
      <c r="C80" s="90" t="s">
        <v>638</v>
      </c>
      <c r="D80" t="s">
        <v>639</v>
      </c>
      <c r="F80"/>
      <c r="H80" s="3" t="s">
        <v>941</v>
      </c>
      <c r="I80" s="3" t="s">
        <v>552</v>
      </c>
      <c r="K80" s="15" t="s">
        <v>547</v>
      </c>
      <c r="M80" s="56"/>
    </row>
    <row r="81" spans="1:13" s="15" customFormat="1">
      <c r="A81" s="66"/>
      <c r="B81" s="52"/>
      <c r="C81" s="90" t="s">
        <v>942</v>
      </c>
      <c r="D81" t="s">
        <v>639</v>
      </c>
      <c r="E81"/>
      <c r="F81"/>
      <c r="G81" s="61"/>
      <c r="H81" s="3" t="s">
        <v>918</v>
      </c>
      <c r="I81" s="3" t="s">
        <v>552</v>
      </c>
      <c r="K81" s="15" t="s">
        <v>547</v>
      </c>
      <c r="M81" s="56"/>
    </row>
    <row r="82" spans="1:13" s="15" customFormat="1">
      <c r="A82" s="66"/>
      <c r="B82" s="52"/>
      <c r="C82" s="90" t="s">
        <v>943</v>
      </c>
      <c r="D82" t="s">
        <v>543</v>
      </c>
      <c r="E82"/>
      <c r="F82" s="1">
        <v>11</v>
      </c>
      <c r="G82" s="61">
        <f>31.5*F82+44</f>
        <v>390.5</v>
      </c>
      <c r="H82" s="3" t="s">
        <v>920</v>
      </c>
      <c r="I82" s="3" t="s">
        <v>552</v>
      </c>
      <c r="J82" s="15" t="s">
        <v>546</v>
      </c>
      <c r="K82" s="15" t="s">
        <v>547</v>
      </c>
      <c r="L82" s="15" t="s">
        <v>546</v>
      </c>
      <c r="M82" s="56" t="s">
        <v>547</v>
      </c>
    </row>
    <row r="83" spans="1:13" s="15" customFormat="1">
      <c r="A83" s="66"/>
      <c r="B83" s="52"/>
      <c r="C83" s="90" t="s">
        <v>654</v>
      </c>
      <c r="D83" t="s">
        <v>639</v>
      </c>
      <c r="E83"/>
      <c r="F83"/>
      <c r="G83" s="61"/>
      <c r="H83" s="3" t="s">
        <v>920</v>
      </c>
      <c r="I83" s="3" t="s">
        <v>552</v>
      </c>
      <c r="K83" s="15" t="s">
        <v>547</v>
      </c>
      <c r="M83" s="56"/>
    </row>
    <row r="84" spans="1:13" s="15" customFormat="1">
      <c r="A84" s="66"/>
      <c r="B84" s="52"/>
      <c r="C84" s="90" t="s">
        <v>944</v>
      </c>
      <c r="D84" t="s">
        <v>639</v>
      </c>
      <c r="E84"/>
      <c r="F84"/>
      <c r="G84" s="61"/>
      <c r="H84" s="3" t="s">
        <v>918</v>
      </c>
      <c r="I84" s="3" t="s">
        <v>552</v>
      </c>
      <c r="K84" s="15" t="s">
        <v>547</v>
      </c>
      <c r="M84" s="56"/>
    </row>
    <row r="85" spans="1:13" s="15" customFormat="1">
      <c r="A85" s="66"/>
      <c r="B85" s="52"/>
      <c r="C85" s="90" t="s">
        <v>945</v>
      </c>
      <c r="D85" t="s">
        <v>543</v>
      </c>
      <c r="E85"/>
      <c r="F85" s="1">
        <v>11</v>
      </c>
      <c r="G85" s="61">
        <f>31.5*F85+44</f>
        <v>390.5</v>
      </c>
      <c r="H85" s="3" t="s">
        <v>920</v>
      </c>
      <c r="I85" s="3" t="s">
        <v>552</v>
      </c>
      <c r="J85" s="15" t="s">
        <v>546</v>
      </c>
      <c r="K85" s="15" t="s">
        <v>547</v>
      </c>
      <c r="L85" s="15" t="s">
        <v>546</v>
      </c>
      <c r="M85" s="56" t="s">
        <v>547</v>
      </c>
    </row>
    <row r="86" spans="1:13" s="15" customFormat="1">
      <c r="A86" s="66"/>
      <c r="B86" s="52"/>
      <c r="C86" s="90" t="s">
        <v>653</v>
      </c>
      <c r="D86" t="s">
        <v>639</v>
      </c>
      <c r="E86"/>
      <c r="F86"/>
      <c r="G86" s="61"/>
      <c r="H86" s="3" t="s">
        <v>920</v>
      </c>
      <c r="I86" s="3" t="s">
        <v>552</v>
      </c>
      <c r="K86" s="15" t="s">
        <v>547</v>
      </c>
      <c r="M86" s="56"/>
    </row>
    <row r="87" spans="1:13" s="15" customFormat="1">
      <c r="A87" s="66"/>
      <c r="B87" s="52"/>
      <c r="C87" s="90" t="s">
        <v>946</v>
      </c>
      <c r="D87" t="s">
        <v>569</v>
      </c>
      <c r="E87"/>
      <c r="F87"/>
      <c r="G87" s="61"/>
      <c r="H87" s="3" t="s">
        <v>924</v>
      </c>
      <c r="I87" s="3" t="s">
        <v>552</v>
      </c>
      <c r="K87" s="15" t="s">
        <v>547</v>
      </c>
      <c r="M87" s="56"/>
    </row>
    <row r="88" spans="1:13" s="15" customFormat="1">
      <c r="A88" s="66"/>
      <c r="B88" s="52"/>
      <c r="C88" s="90" t="s">
        <v>947</v>
      </c>
      <c r="D88" t="s">
        <v>569</v>
      </c>
      <c r="E88"/>
      <c r="F88"/>
      <c r="G88" s="61"/>
      <c r="H88" s="3" t="s">
        <v>926</v>
      </c>
      <c r="I88" s="3" t="s">
        <v>552</v>
      </c>
      <c r="K88" s="15" t="s">
        <v>547</v>
      </c>
      <c r="M88" s="56"/>
    </row>
    <row r="89" spans="1:13" s="15" customFormat="1">
      <c r="A89" s="66"/>
      <c r="B89" s="52"/>
      <c r="C89" s="90" t="s">
        <v>948</v>
      </c>
      <c r="D89" t="s">
        <v>569</v>
      </c>
      <c r="E89"/>
      <c r="F89"/>
      <c r="G89" s="61"/>
      <c r="H89" s="3" t="s">
        <v>928</v>
      </c>
      <c r="I89" s="3" t="s">
        <v>552</v>
      </c>
      <c r="K89" s="15" t="s">
        <v>547</v>
      </c>
      <c r="M89" s="56"/>
    </row>
    <row r="90" spans="1:13" s="15" customFormat="1">
      <c r="A90" s="66"/>
      <c r="B90" s="52"/>
      <c r="C90" s="90" t="s">
        <v>949</v>
      </c>
      <c r="D90" t="s">
        <v>569</v>
      </c>
      <c r="E90"/>
      <c r="F90"/>
      <c r="G90" s="61"/>
      <c r="H90" s="3" t="s">
        <v>930</v>
      </c>
      <c r="I90" s="3" t="s">
        <v>552</v>
      </c>
      <c r="K90" s="15" t="s">
        <v>547</v>
      </c>
      <c r="M90" s="56"/>
    </row>
    <row r="91" spans="1:13" s="15" customFormat="1">
      <c r="A91" s="66"/>
      <c r="B91" s="52"/>
      <c r="C91" s="90" t="s">
        <v>950</v>
      </c>
      <c r="D91" t="s">
        <v>569</v>
      </c>
      <c r="E91"/>
      <c r="F91"/>
      <c r="G91" s="61"/>
      <c r="H91" s="3" t="s">
        <v>932</v>
      </c>
      <c r="I91" s="3" t="s">
        <v>552</v>
      </c>
      <c r="K91" s="15" t="s">
        <v>547</v>
      </c>
      <c r="M91" s="56"/>
    </row>
    <row r="92" spans="1:13" s="15" customFormat="1">
      <c r="A92" s="66"/>
      <c r="B92" s="52"/>
      <c r="C92" s="90" t="s">
        <v>951</v>
      </c>
      <c r="D92" t="s">
        <v>632</v>
      </c>
      <c r="E92"/>
      <c r="F92"/>
      <c r="G92" s="61"/>
      <c r="H92" s="3"/>
      <c r="I92" s="3"/>
      <c r="M92" s="56"/>
    </row>
    <row r="93" spans="1:13" s="15" customFormat="1">
      <c r="A93" s="66"/>
      <c r="B93" s="52"/>
      <c r="C93" s="90" t="s">
        <v>952</v>
      </c>
      <c r="D93" t="s">
        <v>632</v>
      </c>
      <c r="E93"/>
      <c r="F93"/>
      <c r="G93" s="61"/>
      <c r="H93" s="3"/>
      <c r="I93" s="3"/>
      <c r="M93" s="56"/>
    </row>
    <row r="94" spans="1:13" s="15" customFormat="1">
      <c r="A94" s="66"/>
      <c r="B94" s="52"/>
      <c r="C94" s="90" t="s">
        <v>953</v>
      </c>
      <c r="D94" t="s">
        <v>632</v>
      </c>
      <c r="E94"/>
      <c r="F94"/>
      <c r="G94" s="61"/>
      <c r="H94" s="3"/>
      <c r="I94" s="3"/>
      <c r="M94" s="56"/>
    </row>
    <row r="95" spans="1:13" s="15" customFormat="1">
      <c r="A95" s="66"/>
      <c r="B95" s="52"/>
      <c r="C95" s="90" t="s">
        <v>954</v>
      </c>
      <c r="D95" t="s">
        <v>585</v>
      </c>
      <c r="E95"/>
      <c r="F95"/>
      <c r="G95" s="61"/>
      <c r="H95" s="3" t="s">
        <v>918</v>
      </c>
      <c r="I95" s="3" t="s">
        <v>552</v>
      </c>
      <c r="K95" s="15" t="s">
        <v>547</v>
      </c>
      <c r="M95" s="56"/>
    </row>
    <row r="96" spans="1:13" s="15" customFormat="1">
      <c r="A96" s="66"/>
      <c r="B96" s="52"/>
      <c r="C96" s="90" t="s">
        <v>955</v>
      </c>
      <c r="D96"/>
      <c r="E96"/>
      <c r="F96"/>
      <c r="G96" s="61"/>
      <c r="H96" s="3"/>
      <c r="I96" s="3"/>
      <c r="M96" s="56"/>
    </row>
    <row r="97" spans="1:13" s="15" customFormat="1">
      <c r="A97" s="66"/>
      <c r="B97" s="52"/>
      <c r="C97" s="90" t="s">
        <v>665</v>
      </c>
      <c r="D97" t="s">
        <v>632</v>
      </c>
      <c r="E97"/>
      <c r="F97"/>
      <c r="G97" s="61"/>
      <c r="H97" s="3"/>
      <c r="I97" s="3"/>
      <c r="M97" s="56"/>
    </row>
    <row r="98" spans="1:13" s="15" customFormat="1">
      <c r="A98" s="66"/>
      <c r="B98" s="52"/>
      <c r="C98" s="90" t="s">
        <v>666</v>
      </c>
      <c r="D98" t="s">
        <v>632</v>
      </c>
      <c r="E98"/>
      <c r="F98"/>
      <c r="G98" s="61"/>
      <c r="H98" s="3"/>
      <c r="I98" s="3"/>
      <c r="M98" s="56"/>
    </row>
    <row r="99" spans="1:13">
      <c r="A99" s="66"/>
      <c r="B99" s="52"/>
      <c r="C99" s="90" t="s">
        <v>667</v>
      </c>
      <c r="D99" t="s">
        <v>632</v>
      </c>
      <c r="F99"/>
      <c r="H99" s="3"/>
      <c r="I99" s="3"/>
      <c r="M99" s="56"/>
    </row>
    <row r="100" spans="1:13">
      <c r="A100" s="66"/>
      <c r="B100" s="52"/>
      <c r="C100" s="90" t="s">
        <v>668</v>
      </c>
      <c r="D100" t="s">
        <v>561</v>
      </c>
      <c r="F100" s="1">
        <v>1</v>
      </c>
      <c r="G100" s="61">
        <v>95.685400000000001</v>
      </c>
      <c r="H100" s="3" t="s">
        <v>669</v>
      </c>
      <c r="I100" s="3" t="s">
        <v>552</v>
      </c>
      <c r="M100" s="56"/>
    </row>
    <row r="101" spans="1:13" s="54" customFormat="1">
      <c r="A101" s="64"/>
      <c r="B101" s="115"/>
      <c r="C101" s="117" t="s">
        <v>670</v>
      </c>
      <c r="F101" s="84">
        <v>1</v>
      </c>
      <c r="G101" s="85">
        <v>95.685400000000001</v>
      </c>
      <c r="H101" s="91" t="s">
        <v>669</v>
      </c>
      <c r="I101" s="91" t="s">
        <v>552</v>
      </c>
      <c r="J101" s="86"/>
      <c r="K101" s="86"/>
      <c r="L101" s="86"/>
      <c r="M101" s="57"/>
    </row>
    <row r="102" spans="1:13">
      <c r="G102" s="61">
        <f>SUM(G48:G101)</f>
        <v>2764.4982999999997</v>
      </c>
    </row>
    <row r="103" spans="1:13" s="53" customFormat="1">
      <c r="A103" s="87" t="s">
        <v>360</v>
      </c>
      <c r="B103" s="87" t="s">
        <v>1811</v>
      </c>
      <c r="C103" s="89" t="s">
        <v>1812</v>
      </c>
      <c r="D103" s="53" t="s">
        <v>561</v>
      </c>
      <c r="F103" s="53">
        <v>1</v>
      </c>
      <c r="G103" s="82">
        <v>200.27799999999999</v>
      </c>
      <c r="H103" s="88" t="s">
        <v>547</v>
      </c>
      <c r="I103" s="88" t="s">
        <v>1813</v>
      </c>
      <c r="J103" s="83"/>
      <c r="K103" s="83"/>
      <c r="L103" s="83"/>
      <c r="M103" s="55" t="s">
        <v>547</v>
      </c>
    </row>
    <row r="104" spans="1:13">
      <c r="A104" s="66"/>
      <c r="B104" s="52"/>
      <c r="C104" s="90" t="s">
        <v>1814</v>
      </c>
      <c r="F104"/>
      <c r="H104" s="3"/>
      <c r="I104" s="3"/>
      <c r="M104" s="56"/>
    </row>
    <row r="105" spans="1:13">
      <c r="A105" s="66"/>
      <c r="B105" s="52"/>
      <c r="C105" s="90" t="s">
        <v>1815</v>
      </c>
      <c r="F105"/>
      <c r="H105" s="3"/>
      <c r="I105" s="3"/>
      <c r="M105" s="56"/>
    </row>
    <row r="106" spans="1:13">
      <c r="A106" s="66"/>
      <c r="B106" s="52"/>
      <c r="C106" s="90" t="s">
        <v>1816</v>
      </c>
      <c r="D106" t="s">
        <v>561</v>
      </c>
      <c r="F106" s="1">
        <v>1</v>
      </c>
      <c r="G106" s="61">
        <v>53.270200000000003</v>
      </c>
      <c r="H106" s="3" t="s">
        <v>597</v>
      </c>
      <c r="I106" s="3" t="s">
        <v>1813</v>
      </c>
      <c r="M106" s="56" t="s">
        <v>547</v>
      </c>
    </row>
    <row r="107" spans="1:13">
      <c r="A107" s="66"/>
      <c r="B107" s="52"/>
      <c r="C107" s="90" t="s">
        <v>1817</v>
      </c>
      <c r="D107" t="s">
        <v>561</v>
      </c>
      <c r="F107" s="1">
        <v>1</v>
      </c>
      <c r="G107" s="61">
        <v>50.950600000000001</v>
      </c>
      <c r="H107" s="3" t="s">
        <v>599</v>
      </c>
      <c r="I107" s="3" t="s">
        <v>1813</v>
      </c>
      <c r="M107" s="56" t="s">
        <v>547</v>
      </c>
    </row>
    <row r="108" spans="1:13">
      <c r="A108" s="66"/>
      <c r="B108" s="52"/>
      <c r="C108" s="90" t="s">
        <v>1818</v>
      </c>
      <c r="D108" t="s">
        <v>561</v>
      </c>
      <c r="F108" s="1">
        <v>1</v>
      </c>
      <c r="G108" s="61">
        <v>95.314700000000002</v>
      </c>
      <c r="H108" s="58" t="s">
        <v>601</v>
      </c>
      <c r="I108" s="3" t="s">
        <v>1813</v>
      </c>
      <c r="M108" s="56" t="s">
        <v>547</v>
      </c>
    </row>
    <row r="109" spans="1:13">
      <c r="A109" s="66"/>
      <c r="B109" s="52"/>
      <c r="C109" s="90" t="s">
        <v>1819</v>
      </c>
      <c r="D109" t="s">
        <v>561</v>
      </c>
      <c r="F109" s="1">
        <v>1</v>
      </c>
      <c r="G109" s="61">
        <v>92.903999999999996</v>
      </c>
      <c r="H109" s="3" t="s">
        <v>552</v>
      </c>
      <c r="I109" s="3" t="s">
        <v>547</v>
      </c>
      <c r="M109" s="56" t="s">
        <v>547</v>
      </c>
    </row>
    <row r="110" spans="1:13">
      <c r="A110" s="66"/>
      <c r="B110" s="52"/>
      <c r="C110" s="90" t="s">
        <v>1820</v>
      </c>
      <c r="D110" t="s">
        <v>569</v>
      </c>
      <c r="F110"/>
      <c r="H110" s="3" t="s">
        <v>1813</v>
      </c>
      <c r="I110" s="3" t="s">
        <v>545</v>
      </c>
      <c r="M110" s="56"/>
    </row>
    <row r="111" spans="1:13">
      <c r="A111" s="66"/>
      <c r="B111" s="52"/>
      <c r="C111" s="90" t="s">
        <v>1821</v>
      </c>
      <c r="D111" t="s">
        <v>569</v>
      </c>
      <c r="F111"/>
      <c r="H111" s="3" t="s">
        <v>1822</v>
      </c>
      <c r="I111" s="3" t="s">
        <v>545</v>
      </c>
      <c r="M111" s="56"/>
    </row>
    <row r="112" spans="1:13">
      <c r="A112" s="66"/>
      <c r="B112" s="52"/>
      <c r="C112" s="90" t="s">
        <v>1823</v>
      </c>
      <c r="D112" t="s">
        <v>569</v>
      </c>
      <c r="F112"/>
      <c r="H112" s="3" t="s">
        <v>1824</v>
      </c>
      <c r="I112" s="3" t="s">
        <v>545</v>
      </c>
      <c r="M112" s="56"/>
    </row>
    <row r="113" spans="1:13">
      <c r="A113" s="66"/>
      <c r="B113" s="52"/>
      <c r="C113" s="90" t="s">
        <v>1825</v>
      </c>
      <c r="D113" t="s">
        <v>569</v>
      </c>
      <c r="F113"/>
      <c r="H113" s="3" t="s">
        <v>624</v>
      </c>
      <c r="I113" s="3" t="s">
        <v>545</v>
      </c>
      <c r="M113" s="56"/>
    </row>
    <row r="114" spans="1:13">
      <c r="A114" s="66"/>
      <c r="B114" s="52"/>
      <c r="C114" s="90" t="s">
        <v>1826</v>
      </c>
      <c r="D114" t="s">
        <v>543</v>
      </c>
      <c r="F114" s="1">
        <v>27</v>
      </c>
      <c r="G114" s="258">
        <v>1170</v>
      </c>
      <c r="H114" s="59" t="s">
        <v>918</v>
      </c>
      <c r="I114" s="3" t="s">
        <v>1813</v>
      </c>
      <c r="J114" s="15" t="s">
        <v>546</v>
      </c>
      <c r="K114" s="15" t="s">
        <v>547</v>
      </c>
      <c r="L114" s="15" t="s">
        <v>546</v>
      </c>
      <c r="M114" s="56" t="s">
        <v>547</v>
      </c>
    </row>
    <row r="115" spans="1:13" s="245" customFormat="1">
      <c r="A115" s="242"/>
      <c r="B115" s="243"/>
      <c r="C115" s="244" t="s">
        <v>1827</v>
      </c>
      <c r="D115" s="245" t="s">
        <v>569</v>
      </c>
      <c r="G115" s="258"/>
      <c r="H115" s="247" t="s">
        <v>1813</v>
      </c>
      <c r="I115" s="247" t="s">
        <v>1813</v>
      </c>
      <c r="J115" s="248"/>
      <c r="K115" s="248"/>
      <c r="L115" s="248"/>
      <c r="M115" s="249"/>
    </row>
    <row r="116" spans="1:13" s="245" customFormat="1">
      <c r="A116" s="242"/>
      <c r="B116" s="243"/>
      <c r="C116" s="244" t="s">
        <v>1828</v>
      </c>
      <c r="D116" s="245" t="s">
        <v>569</v>
      </c>
      <c r="G116" s="258"/>
      <c r="H116" s="247" t="s">
        <v>1822</v>
      </c>
      <c r="I116" s="247" t="s">
        <v>1813</v>
      </c>
      <c r="J116" s="248"/>
      <c r="K116" s="248"/>
      <c r="L116" s="248"/>
      <c r="M116" s="249"/>
    </row>
    <row r="117" spans="1:13" s="245" customFormat="1">
      <c r="A117" s="242"/>
      <c r="B117" s="243"/>
      <c r="C117" s="244" t="s">
        <v>1829</v>
      </c>
      <c r="D117" s="245" t="s">
        <v>569</v>
      </c>
      <c r="G117" s="258"/>
      <c r="H117" s="247" t="s">
        <v>1824</v>
      </c>
      <c r="I117" s="247" t="s">
        <v>1813</v>
      </c>
      <c r="J117" s="248"/>
      <c r="K117" s="248"/>
      <c r="L117" s="248"/>
      <c r="M117" s="249"/>
    </row>
    <row r="118" spans="1:13">
      <c r="A118" s="66"/>
      <c r="B118" s="52"/>
      <c r="C118" s="90" t="s">
        <v>1830</v>
      </c>
      <c r="D118" t="s">
        <v>569</v>
      </c>
      <c r="F118"/>
      <c r="G118" s="258"/>
      <c r="H118" s="3" t="s">
        <v>624</v>
      </c>
      <c r="I118" s="3" t="s">
        <v>1813</v>
      </c>
      <c r="M118" s="56"/>
    </row>
    <row r="119" spans="1:13">
      <c r="A119" s="66"/>
      <c r="B119" s="52"/>
      <c r="C119" s="90" t="s">
        <v>1831</v>
      </c>
      <c r="D119" t="s">
        <v>569</v>
      </c>
      <c r="F119"/>
      <c r="G119" s="258"/>
      <c r="H119" s="3" t="s">
        <v>748</v>
      </c>
      <c r="I119" s="3" t="s">
        <v>1813</v>
      </c>
      <c r="M119" s="56"/>
    </row>
    <row r="120" spans="1:13" s="245" customFormat="1">
      <c r="A120" s="242"/>
      <c r="B120" s="243"/>
      <c r="C120" s="244" t="s">
        <v>621</v>
      </c>
      <c r="D120" s="245" t="s">
        <v>569</v>
      </c>
      <c r="G120" s="258"/>
      <c r="H120" s="247" t="s">
        <v>622</v>
      </c>
      <c r="I120" s="247" t="s">
        <v>552</v>
      </c>
      <c r="J120" s="248"/>
      <c r="K120" s="248"/>
      <c r="L120" s="248"/>
      <c r="M120" s="249"/>
    </row>
    <row r="121" spans="1:13" s="245" customFormat="1">
      <c r="A121" s="242"/>
      <c r="B121" s="243"/>
      <c r="C121" s="244" t="s">
        <v>623</v>
      </c>
      <c r="D121" s="245" t="s">
        <v>569</v>
      </c>
      <c r="G121" s="258"/>
      <c r="H121" s="247" t="s">
        <v>624</v>
      </c>
      <c r="I121" s="247" t="s">
        <v>552</v>
      </c>
      <c r="J121" s="248"/>
      <c r="K121" s="248"/>
      <c r="L121" s="248"/>
      <c r="M121" s="249"/>
    </row>
    <row r="122" spans="1:13" s="245" customFormat="1">
      <c r="A122" s="242"/>
      <c r="B122" s="243"/>
      <c r="C122" s="244" t="s">
        <v>625</v>
      </c>
      <c r="D122" s="245" t="s">
        <v>569</v>
      </c>
      <c r="G122" s="258"/>
      <c r="H122" s="247" t="s">
        <v>550</v>
      </c>
      <c r="I122" s="247" t="s">
        <v>552</v>
      </c>
      <c r="J122" s="248"/>
      <c r="K122" s="248"/>
      <c r="L122" s="248"/>
      <c r="M122" s="249"/>
    </row>
    <row r="123" spans="1:13">
      <c r="A123" s="66"/>
      <c r="B123" s="52"/>
      <c r="C123" s="90" t="s">
        <v>1832</v>
      </c>
      <c r="D123" t="s">
        <v>543</v>
      </c>
      <c r="F123" s="1">
        <v>1</v>
      </c>
      <c r="G123" s="258">
        <v>83</v>
      </c>
      <c r="H123" s="3" t="s">
        <v>1813</v>
      </c>
      <c r="I123" s="3" t="s">
        <v>748</v>
      </c>
      <c r="J123" s="15" t="s">
        <v>546</v>
      </c>
      <c r="K123" s="15" t="s">
        <v>547</v>
      </c>
      <c r="L123" s="15" t="s">
        <v>546</v>
      </c>
      <c r="M123" s="56" t="s">
        <v>547</v>
      </c>
    </row>
    <row r="124" spans="1:13">
      <c r="A124" s="66"/>
      <c r="B124" s="52"/>
      <c r="C124" s="90" t="s">
        <v>1833</v>
      </c>
      <c r="D124" t="s">
        <v>569</v>
      </c>
      <c r="F124"/>
      <c r="G124" s="258"/>
      <c r="H124" s="3" t="s">
        <v>1813</v>
      </c>
      <c r="I124" s="3" t="s">
        <v>748</v>
      </c>
      <c r="M124" s="56"/>
    </row>
    <row r="125" spans="1:13" s="245" customFormat="1">
      <c r="A125" s="242"/>
      <c r="B125" s="243"/>
      <c r="C125" s="90" t="s">
        <v>1834</v>
      </c>
      <c r="D125" t="s">
        <v>543</v>
      </c>
      <c r="E125"/>
      <c r="F125" s="1">
        <v>1</v>
      </c>
      <c r="G125" s="258">
        <v>82</v>
      </c>
      <c r="H125" s="3" t="s">
        <v>1835</v>
      </c>
      <c r="I125" s="3" t="s">
        <v>1813</v>
      </c>
      <c r="J125" s="15" t="s">
        <v>546</v>
      </c>
      <c r="K125" s="15" t="s">
        <v>547</v>
      </c>
      <c r="L125" s="15" t="s">
        <v>546</v>
      </c>
      <c r="M125" s="56" t="s">
        <v>547</v>
      </c>
    </row>
    <row r="126" spans="1:13" s="245" customFormat="1">
      <c r="A126" s="242"/>
      <c r="B126" s="243"/>
      <c r="C126" s="90" t="s">
        <v>1836</v>
      </c>
      <c r="D126" t="s">
        <v>543</v>
      </c>
      <c r="E126"/>
      <c r="F126" s="1">
        <v>1</v>
      </c>
      <c r="G126" s="258">
        <v>81</v>
      </c>
      <c r="H126" s="3" t="s">
        <v>1813</v>
      </c>
      <c r="I126" s="3" t="s">
        <v>1835</v>
      </c>
      <c r="J126" s="15" t="s">
        <v>546</v>
      </c>
      <c r="K126" s="15" t="s">
        <v>547</v>
      </c>
      <c r="L126" s="15" t="s">
        <v>546</v>
      </c>
      <c r="M126" s="56" t="s">
        <v>547</v>
      </c>
    </row>
    <row r="127" spans="1:13" s="245" customFormat="1">
      <c r="A127" s="242"/>
      <c r="B127" s="243"/>
      <c r="C127" s="90" t="s">
        <v>1837</v>
      </c>
      <c r="D127" t="s">
        <v>569</v>
      </c>
      <c r="E127"/>
      <c r="F127"/>
      <c r="G127" s="258"/>
      <c r="H127" s="3" t="s">
        <v>1813</v>
      </c>
      <c r="I127" s="3" t="s">
        <v>1835</v>
      </c>
      <c r="J127" s="248"/>
      <c r="K127" s="248"/>
      <c r="L127" s="248"/>
      <c r="M127" s="249"/>
    </row>
    <row r="128" spans="1:13" s="245" customFormat="1">
      <c r="A128" s="242"/>
      <c r="B128" s="243"/>
      <c r="C128" s="244" t="s">
        <v>630</v>
      </c>
      <c r="D128" s="245" t="s">
        <v>569</v>
      </c>
      <c r="G128" s="246"/>
      <c r="H128" s="247" t="s">
        <v>611</v>
      </c>
      <c r="I128" s="247" t="s">
        <v>620</v>
      </c>
      <c r="J128" s="248"/>
      <c r="K128" s="248"/>
      <c r="L128" s="248"/>
      <c r="M128" s="249"/>
    </row>
    <row r="129" spans="1:13">
      <c r="A129" s="66"/>
      <c r="B129" s="52"/>
      <c r="C129" s="90" t="s">
        <v>1838</v>
      </c>
      <c r="D129" t="s">
        <v>632</v>
      </c>
      <c r="F129"/>
      <c r="H129" s="3"/>
      <c r="I129" s="3"/>
      <c r="M129" s="56"/>
    </row>
    <row r="130" spans="1:13" s="245" customFormat="1">
      <c r="A130" s="242"/>
      <c r="B130" s="243"/>
      <c r="C130" s="90" t="s">
        <v>1839</v>
      </c>
      <c r="D130" t="s">
        <v>632</v>
      </c>
      <c r="G130" s="246"/>
      <c r="H130" s="247"/>
      <c r="I130" s="247"/>
      <c r="J130" s="248"/>
      <c r="K130" s="248"/>
      <c r="L130" s="248"/>
      <c r="M130" s="249"/>
    </row>
    <row r="131" spans="1:13" s="245" customFormat="1">
      <c r="A131" s="242"/>
      <c r="B131" s="243"/>
      <c r="C131" s="244" t="s">
        <v>634</v>
      </c>
      <c r="D131" s="245" t="s">
        <v>632</v>
      </c>
      <c r="G131" s="246"/>
      <c r="H131" s="247"/>
      <c r="I131" s="247"/>
      <c r="J131" s="248"/>
      <c r="K131" s="248"/>
      <c r="L131" s="248"/>
      <c r="M131" s="249"/>
    </row>
    <row r="132" spans="1:13" s="245" customFormat="1">
      <c r="A132" s="242"/>
      <c r="B132" s="243"/>
      <c r="C132" s="244" t="s">
        <v>635</v>
      </c>
      <c r="D132" s="245" t="s">
        <v>632</v>
      </c>
      <c r="G132" s="246"/>
      <c r="H132" s="247"/>
      <c r="I132" s="247"/>
      <c r="J132" s="248"/>
      <c r="K132" s="248"/>
      <c r="L132" s="248"/>
      <c r="M132" s="249"/>
    </row>
    <row r="133" spans="1:13">
      <c r="A133" s="66"/>
      <c r="B133" s="52"/>
      <c r="C133" s="90" t="s">
        <v>1840</v>
      </c>
      <c r="D133" t="s">
        <v>639</v>
      </c>
      <c r="F133"/>
      <c r="H133" s="3" t="s">
        <v>918</v>
      </c>
      <c r="I133" s="3" t="s">
        <v>1813</v>
      </c>
      <c r="M133" s="56"/>
    </row>
    <row r="134" spans="1:13">
      <c r="A134" s="66"/>
      <c r="B134" s="52"/>
      <c r="C134" s="90" t="s">
        <v>1841</v>
      </c>
      <c r="D134" t="s">
        <v>543</v>
      </c>
      <c r="F134" s="1">
        <v>11</v>
      </c>
      <c r="G134" s="61">
        <v>348</v>
      </c>
      <c r="H134" s="3" t="s">
        <v>941</v>
      </c>
      <c r="I134" s="3" t="s">
        <v>1813</v>
      </c>
      <c r="J134" s="15" t="s">
        <v>546</v>
      </c>
      <c r="K134" s="15" t="s">
        <v>547</v>
      </c>
      <c r="L134" s="15" t="s">
        <v>546</v>
      </c>
      <c r="M134" s="56" t="s">
        <v>547</v>
      </c>
    </row>
    <row r="135" spans="1:13">
      <c r="A135" s="66"/>
      <c r="B135" s="52"/>
      <c r="C135" s="90" t="s">
        <v>1842</v>
      </c>
      <c r="D135" t="s">
        <v>639</v>
      </c>
      <c r="F135"/>
      <c r="H135" s="3" t="s">
        <v>941</v>
      </c>
      <c r="I135" s="3" t="s">
        <v>1813</v>
      </c>
      <c r="K135" s="15" t="s">
        <v>547</v>
      </c>
      <c r="M135" s="56"/>
    </row>
    <row r="136" spans="1:13" s="15" customFormat="1">
      <c r="A136" s="66"/>
      <c r="B136" s="52"/>
      <c r="C136" s="90" t="s">
        <v>1843</v>
      </c>
      <c r="D136" t="s">
        <v>639</v>
      </c>
      <c r="E136"/>
      <c r="F136"/>
      <c r="G136" s="61"/>
      <c r="H136" s="3" t="s">
        <v>918</v>
      </c>
      <c r="I136" s="3" t="s">
        <v>1813</v>
      </c>
      <c r="K136" s="15" t="s">
        <v>547</v>
      </c>
      <c r="M136" s="56"/>
    </row>
    <row r="137" spans="1:13" s="15" customFormat="1">
      <c r="A137" s="66"/>
      <c r="B137" s="52"/>
      <c r="C137" s="90" t="s">
        <v>1844</v>
      </c>
      <c r="D137" t="s">
        <v>543</v>
      </c>
      <c r="E137"/>
      <c r="F137" s="1">
        <v>11</v>
      </c>
      <c r="G137" s="61">
        <v>247</v>
      </c>
      <c r="H137" s="3" t="s">
        <v>920</v>
      </c>
      <c r="I137" s="3" t="s">
        <v>1813</v>
      </c>
      <c r="J137" s="15" t="s">
        <v>546</v>
      </c>
      <c r="K137" s="15" t="s">
        <v>547</v>
      </c>
      <c r="L137" s="15" t="s">
        <v>546</v>
      </c>
      <c r="M137" s="56" t="s">
        <v>547</v>
      </c>
    </row>
    <row r="138" spans="1:13" s="15" customFormat="1">
      <c r="A138" s="66"/>
      <c r="B138" s="52"/>
      <c r="C138" s="90" t="s">
        <v>1845</v>
      </c>
      <c r="D138" t="s">
        <v>639</v>
      </c>
      <c r="E138"/>
      <c r="F138"/>
      <c r="G138" s="61"/>
      <c r="H138" s="3" t="s">
        <v>920</v>
      </c>
      <c r="I138" s="3" t="s">
        <v>1813</v>
      </c>
      <c r="K138" s="15" t="s">
        <v>547</v>
      </c>
      <c r="M138" s="56"/>
    </row>
    <row r="139" spans="1:13" s="15" customFormat="1">
      <c r="A139" s="66"/>
      <c r="B139" s="52"/>
      <c r="C139" s="90" t="s">
        <v>1846</v>
      </c>
      <c r="D139" t="s">
        <v>639</v>
      </c>
      <c r="E139"/>
      <c r="F139"/>
      <c r="G139" s="61"/>
      <c r="H139" s="3" t="s">
        <v>918</v>
      </c>
      <c r="I139" s="3" t="s">
        <v>1813</v>
      </c>
      <c r="K139" s="15" t="s">
        <v>547</v>
      </c>
      <c r="M139" s="56"/>
    </row>
    <row r="140" spans="1:13" s="15" customFormat="1">
      <c r="A140" s="66"/>
      <c r="B140" s="52"/>
      <c r="C140" s="90" t="s">
        <v>1847</v>
      </c>
      <c r="D140" t="s">
        <v>543</v>
      </c>
      <c r="E140"/>
      <c r="F140" s="1">
        <v>11</v>
      </c>
      <c r="G140" s="61">
        <v>305</v>
      </c>
      <c r="H140" s="3" t="s">
        <v>920</v>
      </c>
      <c r="I140" s="3" t="s">
        <v>1813</v>
      </c>
      <c r="J140" s="15" t="s">
        <v>546</v>
      </c>
      <c r="K140" s="15" t="s">
        <v>547</v>
      </c>
      <c r="L140" s="15" t="s">
        <v>546</v>
      </c>
      <c r="M140" s="56" t="s">
        <v>547</v>
      </c>
    </row>
    <row r="141" spans="1:13" s="15" customFormat="1">
      <c r="A141" s="66"/>
      <c r="B141" s="52"/>
      <c r="C141" s="90" t="s">
        <v>1848</v>
      </c>
      <c r="D141" t="s">
        <v>639</v>
      </c>
      <c r="E141"/>
      <c r="F141"/>
      <c r="G141" s="61"/>
      <c r="H141" s="3" t="s">
        <v>920</v>
      </c>
      <c r="I141" s="3" t="s">
        <v>1813</v>
      </c>
      <c r="K141" s="15" t="s">
        <v>547</v>
      </c>
      <c r="M141" s="56"/>
    </row>
    <row r="142" spans="1:13" s="15" customFormat="1">
      <c r="A142" s="66"/>
      <c r="B142" s="52"/>
      <c r="C142" s="90" t="s">
        <v>1849</v>
      </c>
      <c r="D142" t="s">
        <v>569</v>
      </c>
      <c r="E142"/>
      <c r="F142"/>
      <c r="G142" s="61"/>
      <c r="H142" s="3" t="s">
        <v>924</v>
      </c>
      <c r="I142" s="3" t="s">
        <v>1813</v>
      </c>
      <c r="K142" s="15" t="s">
        <v>547</v>
      </c>
      <c r="M142" s="56"/>
    </row>
    <row r="143" spans="1:13" s="15" customFormat="1">
      <c r="A143" s="66"/>
      <c r="B143" s="52"/>
      <c r="C143" s="90" t="s">
        <v>1850</v>
      </c>
      <c r="D143" t="s">
        <v>569</v>
      </c>
      <c r="E143"/>
      <c r="F143"/>
      <c r="G143" s="61"/>
      <c r="H143" s="3" t="s">
        <v>926</v>
      </c>
      <c r="I143" s="3" t="s">
        <v>1813</v>
      </c>
      <c r="K143" s="15" t="s">
        <v>547</v>
      </c>
      <c r="M143" s="56"/>
    </row>
    <row r="144" spans="1:13" s="15" customFormat="1">
      <c r="A144" s="66"/>
      <c r="B144" s="52"/>
      <c r="C144" s="90" t="s">
        <v>1851</v>
      </c>
      <c r="D144" t="s">
        <v>569</v>
      </c>
      <c r="E144"/>
      <c r="F144"/>
      <c r="G144" s="61"/>
      <c r="H144" s="3" t="s">
        <v>928</v>
      </c>
      <c r="I144" s="3" t="s">
        <v>1813</v>
      </c>
      <c r="K144" s="15" t="s">
        <v>547</v>
      </c>
      <c r="M144" s="56"/>
    </row>
    <row r="145" spans="1:13" s="15" customFormat="1">
      <c r="A145" s="66"/>
      <c r="B145" s="52"/>
      <c r="C145" s="90" t="s">
        <v>1852</v>
      </c>
      <c r="D145" t="s">
        <v>569</v>
      </c>
      <c r="E145"/>
      <c r="F145"/>
      <c r="G145" s="61"/>
      <c r="H145" s="3" t="s">
        <v>930</v>
      </c>
      <c r="I145" s="3" t="s">
        <v>1813</v>
      </c>
      <c r="K145" s="15" t="s">
        <v>547</v>
      </c>
      <c r="M145" s="56"/>
    </row>
    <row r="146" spans="1:13" s="15" customFormat="1">
      <c r="A146" s="66"/>
      <c r="B146" s="52"/>
      <c r="C146" s="90" t="s">
        <v>1853</v>
      </c>
      <c r="D146" t="s">
        <v>569</v>
      </c>
      <c r="E146"/>
      <c r="F146"/>
      <c r="G146" s="61"/>
      <c r="H146" s="3" t="s">
        <v>932</v>
      </c>
      <c r="I146" s="3" t="s">
        <v>1813</v>
      </c>
      <c r="K146" s="15" t="s">
        <v>547</v>
      </c>
      <c r="M146" s="56"/>
    </row>
    <row r="147" spans="1:13" s="15" customFormat="1">
      <c r="A147" s="66"/>
      <c r="B147" s="52"/>
      <c r="C147" s="90" t="s">
        <v>1854</v>
      </c>
      <c r="D147" t="s">
        <v>632</v>
      </c>
      <c r="E147"/>
      <c r="F147"/>
      <c r="G147" s="61"/>
      <c r="H147" s="3"/>
      <c r="I147" s="3"/>
      <c r="M147" s="56"/>
    </row>
    <row r="148" spans="1:13" s="15" customFormat="1">
      <c r="A148" s="66"/>
      <c r="B148" s="52"/>
      <c r="C148" s="90" t="s">
        <v>1855</v>
      </c>
      <c r="D148" t="s">
        <v>632</v>
      </c>
      <c r="E148"/>
      <c r="F148"/>
      <c r="G148" s="61"/>
      <c r="H148" s="3"/>
      <c r="I148" s="3"/>
      <c r="M148" s="56"/>
    </row>
    <row r="149" spans="1:13" s="15" customFormat="1">
      <c r="A149" s="66"/>
      <c r="B149" s="52"/>
      <c r="C149" s="90" t="s">
        <v>1856</v>
      </c>
      <c r="D149" t="s">
        <v>632</v>
      </c>
      <c r="E149"/>
      <c r="F149"/>
      <c r="G149" s="61"/>
      <c r="H149" s="3"/>
      <c r="I149" s="3"/>
      <c r="M149" s="56"/>
    </row>
    <row r="150" spans="1:13" s="15" customFormat="1">
      <c r="A150" s="66"/>
      <c r="B150" s="52"/>
      <c r="C150" s="90" t="s">
        <v>1857</v>
      </c>
      <c r="D150" t="s">
        <v>585</v>
      </c>
      <c r="E150"/>
      <c r="F150"/>
      <c r="G150" s="61"/>
      <c r="H150" s="3" t="s">
        <v>918</v>
      </c>
      <c r="I150" s="3" t="s">
        <v>552</v>
      </c>
      <c r="K150" s="15" t="s">
        <v>547</v>
      </c>
      <c r="M150" s="56"/>
    </row>
    <row r="151" spans="1:13" s="15" customFormat="1">
      <c r="A151" s="66"/>
      <c r="B151" s="52"/>
      <c r="C151" s="90" t="s">
        <v>1858</v>
      </c>
      <c r="D151"/>
      <c r="E151"/>
      <c r="F151"/>
      <c r="G151" s="61"/>
      <c r="H151" s="3"/>
      <c r="I151" s="3"/>
      <c r="M151" s="56"/>
    </row>
    <row r="152" spans="1:13" s="15" customFormat="1">
      <c r="A152" s="66"/>
      <c r="B152" s="52"/>
      <c r="C152" s="90" t="s">
        <v>1859</v>
      </c>
      <c r="D152" t="s">
        <v>632</v>
      </c>
      <c r="E152"/>
      <c r="F152"/>
      <c r="G152" s="61"/>
      <c r="H152" s="3"/>
      <c r="I152" s="3"/>
      <c r="M152" s="56"/>
    </row>
    <row r="153" spans="1:13" s="15" customFormat="1">
      <c r="A153" s="66"/>
      <c r="B153" s="52"/>
      <c r="C153" s="90" t="s">
        <v>1860</v>
      </c>
      <c r="D153" t="s">
        <v>632</v>
      </c>
      <c r="E153"/>
      <c r="F153"/>
      <c r="G153" s="61"/>
      <c r="H153" s="3"/>
      <c r="I153" s="3"/>
      <c r="M153" s="56"/>
    </row>
    <row r="154" spans="1:13">
      <c r="A154" s="66"/>
      <c r="B154" s="52"/>
      <c r="C154" s="90" t="s">
        <v>1861</v>
      </c>
      <c r="D154" t="s">
        <v>632</v>
      </c>
      <c r="F154"/>
      <c r="H154" s="3"/>
      <c r="I154" s="3"/>
      <c r="M154" s="56"/>
    </row>
    <row r="155" spans="1:13">
      <c r="A155" s="66"/>
      <c r="B155" s="52"/>
      <c r="C155" s="90" t="s">
        <v>1862</v>
      </c>
      <c r="D155" t="s">
        <v>561</v>
      </c>
      <c r="F155" s="1">
        <v>1</v>
      </c>
      <c r="G155" s="61">
        <v>95.685400000000001</v>
      </c>
      <c r="H155" s="3" t="s">
        <v>669</v>
      </c>
      <c r="I155" s="3" t="s">
        <v>552</v>
      </c>
      <c r="M155" s="56"/>
    </row>
    <row r="156" spans="1:13" s="54" customFormat="1">
      <c r="A156" s="64"/>
      <c r="B156" s="115"/>
      <c r="C156" s="117" t="s">
        <v>1863</v>
      </c>
      <c r="F156" s="84">
        <v>1</v>
      </c>
      <c r="G156" s="85">
        <v>95.685400000000001</v>
      </c>
      <c r="H156" s="91" t="s">
        <v>669</v>
      </c>
      <c r="I156" s="91" t="s">
        <v>552</v>
      </c>
      <c r="J156" s="86"/>
      <c r="K156" s="86"/>
      <c r="L156" s="86"/>
      <c r="M156" s="57"/>
    </row>
    <row r="158" spans="1:13" s="53" customFormat="1">
      <c r="A158" s="87" t="s">
        <v>360</v>
      </c>
      <c r="B158" s="87" t="s">
        <v>1864</v>
      </c>
      <c r="C158" s="89" t="s">
        <v>1865</v>
      </c>
      <c r="D158" s="53" t="s">
        <v>543</v>
      </c>
      <c r="F158" s="81">
        <v>3</v>
      </c>
      <c r="G158" s="250">
        <v>200</v>
      </c>
      <c r="H158" s="88" t="s">
        <v>1866</v>
      </c>
      <c r="I158" s="88" t="s">
        <v>1813</v>
      </c>
      <c r="J158" s="83" t="s">
        <v>546</v>
      </c>
      <c r="K158" s="83" t="s">
        <v>547</v>
      </c>
      <c r="L158" s="83" t="s">
        <v>546</v>
      </c>
      <c r="M158" s="55" t="s">
        <v>547</v>
      </c>
    </row>
    <row r="159" spans="1:13" s="168" customFormat="1">
      <c r="A159" s="254"/>
      <c r="B159" s="255"/>
      <c r="C159" s="256" t="s">
        <v>1827</v>
      </c>
      <c r="D159" s="168" t="s">
        <v>569</v>
      </c>
      <c r="G159" s="258"/>
      <c r="H159" s="259" t="s">
        <v>1813</v>
      </c>
      <c r="I159" s="259" t="s">
        <v>1813</v>
      </c>
      <c r="J159" s="260"/>
      <c r="K159" s="260"/>
      <c r="L159" s="260"/>
      <c r="M159" s="257"/>
    </row>
    <row r="160" spans="1:13" s="168" customFormat="1">
      <c r="A160" s="254"/>
      <c r="B160" s="255"/>
      <c r="C160" s="256" t="s">
        <v>1828</v>
      </c>
      <c r="D160" s="168" t="s">
        <v>569</v>
      </c>
      <c r="G160" s="258"/>
      <c r="H160" s="259" t="s">
        <v>1822</v>
      </c>
      <c r="I160" s="259" t="s">
        <v>1813</v>
      </c>
      <c r="J160" s="260"/>
      <c r="K160" s="260"/>
      <c r="L160" s="260"/>
      <c r="M160" s="257"/>
    </row>
    <row r="161" spans="1:16" s="168" customFormat="1">
      <c r="A161" s="261"/>
      <c r="B161" s="262"/>
      <c r="C161" s="263" t="s">
        <v>1829</v>
      </c>
      <c r="D161" s="264" t="s">
        <v>569</v>
      </c>
      <c r="E161" s="264"/>
      <c r="F161" s="264"/>
      <c r="G161" s="265"/>
      <c r="H161" s="266" t="s">
        <v>1824</v>
      </c>
      <c r="I161" s="266" t="s">
        <v>1813</v>
      </c>
      <c r="J161" s="267"/>
      <c r="K161" s="267"/>
      <c r="L161" s="267"/>
      <c r="M161" s="268"/>
    </row>
    <row r="163" spans="1:16" s="53" customFormat="1">
      <c r="A163" s="87" t="s">
        <v>360</v>
      </c>
      <c r="B163" s="63" t="s">
        <v>956</v>
      </c>
      <c r="C163" s="53" t="s">
        <v>671</v>
      </c>
      <c r="D163" s="53" t="s">
        <v>543</v>
      </c>
      <c r="F163" s="81">
        <v>6</v>
      </c>
      <c r="G163" s="61">
        <f>31.5*F163+44</f>
        <v>233</v>
      </c>
      <c r="H163" s="88" t="s">
        <v>672</v>
      </c>
      <c r="I163" s="88" t="s">
        <v>545</v>
      </c>
      <c r="J163" s="83" t="s">
        <v>546</v>
      </c>
      <c r="K163" s="83" t="s">
        <v>547</v>
      </c>
      <c r="L163" s="83" t="s">
        <v>546</v>
      </c>
      <c r="M163" s="55" t="s">
        <v>547</v>
      </c>
      <c r="P163" s="82"/>
    </row>
    <row r="164" spans="1:16">
      <c r="A164" s="52"/>
      <c r="B164" s="66"/>
      <c r="C164" t="s">
        <v>673</v>
      </c>
      <c r="D164" t="s">
        <v>569</v>
      </c>
      <c r="F164"/>
      <c r="H164" s="3" t="s">
        <v>674</v>
      </c>
      <c r="I164" s="3" t="s">
        <v>545</v>
      </c>
      <c r="M164" s="56"/>
    </row>
    <row r="165" spans="1:16">
      <c r="A165" s="52"/>
      <c r="B165" s="66"/>
      <c r="C165" t="s">
        <v>675</v>
      </c>
      <c r="D165" t="s">
        <v>569</v>
      </c>
      <c r="F165" s="1"/>
      <c r="H165" s="3" t="s">
        <v>676</v>
      </c>
      <c r="I165" s="3" t="s">
        <v>545</v>
      </c>
      <c r="M165" s="56"/>
    </row>
    <row r="166" spans="1:16">
      <c r="A166" s="52"/>
      <c r="B166" s="66"/>
      <c r="C166" t="s">
        <v>677</v>
      </c>
      <c r="D166" t="s">
        <v>569</v>
      </c>
      <c r="F166" s="1"/>
      <c r="H166" s="3" t="s">
        <v>678</v>
      </c>
      <c r="I166" s="3" t="s">
        <v>545</v>
      </c>
      <c r="M166" s="56"/>
    </row>
    <row r="167" spans="1:16">
      <c r="A167" s="52"/>
      <c r="B167" s="66"/>
      <c r="C167" t="s">
        <v>679</v>
      </c>
      <c r="D167" t="s">
        <v>543</v>
      </c>
      <c r="F167" s="1">
        <v>6</v>
      </c>
      <c r="G167" s="61">
        <v>231.37100000000001</v>
      </c>
      <c r="H167" s="3" t="s">
        <v>680</v>
      </c>
      <c r="I167" s="3" t="s">
        <v>552</v>
      </c>
      <c r="J167" s="15" t="s">
        <v>546</v>
      </c>
      <c r="K167" s="15" t="s">
        <v>547</v>
      </c>
      <c r="L167" s="15" t="s">
        <v>546</v>
      </c>
      <c r="M167" s="56" t="s">
        <v>547</v>
      </c>
    </row>
    <row r="168" spans="1:16">
      <c r="A168" s="52"/>
      <c r="B168" s="66"/>
      <c r="C168" t="s">
        <v>681</v>
      </c>
      <c r="D168" t="s">
        <v>569</v>
      </c>
      <c r="F168"/>
      <c r="H168" s="3" t="s">
        <v>682</v>
      </c>
      <c r="I168" s="3" t="s">
        <v>552</v>
      </c>
      <c r="M168" s="56"/>
    </row>
    <row r="169" spans="1:16">
      <c r="A169" s="52"/>
      <c r="B169" s="66"/>
      <c r="C169" t="s">
        <v>683</v>
      </c>
      <c r="D169" t="s">
        <v>569</v>
      </c>
      <c r="F169"/>
      <c r="H169" s="3" t="s">
        <v>684</v>
      </c>
      <c r="I169" s="3" t="s">
        <v>552</v>
      </c>
      <c r="M169" s="56"/>
    </row>
    <row r="170" spans="1:16">
      <c r="A170" s="52"/>
      <c r="B170" s="66"/>
      <c r="C170" t="s">
        <v>685</v>
      </c>
      <c r="D170" t="s">
        <v>569</v>
      </c>
      <c r="F170"/>
      <c r="H170" s="3" t="s">
        <v>686</v>
      </c>
      <c r="I170" s="3" t="s">
        <v>552</v>
      </c>
      <c r="M170" s="56"/>
    </row>
    <row r="171" spans="1:16">
      <c r="A171" s="52"/>
      <c r="B171" s="66"/>
      <c r="C171" t="s">
        <v>687</v>
      </c>
      <c r="D171" t="s">
        <v>543</v>
      </c>
      <c r="F171" s="1">
        <v>2</v>
      </c>
      <c r="G171" s="61">
        <v>106.18899999999999</v>
      </c>
      <c r="H171" s="3" t="s">
        <v>688</v>
      </c>
      <c r="I171" s="3" t="s">
        <v>545</v>
      </c>
      <c r="J171" s="15" t="s">
        <v>546</v>
      </c>
      <c r="K171" s="15" t="s">
        <v>547</v>
      </c>
      <c r="L171" s="15" t="s">
        <v>546</v>
      </c>
      <c r="M171" s="56" t="s">
        <v>547</v>
      </c>
    </row>
    <row r="172" spans="1:16">
      <c r="A172" s="52"/>
      <c r="B172" s="66"/>
      <c r="C172" t="s">
        <v>689</v>
      </c>
      <c r="D172" t="s">
        <v>543</v>
      </c>
      <c r="F172">
        <f>(1.1-0.65)/0.05+1</f>
        <v>10</v>
      </c>
      <c r="G172" s="61">
        <v>360.38400000000001</v>
      </c>
      <c r="H172" s="3" t="s">
        <v>690</v>
      </c>
      <c r="I172" s="3" t="s">
        <v>545</v>
      </c>
      <c r="J172" s="15" t="s">
        <v>546</v>
      </c>
      <c r="K172" s="15" t="s">
        <v>547</v>
      </c>
      <c r="L172" s="15" t="s">
        <v>546</v>
      </c>
      <c r="M172" s="56" t="s">
        <v>547</v>
      </c>
    </row>
    <row r="173" spans="1:16">
      <c r="A173" s="52"/>
      <c r="B173" s="66"/>
      <c r="C173" t="s">
        <v>691</v>
      </c>
      <c r="D173" t="s">
        <v>569</v>
      </c>
      <c r="F173"/>
      <c r="H173" s="3" t="s">
        <v>692</v>
      </c>
      <c r="I173" s="3" t="s">
        <v>545</v>
      </c>
      <c r="M173" s="56"/>
    </row>
    <row r="174" spans="1:16">
      <c r="A174" s="52"/>
      <c r="B174" s="66"/>
      <c r="C174" t="s">
        <v>693</v>
      </c>
      <c r="D174" t="s">
        <v>569</v>
      </c>
      <c r="F174"/>
      <c r="H174" s="3" t="s">
        <v>694</v>
      </c>
      <c r="I174" s="3" t="s">
        <v>545</v>
      </c>
      <c r="M174" s="56"/>
    </row>
    <row r="175" spans="1:16">
      <c r="A175" s="52"/>
      <c r="B175" s="66"/>
      <c r="C175" t="s">
        <v>695</v>
      </c>
      <c r="D175" t="s">
        <v>569</v>
      </c>
      <c r="F175"/>
      <c r="H175" s="3" t="s">
        <v>696</v>
      </c>
      <c r="I175" s="3" t="s">
        <v>545</v>
      </c>
      <c r="M175" s="56"/>
    </row>
    <row r="176" spans="1:16">
      <c r="A176" s="52"/>
      <c r="B176" s="66"/>
      <c r="C176" t="s">
        <v>697</v>
      </c>
      <c r="D176" t="s">
        <v>569</v>
      </c>
      <c r="F176"/>
      <c r="H176" s="3" t="s">
        <v>698</v>
      </c>
      <c r="I176" s="3" t="s">
        <v>545</v>
      </c>
      <c r="M176" s="56"/>
    </row>
    <row r="177" spans="1:13">
      <c r="A177" s="52"/>
      <c r="B177" s="66"/>
      <c r="C177" t="s">
        <v>699</v>
      </c>
      <c r="D177" t="s">
        <v>569</v>
      </c>
      <c r="F177"/>
      <c r="H177" s="3" t="s">
        <v>700</v>
      </c>
      <c r="I177" s="3" t="s">
        <v>545</v>
      </c>
      <c r="M177" s="56"/>
    </row>
    <row r="178" spans="1:13">
      <c r="A178" s="52"/>
      <c r="B178" s="66"/>
      <c r="C178" t="s">
        <v>701</v>
      </c>
      <c r="D178" t="s">
        <v>569</v>
      </c>
      <c r="F178"/>
      <c r="H178" s="3" t="s">
        <v>702</v>
      </c>
      <c r="I178" s="3" t="s">
        <v>545</v>
      </c>
      <c r="M178" s="56"/>
    </row>
    <row r="179" spans="1:13">
      <c r="A179" s="52"/>
      <c r="B179" s="66"/>
      <c r="C179" t="s">
        <v>703</v>
      </c>
      <c r="D179" t="s">
        <v>569</v>
      </c>
      <c r="F179"/>
      <c r="H179" s="3" t="s">
        <v>704</v>
      </c>
      <c r="I179" s="3" t="s">
        <v>545</v>
      </c>
      <c r="M179" s="56"/>
    </row>
    <row r="180" spans="1:13">
      <c r="A180" s="52"/>
      <c r="B180" s="66"/>
      <c r="C180" t="s">
        <v>705</v>
      </c>
      <c r="D180" t="s">
        <v>569</v>
      </c>
      <c r="F180"/>
      <c r="H180" s="3" t="s">
        <v>706</v>
      </c>
      <c r="I180" s="3" t="s">
        <v>545</v>
      </c>
      <c r="M180" s="56"/>
    </row>
    <row r="181" spans="1:13">
      <c r="A181" s="52"/>
      <c r="B181" s="66"/>
      <c r="C181" t="s">
        <v>707</v>
      </c>
      <c r="D181" t="s">
        <v>569</v>
      </c>
      <c r="F181"/>
      <c r="H181" s="3" t="s">
        <v>708</v>
      </c>
      <c r="I181" s="3" t="s">
        <v>545</v>
      </c>
      <c r="M181" s="56"/>
    </row>
    <row r="182" spans="1:13">
      <c r="A182" s="52"/>
      <c r="B182" s="66"/>
      <c r="C182" t="s">
        <v>709</v>
      </c>
      <c r="D182" t="s">
        <v>543</v>
      </c>
      <c r="F182" s="1">
        <v>2</v>
      </c>
      <c r="G182" s="61">
        <v>108.983</v>
      </c>
      <c r="H182" s="3" t="s">
        <v>710</v>
      </c>
      <c r="I182" s="3" t="s">
        <v>545</v>
      </c>
      <c r="J182" s="15" t="s">
        <v>546</v>
      </c>
      <c r="K182" s="15" t="s">
        <v>547</v>
      </c>
      <c r="L182" s="15" t="s">
        <v>546</v>
      </c>
      <c r="M182" s="56" t="s">
        <v>547</v>
      </c>
    </row>
    <row r="183" spans="1:13">
      <c r="A183" s="52"/>
      <c r="B183" s="66"/>
      <c r="C183" t="s">
        <v>711</v>
      </c>
      <c r="D183" t="s">
        <v>543</v>
      </c>
      <c r="F183" s="1">
        <v>2</v>
      </c>
      <c r="G183" s="61">
        <v>107.95099999999999</v>
      </c>
      <c r="H183" s="3" t="s">
        <v>712</v>
      </c>
      <c r="I183" s="3" t="s">
        <v>552</v>
      </c>
      <c r="J183" s="15" t="s">
        <v>546</v>
      </c>
      <c r="K183" s="15" t="s">
        <v>547</v>
      </c>
      <c r="L183" s="15" t="s">
        <v>546</v>
      </c>
      <c r="M183" s="56" t="s">
        <v>547</v>
      </c>
    </row>
    <row r="184" spans="1:13">
      <c r="A184" s="52"/>
      <c r="B184" s="66"/>
      <c r="C184" t="s">
        <v>713</v>
      </c>
      <c r="D184" t="s">
        <v>569</v>
      </c>
      <c r="F184"/>
      <c r="H184" s="3" t="s">
        <v>714</v>
      </c>
      <c r="I184" s="3" t="s">
        <v>545</v>
      </c>
      <c r="M184" s="56"/>
    </row>
    <row r="185" spans="1:13">
      <c r="A185" s="52"/>
      <c r="B185" s="66"/>
      <c r="C185" t="s">
        <v>715</v>
      </c>
      <c r="D185" t="s">
        <v>569</v>
      </c>
      <c r="F185"/>
      <c r="H185" s="3" t="s">
        <v>716</v>
      </c>
      <c r="I185" s="3" t="s">
        <v>545</v>
      </c>
      <c r="M185" s="56"/>
    </row>
    <row r="186" spans="1:13">
      <c r="A186" s="52"/>
      <c r="B186" s="66"/>
      <c r="C186" t="s">
        <v>717</v>
      </c>
      <c r="D186" t="s">
        <v>569</v>
      </c>
      <c r="F186"/>
      <c r="H186" s="3" t="s">
        <v>718</v>
      </c>
      <c r="I186" s="3" t="s">
        <v>552</v>
      </c>
      <c r="M186" s="56"/>
    </row>
    <row r="187" spans="1:13">
      <c r="A187" s="52"/>
      <c r="B187" s="66"/>
      <c r="C187" t="s">
        <v>719</v>
      </c>
      <c r="D187" t="s">
        <v>569</v>
      </c>
      <c r="F187"/>
      <c r="H187" s="3" t="s">
        <v>720</v>
      </c>
      <c r="I187" s="3" t="s">
        <v>552</v>
      </c>
      <c r="M187" s="56"/>
    </row>
    <row r="188" spans="1:13">
      <c r="A188" s="52"/>
      <c r="B188" s="66"/>
      <c r="C188" t="s">
        <v>721</v>
      </c>
      <c r="D188" t="s">
        <v>543</v>
      </c>
      <c r="F188" s="1">
        <v>2</v>
      </c>
      <c r="G188" s="61">
        <v>103.82</v>
      </c>
      <c r="H188" s="3" t="s">
        <v>722</v>
      </c>
      <c r="I188" s="3" t="s">
        <v>552</v>
      </c>
      <c r="J188" s="15" t="s">
        <v>546</v>
      </c>
      <c r="K188" s="15" t="s">
        <v>547</v>
      </c>
      <c r="L188" s="15" t="s">
        <v>546</v>
      </c>
      <c r="M188" s="56"/>
    </row>
    <row r="189" spans="1:13">
      <c r="A189" s="52"/>
      <c r="B189" s="66"/>
      <c r="C189" t="s">
        <v>723</v>
      </c>
      <c r="D189" t="s">
        <v>543</v>
      </c>
      <c r="F189" s="1">
        <v>1</v>
      </c>
      <c r="G189" s="61">
        <v>74.339200000000005</v>
      </c>
      <c r="H189" s="3" t="s">
        <v>718</v>
      </c>
      <c r="I189" s="3" t="s">
        <v>552</v>
      </c>
      <c r="J189" s="15" t="s">
        <v>546</v>
      </c>
      <c r="K189" s="15" t="s">
        <v>547</v>
      </c>
      <c r="L189" s="15" t="s">
        <v>546</v>
      </c>
      <c r="M189" s="56"/>
    </row>
    <row r="190" spans="1:13">
      <c r="A190" s="52"/>
      <c r="B190" s="66"/>
      <c r="C190" t="s">
        <v>724</v>
      </c>
      <c r="D190" t="s">
        <v>569</v>
      </c>
      <c r="F190"/>
      <c r="H190" s="3" t="s">
        <v>725</v>
      </c>
      <c r="I190" s="3" t="s">
        <v>552</v>
      </c>
      <c r="M190" s="56"/>
    </row>
    <row r="191" spans="1:13">
      <c r="A191" s="52"/>
      <c r="B191" s="66"/>
      <c r="C191" t="s">
        <v>726</v>
      </c>
      <c r="D191" t="s">
        <v>569</v>
      </c>
      <c r="F191"/>
      <c r="H191" s="3" t="s">
        <v>727</v>
      </c>
      <c r="I191" s="3" t="s">
        <v>552</v>
      </c>
      <c r="M191" s="56"/>
    </row>
    <row r="192" spans="1:13">
      <c r="A192" s="52"/>
      <c r="B192" s="66"/>
      <c r="C192" t="s">
        <v>728</v>
      </c>
      <c r="D192" t="s">
        <v>569</v>
      </c>
      <c r="F192"/>
      <c r="H192" s="3" t="s">
        <v>718</v>
      </c>
      <c r="I192" s="3" t="s">
        <v>552</v>
      </c>
      <c r="M192" s="56"/>
    </row>
    <row r="193" spans="1:16">
      <c r="A193" s="77"/>
      <c r="B193" s="77"/>
      <c r="C193" t="s">
        <v>1745</v>
      </c>
      <c r="F193"/>
      <c r="H193" s="3"/>
      <c r="I193" s="3"/>
    </row>
    <row r="194" spans="1:16">
      <c r="A194" s="77"/>
      <c r="B194" s="77"/>
      <c r="C194" t="s">
        <v>1746</v>
      </c>
      <c r="F194"/>
      <c r="H194" s="3"/>
      <c r="I194" s="3"/>
    </row>
    <row r="195" spans="1:16">
      <c r="A195" s="77"/>
      <c r="B195" s="77"/>
      <c r="C195" t="s">
        <v>1747</v>
      </c>
      <c r="F195"/>
      <c r="H195" s="3"/>
      <c r="I195" s="3"/>
    </row>
    <row r="196" spans="1:16">
      <c r="A196" s="77"/>
      <c r="B196" s="77"/>
      <c r="C196" t="s">
        <v>1748</v>
      </c>
      <c r="F196"/>
      <c r="H196" s="3"/>
      <c r="I196" s="3"/>
    </row>
    <row r="197" spans="1:16">
      <c r="A197" s="77"/>
      <c r="B197" s="77"/>
      <c r="C197" t="s">
        <v>1749</v>
      </c>
      <c r="F197"/>
      <c r="H197" s="3"/>
      <c r="I197" s="3"/>
    </row>
    <row r="198" spans="1:16">
      <c r="A198" s="77"/>
      <c r="B198" s="77"/>
      <c r="C198" t="s">
        <v>1750</v>
      </c>
      <c r="F198"/>
      <c r="H198" s="3"/>
      <c r="I198" s="3"/>
    </row>
    <row r="199" spans="1:16">
      <c r="A199" s="77"/>
      <c r="B199" s="77"/>
      <c r="C199" t="s">
        <v>1751</v>
      </c>
      <c r="F199"/>
      <c r="H199" s="3"/>
      <c r="I199" s="3"/>
    </row>
    <row r="200" spans="1:16">
      <c r="A200" s="77"/>
      <c r="B200" s="77"/>
      <c r="C200" t="s">
        <v>1752</v>
      </c>
      <c r="F200"/>
      <c r="H200" s="3"/>
      <c r="I200" s="3"/>
    </row>
    <row r="201" spans="1:16">
      <c r="A201" s="77"/>
      <c r="B201" s="77"/>
      <c r="C201" t="s">
        <v>1753</v>
      </c>
      <c r="F201"/>
      <c r="H201" s="3"/>
      <c r="I201" s="3"/>
    </row>
    <row r="202" spans="1:16">
      <c r="A202" s="77"/>
      <c r="B202" s="77"/>
      <c r="C202" t="s">
        <v>1754</v>
      </c>
      <c r="F202"/>
      <c r="H202" s="3"/>
      <c r="I202" s="3"/>
    </row>
    <row r="203" spans="1:16">
      <c r="A203" s="77"/>
      <c r="B203" s="77"/>
      <c r="C203" t="s">
        <v>1755</v>
      </c>
      <c r="F203"/>
      <c r="H203" s="3"/>
      <c r="I203" s="3"/>
    </row>
    <row r="206" spans="1:16" s="53" customFormat="1">
      <c r="A206" s="87" t="s">
        <v>360</v>
      </c>
      <c r="B206" s="63" t="s">
        <v>1867</v>
      </c>
      <c r="C206" s="53" t="s">
        <v>671</v>
      </c>
      <c r="D206" s="53" t="s">
        <v>543</v>
      </c>
      <c r="F206" s="81">
        <v>1</v>
      </c>
      <c r="G206" s="253">
        <v>86</v>
      </c>
      <c r="H206" s="88" t="s">
        <v>1868</v>
      </c>
      <c r="I206" s="88" t="s">
        <v>545</v>
      </c>
      <c r="J206" s="83" t="s">
        <v>546</v>
      </c>
      <c r="K206" s="83" t="s">
        <v>547</v>
      </c>
      <c r="L206" s="83" t="s">
        <v>546</v>
      </c>
      <c r="M206" s="55" t="s">
        <v>547</v>
      </c>
      <c r="P206" s="82"/>
    </row>
    <row r="207" spans="1:16">
      <c r="A207" s="52"/>
      <c r="B207" s="66"/>
      <c r="C207" t="s">
        <v>1869</v>
      </c>
      <c r="D207" t="s">
        <v>569</v>
      </c>
      <c r="F207" s="1"/>
      <c r="H207" s="3" t="s">
        <v>1868</v>
      </c>
      <c r="I207" s="3"/>
      <c r="M207" s="56"/>
    </row>
    <row r="208" spans="1:16">
      <c r="A208" s="52"/>
      <c r="B208" s="66"/>
      <c r="C208" t="s">
        <v>1870</v>
      </c>
      <c r="D208" t="s">
        <v>543</v>
      </c>
      <c r="F208" s="1">
        <v>2</v>
      </c>
      <c r="G208" s="235">
        <v>117</v>
      </c>
      <c r="H208" s="3" t="s">
        <v>1871</v>
      </c>
      <c r="I208" s="3" t="s">
        <v>1813</v>
      </c>
      <c r="J208" s="15" t="s">
        <v>546</v>
      </c>
      <c r="K208" s="15" t="s">
        <v>547</v>
      </c>
      <c r="L208" s="15" t="s">
        <v>546</v>
      </c>
      <c r="M208" s="56" t="s">
        <v>547</v>
      </c>
    </row>
    <row r="209" spans="1:13">
      <c r="A209" s="52"/>
      <c r="B209" s="66"/>
      <c r="C209" t="s">
        <v>1872</v>
      </c>
      <c r="D209" t="s">
        <v>569</v>
      </c>
      <c r="F209"/>
      <c r="H209" s="3" t="s">
        <v>682</v>
      </c>
      <c r="I209" s="3" t="s">
        <v>1813</v>
      </c>
      <c r="M209" s="56"/>
    </row>
    <row r="210" spans="1:13">
      <c r="A210" s="52"/>
      <c r="B210" s="66"/>
      <c r="C210" t="s">
        <v>1873</v>
      </c>
      <c r="D210" t="s">
        <v>569</v>
      </c>
      <c r="F210"/>
      <c r="H210" s="3" t="s">
        <v>684</v>
      </c>
      <c r="I210" s="3" t="s">
        <v>1813</v>
      </c>
      <c r="M210" s="56"/>
    </row>
    <row r="211" spans="1:13">
      <c r="A211" s="52"/>
      <c r="B211" s="66"/>
      <c r="C211" t="s">
        <v>1874</v>
      </c>
      <c r="D211" t="s">
        <v>569</v>
      </c>
      <c r="F211"/>
      <c r="H211" s="3" t="s">
        <v>1875</v>
      </c>
      <c r="I211" s="3" t="s">
        <v>545</v>
      </c>
      <c r="M211" s="56"/>
    </row>
    <row r="212" spans="1:13">
      <c r="A212" s="52"/>
      <c r="B212" s="66"/>
      <c r="C212" t="s">
        <v>1876</v>
      </c>
      <c r="D212" t="s">
        <v>543</v>
      </c>
      <c r="F212" s="1">
        <v>2</v>
      </c>
      <c r="G212" s="235">
        <v>120</v>
      </c>
      <c r="H212" s="3" t="s">
        <v>1877</v>
      </c>
      <c r="I212" s="3" t="s">
        <v>545</v>
      </c>
      <c r="J212" s="15" t="s">
        <v>546</v>
      </c>
      <c r="K212" s="15" t="s">
        <v>547</v>
      </c>
      <c r="L212" s="15" t="s">
        <v>546</v>
      </c>
      <c r="M212" s="56" t="s">
        <v>547</v>
      </c>
    </row>
    <row r="213" spans="1:13">
      <c r="A213" s="52"/>
      <c r="B213" s="66"/>
      <c r="C213" t="s">
        <v>1878</v>
      </c>
      <c r="D213" t="s">
        <v>543</v>
      </c>
      <c r="F213" s="252">
        <v>3</v>
      </c>
      <c r="G213" s="235">
        <v>172</v>
      </c>
      <c r="H213" s="3" t="s">
        <v>1879</v>
      </c>
      <c r="I213" s="3" t="s">
        <v>545</v>
      </c>
      <c r="J213" s="15" t="s">
        <v>546</v>
      </c>
      <c r="K213" s="15" t="s">
        <v>547</v>
      </c>
      <c r="L213" s="15" t="s">
        <v>546</v>
      </c>
      <c r="M213" s="56" t="s">
        <v>547</v>
      </c>
    </row>
    <row r="214" spans="1:13">
      <c r="A214" s="52"/>
      <c r="B214" s="66"/>
      <c r="C214" t="s">
        <v>1880</v>
      </c>
      <c r="D214" t="s">
        <v>569</v>
      </c>
      <c r="F214"/>
      <c r="H214" s="3" t="s">
        <v>1881</v>
      </c>
      <c r="I214" s="3" t="s">
        <v>545</v>
      </c>
      <c r="M214" s="56"/>
    </row>
    <row r="215" spans="1:13">
      <c r="A215" s="52"/>
      <c r="B215" s="66"/>
      <c r="C215" t="s">
        <v>1882</v>
      </c>
      <c r="D215" t="s">
        <v>569</v>
      </c>
      <c r="F215"/>
      <c r="H215" s="3" t="s">
        <v>1883</v>
      </c>
      <c r="I215" s="3" t="s">
        <v>545</v>
      </c>
      <c r="M215" s="56"/>
    </row>
    <row r="216" spans="1:13">
      <c r="A216" s="52"/>
      <c r="B216" s="66"/>
      <c r="C216" t="s">
        <v>1884</v>
      </c>
      <c r="D216" t="s">
        <v>569</v>
      </c>
      <c r="F216"/>
      <c r="H216" s="3" t="s">
        <v>1885</v>
      </c>
      <c r="I216" s="3" t="s">
        <v>545</v>
      </c>
      <c r="M216" s="56"/>
    </row>
    <row r="217" spans="1:13">
      <c r="A217" s="52"/>
      <c r="B217" s="66"/>
      <c r="C217" t="s">
        <v>1886</v>
      </c>
      <c r="D217" t="s">
        <v>569</v>
      </c>
      <c r="F217"/>
      <c r="H217" s="3" t="s">
        <v>1887</v>
      </c>
      <c r="I217" s="3" t="s">
        <v>545</v>
      </c>
      <c r="M217" s="56"/>
    </row>
    <row r="218" spans="1:13">
      <c r="A218" s="52"/>
      <c r="B218" s="66"/>
      <c r="C218" t="s">
        <v>1888</v>
      </c>
      <c r="D218" t="s">
        <v>569</v>
      </c>
      <c r="F218"/>
      <c r="H218" s="3" t="s">
        <v>1889</v>
      </c>
      <c r="I218" s="3" t="s">
        <v>545</v>
      </c>
      <c r="M218" s="56"/>
    </row>
    <row r="219" spans="1:13">
      <c r="A219" s="77"/>
      <c r="B219" s="66"/>
      <c r="C219" t="s">
        <v>1890</v>
      </c>
      <c r="D219" t="s">
        <v>543</v>
      </c>
      <c r="F219" s="1">
        <v>2</v>
      </c>
      <c r="G219" s="235">
        <v>117</v>
      </c>
      <c r="H219" s="3" t="s">
        <v>1891</v>
      </c>
      <c r="I219" s="3" t="s">
        <v>1813</v>
      </c>
      <c r="J219" s="15" t="s">
        <v>546</v>
      </c>
      <c r="K219" s="15" t="s">
        <v>547</v>
      </c>
      <c r="L219" s="15" t="s">
        <v>546</v>
      </c>
      <c r="M219" s="56"/>
    </row>
    <row r="220" spans="1:13">
      <c r="A220" s="77"/>
      <c r="B220" s="66"/>
      <c r="C220" t="s">
        <v>1892</v>
      </c>
      <c r="D220" t="s">
        <v>543</v>
      </c>
      <c r="F220" s="1">
        <v>2</v>
      </c>
      <c r="G220" s="235">
        <v>124</v>
      </c>
      <c r="H220" s="3" t="s">
        <v>1893</v>
      </c>
      <c r="I220" s="3" t="s">
        <v>1813</v>
      </c>
      <c r="J220" s="15" t="s">
        <v>546</v>
      </c>
      <c r="K220" s="15" t="s">
        <v>547</v>
      </c>
      <c r="L220" s="15" t="s">
        <v>546</v>
      </c>
      <c r="M220" s="56"/>
    </row>
    <row r="221" spans="1:13">
      <c r="A221" s="77"/>
      <c r="B221" s="66"/>
      <c r="C221" t="s">
        <v>1894</v>
      </c>
      <c r="D221" t="s">
        <v>569</v>
      </c>
      <c r="F221"/>
      <c r="H221" s="3" t="s">
        <v>1895</v>
      </c>
      <c r="I221" s="3" t="s">
        <v>1813</v>
      </c>
      <c r="M221" s="56"/>
    </row>
    <row r="222" spans="1:13">
      <c r="A222" s="77"/>
      <c r="B222" s="66"/>
      <c r="C222" t="s">
        <v>1896</v>
      </c>
      <c r="D222" t="s">
        <v>569</v>
      </c>
      <c r="F222"/>
      <c r="H222" s="3" t="s">
        <v>1897</v>
      </c>
      <c r="I222" s="3" t="s">
        <v>1813</v>
      </c>
      <c r="M222" s="56"/>
    </row>
    <row r="223" spans="1:13">
      <c r="A223" s="77"/>
      <c r="B223" s="66"/>
      <c r="C223" t="s">
        <v>1898</v>
      </c>
      <c r="D223" t="s">
        <v>569</v>
      </c>
      <c r="F223"/>
      <c r="H223" s="3" t="s">
        <v>1885</v>
      </c>
      <c r="I223" s="3" t="s">
        <v>1813</v>
      </c>
      <c r="M223" s="56"/>
    </row>
    <row r="224" spans="1:13">
      <c r="A224" s="77"/>
      <c r="B224" s="66"/>
      <c r="C224" t="s">
        <v>1899</v>
      </c>
      <c r="D224" t="s">
        <v>569</v>
      </c>
      <c r="F224"/>
      <c r="H224" s="3" t="s">
        <v>1887</v>
      </c>
      <c r="I224" s="3" t="s">
        <v>1813</v>
      </c>
      <c r="M224" s="56"/>
    </row>
    <row r="225" spans="1:13">
      <c r="A225" s="52"/>
      <c r="B225" s="66"/>
      <c r="C225" t="s">
        <v>1900</v>
      </c>
      <c r="D225" t="s">
        <v>543</v>
      </c>
      <c r="F225" s="1">
        <v>1</v>
      </c>
      <c r="G225" s="235">
        <v>85</v>
      </c>
      <c r="H225" s="3" t="s">
        <v>1901</v>
      </c>
      <c r="I225" s="3" t="s">
        <v>1813</v>
      </c>
      <c r="J225" s="15" t="s">
        <v>546</v>
      </c>
      <c r="K225" s="15" t="s">
        <v>547</v>
      </c>
      <c r="L225" s="15" t="s">
        <v>546</v>
      </c>
      <c r="M225" s="56" t="s">
        <v>547</v>
      </c>
    </row>
    <row r="226" spans="1:13">
      <c r="A226" s="52"/>
      <c r="B226" s="66"/>
      <c r="C226" t="s">
        <v>1902</v>
      </c>
      <c r="D226" t="s">
        <v>569</v>
      </c>
      <c r="F226"/>
      <c r="H226" s="3" t="s">
        <v>1901</v>
      </c>
      <c r="I226" s="3" t="s">
        <v>1813</v>
      </c>
      <c r="M226" s="56"/>
    </row>
    <row r="227" spans="1:13">
      <c r="A227" s="77"/>
      <c r="B227" s="66"/>
      <c r="C227" t="s">
        <v>1903</v>
      </c>
      <c r="F227"/>
      <c r="H227" s="3"/>
      <c r="I227" s="3"/>
      <c r="M227" s="56"/>
    </row>
    <row r="228" spans="1:13">
      <c r="A228" s="251"/>
      <c r="B228" s="64"/>
      <c r="C228" s="117" t="s">
        <v>1904</v>
      </c>
      <c r="D228" s="54"/>
      <c r="E228" s="54"/>
      <c r="F228" s="54"/>
      <c r="G228" s="85"/>
      <c r="H228" s="91"/>
      <c r="I228" s="91"/>
      <c r="J228" s="86"/>
      <c r="K228" s="86"/>
      <c r="L228" s="86"/>
      <c r="M228" s="57"/>
    </row>
    <row r="229" spans="1:13">
      <c r="G229" s="61">
        <f>SUM(G206:G228)</f>
        <v>821</v>
      </c>
    </row>
    <row r="230" spans="1:13" s="53" customFormat="1">
      <c r="A230" s="87" t="s">
        <v>360</v>
      </c>
      <c r="B230" s="63" t="s">
        <v>366</v>
      </c>
      <c r="C230" s="53" t="s">
        <v>734</v>
      </c>
      <c r="D230" s="53" t="s">
        <v>543</v>
      </c>
      <c r="F230" s="53">
        <f>0.6/0.02+1</f>
        <v>31</v>
      </c>
      <c r="G230" s="82">
        <v>986.60400000000004</v>
      </c>
      <c r="H230" s="88" t="s">
        <v>735</v>
      </c>
      <c r="I230" s="88" t="s">
        <v>545</v>
      </c>
      <c r="J230" s="83" t="s">
        <v>546</v>
      </c>
      <c r="K230" s="83" t="s">
        <v>547</v>
      </c>
      <c r="L230" s="83" t="s">
        <v>546</v>
      </c>
      <c r="M230" s="55" t="s">
        <v>547</v>
      </c>
    </row>
    <row r="231" spans="1:13">
      <c r="A231" s="52"/>
      <c r="B231" s="66"/>
      <c r="C231" t="s">
        <v>736</v>
      </c>
      <c r="D231" t="s">
        <v>737</v>
      </c>
      <c r="F231"/>
      <c r="H231" s="3"/>
      <c r="I231" s="3"/>
      <c r="M231" s="56"/>
    </row>
    <row r="232" spans="1:13">
      <c r="A232" s="52"/>
      <c r="B232" s="66"/>
      <c r="C232" t="s">
        <v>738</v>
      </c>
      <c r="F232"/>
      <c r="H232" s="3"/>
      <c r="I232" s="3"/>
      <c r="M232" s="56"/>
    </row>
    <row r="233" spans="1:13" s="54" customFormat="1">
      <c r="A233" s="115"/>
      <c r="B233" s="64"/>
      <c r="C233" s="54" t="s">
        <v>739</v>
      </c>
      <c r="G233" s="85"/>
      <c r="H233" s="91"/>
      <c r="I233" s="91"/>
      <c r="J233" s="86"/>
      <c r="K233" s="86"/>
      <c r="L233" s="86"/>
      <c r="M233" s="57"/>
    </row>
    <row r="235" spans="1:13" s="53" customFormat="1">
      <c r="A235" s="87" t="s">
        <v>360</v>
      </c>
      <c r="B235" s="63" t="s">
        <v>740</v>
      </c>
      <c r="C235" s="13" t="s">
        <v>741</v>
      </c>
      <c r="D235" s="53" t="s">
        <v>543</v>
      </c>
      <c r="F235" s="53">
        <f>0.2/0.05+1</f>
        <v>5</v>
      </c>
      <c r="G235" s="82">
        <v>199.61199999999999</v>
      </c>
      <c r="H235" s="88" t="s">
        <v>742</v>
      </c>
      <c r="I235" s="88" t="s">
        <v>571</v>
      </c>
      <c r="J235" s="83" t="s">
        <v>546</v>
      </c>
      <c r="K235" s="83" t="s">
        <v>547</v>
      </c>
      <c r="L235" s="83" t="s">
        <v>546</v>
      </c>
      <c r="M235" s="55"/>
    </row>
    <row r="236" spans="1:13">
      <c r="A236" s="66"/>
      <c r="B236" s="66"/>
      <c r="C236" s="47" t="s">
        <v>743</v>
      </c>
      <c r="D236" t="s">
        <v>543</v>
      </c>
      <c r="F236">
        <f t="shared" ref="F236:F241" si="0">0.2/0.05+1</f>
        <v>5</v>
      </c>
      <c r="G236" s="61">
        <v>199.101</v>
      </c>
      <c r="H236" s="3" t="s">
        <v>742</v>
      </c>
      <c r="I236" s="3" t="s">
        <v>599</v>
      </c>
      <c r="J236" s="15" t="s">
        <v>546</v>
      </c>
      <c r="K236" s="15" t="s">
        <v>547</v>
      </c>
      <c r="L236" s="15" t="s">
        <v>546</v>
      </c>
      <c r="M236" s="56"/>
    </row>
    <row r="237" spans="1:13">
      <c r="A237" s="66"/>
      <c r="B237" s="66"/>
      <c r="C237" s="47" t="s">
        <v>744</v>
      </c>
      <c r="D237" t="s">
        <v>543</v>
      </c>
      <c r="F237">
        <f t="shared" si="0"/>
        <v>5</v>
      </c>
      <c r="G237" s="61">
        <v>199.09</v>
      </c>
      <c r="H237" s="3" t="s">
        <v>742</v>
      </c>
      <c r="I237" s="3" t="s">
        <v>745</v>
      </c>
      <c r="J237" s="15" t="s">
        <v>546</v>
      </c>
      <c r="K237" s="15" t="s">
        <v>547</v>
      </c>
      <c r="L237" s="15" t="s">
        <v>546</v>
      </c>
      <c r="M237" s="56"/>
    </row>
    <row r="238" spans="1:13">
      <c r="A238" s="66"/>
      <c r="B238" s="66"/>
      <c r="C238" s="47" t="s">
        <v>746</v>
      </c>
      <c r="D238" t="s">
        <v>543</v>
      </c>
      <c r="F238">
        <f t="shared" si="0"/>
        <v>5</v>
      </c>
      <c r="G238" s="61">
        <v>197.84700000000001</v>
      </c>
      <c r="H238" s="3" t="s">
        <v>742</v>
      </c>
      <c r="I238" s="3" t="s">
        <v>550</v>
      </c>
      <c r="J238" s="15" t="s">
        <v>546</v>
      </c>
      <c r="K238" s="15" t="s">
        <v>547</v>
      </c>
      <c r="L238" s="15" t="s">
        <v>546</v>
      </c>
      <c r="M238" s="56"/>
    </row>
    <row r="239" spans="1:13">
      <c r="A239" s="66"/>
      <c r="B239" s="66"/>
      <c r="C239" s="47" t="s">
        <v>747</v>
      </c>
      <c r="D239" t="s">
        <v>543</v>
      </c>
      <c r="F239">
        <f t="shared" si="0"/>
        <v>5</v>
      </c>
      <c r="G239" s="61">
        <v>198.30500000000001</v>
      </c>
      <c r="H239" s="3" t="s">
        <v>742</v>
      </c>
      <c r="I239" s="3" t="s">
        <v>748</v>
      </c>
      <c r="J239" s="15" t="s">
        <v>546</v>
      </c>
      <c r="K239" s="15" t="s">
        <v>547</v>
      </c>
      <c r="L239" s="15" t="s">
        <v>546</v>
      </c>
      <c r="M239" s="56"/>
    </row>
    <row r="240" spans="1:13">
      <c r="A240" s="66"/>
      <c r="B240" s="66"/>
      <c r="C240" s="47" t="s">
        <v>749</v>
      </c>
      <c r="D240" t="s">
        <v>543</v>
      </c>
      <c r="F240">
        <f t="shared" si="0"/>
        <v>5</v>
      </c>
      <c r="G240" s="61">
        <v>198.05600000000001</v>
      </c>
      <c r="H240" s="3" t="s">
        <v>742</v>
      </c>
      <c r="I240" s="3" t="s">
        <v>620</v>
      </c>
      <c r="J240" s="15" t="s">
        <v>546</v>
      </c>
      <c r="K240" s="15" t="s">
        <v>547</v>
      </c>
      <c r="L240" s="15" t="s">
        <v>546</v>
      </c>
      <c r="M240" s="56"/>
    </row>
    <row r="241" spans="1:13">
      <c r="A241" s="66"/>
      <c r="B241" s="66"/>
      <c r="C241" s="47" t="s">
        <v>750</v>
      </c>
      <c r="D241" t="s">
        <v>543</v>
      </c>
      <c r="F241">
        <f t="shared" si="0"/>
        <v>5</v>
      </c>
      <c r="G241" s="61">
        <v>198.887</v>
      </c>
      <c r="H241" s="3" t="s">
        <v>742</v>
      </c>
      <c r="I241" s="3" t="s">
        <v>576</v>
      </c>
      <c r="J241" s="15" t="s">
        <v>546</v>
      </c>
      <c r="K241" s="15" t="s">
        <v>547</v>
      </c>
      <c r="L241" s="15" t="s">
        <v>546</v>
      </c>
      <c r="M241" s="56"/>
    </row>
    <row r="242" spans="1:13">
      <c r="A242" s="66"/>
      <c r="B242" s="66"/>
      <c r="C242" s="47" t="s">
        <v>751</v>
      </c>
      <c r="D242" t="s">
        <v>569</v>
      </c>
      <c r="F242"/>
      <c r="H242" s="3" t="s">
        <v>752</v>
      </c>
      <c r="I242" s="3" t="s">
        <v>571</v>
      </c>
      <c r="K242" s="15" t="s">
        <v>547</v>
      </c>
      <c r="M242" s="56"/>
    </row>
    <row r="243" spans="1:13">
      <c r="A243" s="66"/>
      <c r="B243" s="66"/>
      <c r="C243" s="47" t="s">
        <v>753</v>
      </c>
      <c r="D243" t="s">
        <v>569</v>
      </c>
      <c r="F243"/>
      <c r="H243" s="3" t="s">
        <v>754</v>
      </c>
      <c r="I243" s="3" t="s">
        <v>571</v>
      </c>
      <c r="K243" s="15" t="s">
        <v>547</v>
      </c>
      <c r="M243" s="56"/>
    </row>
    <row r="244" spans="1:13" s="15" customFormat="1">
      <c r="A244" s="66"/>
      <c r="B244" s="66"/>
      <c r="C244" s="47" t="s">
        <v>755</v>
      </c>
      <c r="D244" t="s">
        <v>569</v>
      </c>
      <c r="E244"/>
      <c r="F244"/>
      <c r="G244" s="61"/>
      <c r="H244" s="3" t="s">
        <v>682</v>
      </c>
      <c r="I244" s="3" t="s">
        <v>571</v>
      </c>
      <c r="K244" s="15" t="s">
        <v>547</v>
      </c>
      <c r="M244" s="56"/>
    </row>
    <row r="245" spans="1:13" s="15" customFormat="1">
      <c r="A245" s="66"/>
      <c r="B245" s="66"/>
      <c r="C245" s="47" t="s">
        <v>756</v>
      </c>
      <c r="D245" t="s">
        <v>569</v>
      </c>
      <c r="E245"/>
      <c r="F245"/>
      <c r="G245" s="61"/>
      <c r="H245" s="3" t="s">
        <v>757</v>
      </c>
      <c r="I245" s="3" t="s">
        <v>571</v>
      </c>
      <c r="K245" s="15" t="s">
        <v>547</v>
      </c>
      <c r="M245" s="56"/>
    </row>
    <row r="246" spans="1:13" s="15" customFormat="1">
      <c r="A246" s="66"/>
      <c r="B246" s="66"/>
      <c r="C246" s="47" t="s">
        <v>758</v>
      </c>
      <c r="D246" t="s">
        <v>569</v>
      </c>
      <c r="E246"/>
      <c r="F246"/>
      <c r="G246" s="61"/>
      <c r="H246" s="3" t="s">
        <v>759</v>
      </c>
      <c r="I246" s="3" t="s">
        <v>571</v>
      </c>
      <c r="K246" s="15" t="s">
        <v>547</v>
      </c>
      <c r="M246" s="56"/>
    </row>
    <row r="247" spans="1:13" s="15" customFormat="1">
      <c r="A247" s="66"/>
      <c r="B247" s="66"/>
      <c r="C247" s="47" t="s">
        <v>760</v>
      </c>
      <c r="D247" t="s">
        <v>569</v>
      </c>
      <c r="E247"/>
      <c r="F247"/>
      <c r="G247" s="61"/>
      <c r="H247" s="3" t="s">
        <v>752</v>
      </c>
      <c r="I247" s="3" t="s">
        <v>599</v>
      </c>
      <c r="K247" s="15" t="s">
        <v>547</v>
      </c>
      <c r="M247" s="56"/>
    </row>
    <row r="248" spans="1:13" s="15" customFormat="1">
      <c r="A248" s="66"/>
      <c r="B248" s="66"/>
      <c r="C248" s="47" t="s">
        <v>761</v>
      </c>
      <c r="D248" t="s">
        <v>569</v>
      </c>
      <c r="E248"/>
      <c r="F248"/>
      <c r="G248" s="61"/>
      <c r="H248" s="3" t="s">
        <v>754</v>
      </c>
      <c r="I248" s="3" t="s">
        <v>599</v>
      </c>
      <c r="K248" s="15" t="s">
        <v>547</v>
      </c>
      <c r="M248" s="56"/>
    </row>
    <row r="249" spans="1:13" s="15" customFormat="1">
      <c r="A249" s="66"/>
      <c r="B249" s="66"/>
      <c r="C249" s="47" t="s">
        <v>762</v>
      </c>
      <c r="D249" t="s">
        <v>569</v>
      </c>
      <c r="E249"/>
      <c r="F249"/>
      <c r="G249" s="61"/>
      <c r="H249" s="3" t="s">
        <v>682</v>
      </c>
      <c r="I249" s="3" t="s">
        <v>599</v>
      </c>
      <c r="K249" s="15" t="s">
        <v>547</v>
      </c>
      <c r="M249" s="56"/>
    </row>
    <row r="250" spans="1:13" s="15" customFormat="1">
      <c r="A250" s="66"/>
      <c r="B250" s="66"/>
      <c r="C250" s="47" t="s">
        <v>763</v>
      </c>
      <c r="D250" t="s">
        <v>569</v>
      </c>
      <c r="E250"/>
      <c r="F250"/>
      <c r="G250" s="61"/>
      <c r="H250" s="3" t="s">
        <v>757</v>
      </c>
      <c r="I250" s="3" t="s">
        <v>599</v>
      </c>
      <c r="K250" s="15" t="s">
        <v>547</v>
      </c>
      <c r="M250" s="56"/>
    </row>
    <row r="251" spans="1:13" s="15" customFormat="1">
      <c r="A251" s="66"/>
      <c r="B251" s="66"/>
      <c r="C251" s="47" t="s">
        <v>764</v>
      </c>
      <c r="D251" t="s">
        <v>569</v>
      </c>
      <c r="E251"/>
      <c r="F251"/>
      <c r="G251" s="61"/>
      <c r="H251" s="3" t="s">
        <v>759</v>
      </c>
      <c r="I251" s="3" t="s">
        <v>599</v>
      </c>
      <c r="K251" s="15" t="s">
        <v>547</v>
      </c>
      <c r="M251" s="56"/>
    </row>
    <row r="252" spans="1:13" s="15" customFormat="1">
      <c r="A252" s="66"/>
      <c r="B252" s="66"/>
      <c r="C252" s="47" t="s">
        <v>765</v>
      </c>
      <c r="D252" t="s">
        <v>569</v>
      </c>
      <c r="E252"/>
      <c r="F252"/>
      <c r="G252" s="61"/>
      <c r="H252" s="3" t="s">
        <v>752</v>
      </c>
      <c r="I252" s="3" t="s">
        <v>745</v>
      </c>
      <c r="K252" s="15" t="s">
        <v>547</v>
      </c>
      <c r="M252" s="56"/>
    </row>
    <row r="253" spans="1:13" s="15" customFormat="1">
      <c r="A253" s="66"/>
      <c r="B253" s="66"/>
      <c r="C253" s="47" t="s">
        <v>766</v>
      </c>
      <c r="D253" t="s">
        <v>569</v>
      </c>
      <c r="E253"/>
      <c r="F253"/>
      <c r="G253" s="61"/>
      <c r="H253" s="3" t="s">
        <v>754</v>
      </c>
      <c r="I253" s="3" t="s">
        <v>745</v>
      </c>
      <c r="K253" s="15" t="s">
        <v>547</v>
      </c>
      <c r="M253" s="56"/>
    </row>
    <row r="254" spans="1:13" s="15" customFormat="1">
      <c r="A254" s="66"/>
      <c r="B254" s="66"/>
      <c r="C254" s="47" t="s">
        <v>767</v>
      </c>
      <c r="D254" t="s">
        <v>569</v>
      </c>
      <c r="E254"/>
      <c r="F254"/>
      <c r="G254" s="61"/>
      <c r="H254" s="3" t="s">
        <v>682</v>
      </c>
      <c r="I254" s="3" t="s">
        <v>745</v>
      </c>
      <c r="K254" s="15" t="s">
        <v>547</v>
      </c>
      <c r="M254" s="56"/>
    </row>
    <row r="255" spans="1:13" s="15" customFormat="1">
      <c r="A255" s="66"/>
      <c r="B255" s="66"/>
      <c r="C255" s="47" t="s">
        <v>768</v>
      </c>
      <c r="D255" t="s">
        <v>569</v>
      </c>
      <c r="E255"/>
      <c r="F255"/>
      <c r="G255" s="61"/>
      <c r="H255" s="3" t="s">
        <v>757</v>
      </c>
      <c r="I255" s="3" t="s">
        <v>745</v>
      </c>
      <c r="K255" s="15" t="s">
        <v>547</v>
      </c>
      <c r="M255" s="56"/>
    </row>
    <row r="256" spans="1:13" s="15" customFormat="1">
      <c r="A256" s="66"/>
      <c r="B256" s="66"/>
      <c r="C256" s="47" t="s">
        <v>769</v>
      </c>
      <c r="D256" t="s">
        <v>569</v>
      </c>
      <c r="E256"/>
      <c r="F256"/>
      <c r="G256" s="61"/>
      <c r="H256" s="3" t="s">
        <v>759</v>
      </c>
      <c r="I256" s="3" t="s">
        <v>745</v>
      </c>
      <c r="K256" s="15" t="s">
        <v>547</v>
      </c>
      <c r="M256" s="56"/>
    </row>
    <row r="257" spans="1:13" s="15" customFormat="1">
      <c r="A257" s="66"/>
      <c r="B257" s="66"/>
      <c r="C257" s="47" t="s">
        <v>770</v>
      </c>
      <c r="D257" t="s">
        <v>569</v>
      </c>
      <c r="E257"/>
      <c r="F257"/>
      <c r="G257" s="61"/>
      <c r="H257" s="3" t="s">
        <v>752</v>
      </c>
      <c r="I257" s="3" t="s">
        <v>550</v>
      </c>
      <c r="K257" s="15" t="s">
        <v>547</v>
      </c>
      <c r="M257" s="56"/>
    </row>
    <row r="258" spans="1:13" s="15" customFormat="1">
      <c r="A258" s="66"/>
      <c r="B258" s="66"/>
      <c r="C258" s="47" t="s">
        <v>771</v>
      </c>
      <c r="D258" t="s">
        <v>569</v>
      </c>
      <c r="E258"/>
      <c r="F258"/>
      <c r="G258" s="61"/>
      <c r="H258" s="3" t="s">
        <v>754</v>
      </c>
      <c r="I258" s="3" t="s">
        <v>550</v>
      </c>
      <c r="K258" s="15" t="s">
        <v>547</v>
      </c>
      <c r="M258" s="56"/>
    </row>
    <row r="259" spans="1:13" s="15" customFormat="1">
      <c r="A259" s="66"/>
      <c r="B259" s="66"/>
      <c r="C259" s="47" t="s">
        <v>772</v>
      </c>
      <c r="D259" t="s">
        <v>569</v>
      </c>
      <c r="E259"/>
      <c r="F259"/>
      <c r="G259" s="61"/>
      <c r="H259" s="3" t="s">
        <v>682</v>
      </c>
      <c r="I259" s="3" t="s">
        <v>550</v>
      </c>
      <c r="K259" s="15" t="s">
        <v>547</v>
      </c>
      <c r="M259" s="56"/>
    </row>
    <row r="260" spans="1:13" s="15" customFormat="1">
      <c r="A260" s="66"/>
      <c r="B260" s="66"/>
      <c r="C260" s="47" t="s">
        <v>773</v>
      </c>
      <c r="D260" t="s">
        <v>569</v>
      </c>
      <c r="E260"/>
      <c r="F260"/>
      <c r="G260" s="61"/>
      <c r="H260" s="3" t="s">
        <v>757</v>
      </c>
      <c r="I260" s="3" t="s">
        <v>550</v>
      </c>
      <c r="K260" s="15" t="s">
        <v>547</v>
      </c>
      <c r="M260" s="56"/>
    </row>
    <row r="261" spans="1:13" s="15" customFormat="1">
      <c r="A261" s="66"/>
      <c r="B261" s="66"/>
      <c r="C261" s="47" t="s">
        <v>774</v>
      </c>
      <c r="D261" t="s">
        <v>569</v>
      </c>
      <c r="E261"/>
      <c r="F261"/>
      <c r="G261" s="61"/>
      <c r="H261" s="3" t="s">
        <v>759</v>
      </c>
      <c r="I261" s="3" t="s">
        <v>550</v>
      </c>
      <c r="K261" s="15" t="s">
        <v>547</v>
      </c>
      <c r="M261" s="56"/>
    </row>
    <row r="262" spans="1:13" s="15" customFormat="1">
      <c r="A262" s="66"/>
      <c r="B262" s="66"/>
      <c r="C262" s="47" t="s">
        <v>775</v>
      </c>
      <c r="D262" t="s">
        <v>569</v>
      </c>
      <c r="E262"/>
      <c r="F262"/>
      <c r="G262" s="61"/>
      <c r="H262" s="3" t="s">
        <v>752</v>
      </c>
      <c r="I262" s="3" t="s">
        <v>748</v>
      </c>
      <c r="K262" s="15" t="s">
        <v>547</v>
      </c>
      <c r="M262" s="56"/>
    </row>
    <row r="263" spans="1:13" s="15" customFormat="1">
      <c r="A263" s="66"/>
      <c r="B263" s="66"/>
      <c r="C263" s="47" t="s">
        <v>776</v>
      </c>
      <c r="D263" t="s">
        <v>569</v>
      </c>
      <c r="E263"/>
      <c r="F263"/>
      <c r="G263" s="61"/>
      <c r="H263" s="3" t="s">
        <v>754</v>
      </c>
      <c r="I263" s="3" t="s">
        <v>748</v>
      </c>
      <c r="K263" s="15" t="s">
        <v>547</v>
      </c>
      <c r="M263" s="56"/>
    </row>
    <row r="264" spans="1:13" s="15" customFormat="1">
      <c r="A264" s="66"/>
      <c r="B264" s="66"/>
      <c r="C264" s="47" t="s">
        <v>777</v>
      </c>
      <c r="D264" t="s">
        <v>569</v>
      </c>
      <c r="E264"/>
      <c r="F264"/>
      <c r="G264" s="61"/>
      <c r="H264" s="3" t="s">
        <v>682</v>
      </c>
      <c r="I264" s="3" t="s">
        <v>748</v>
      </c>
      <c r="K264" s="15" t="s">
        <v>547</v>
      </c>
      <c r="M264" s="56"/>
    </row>
    <row r="265" spans="1:13" s="15" customFormat="1">
      <c r="A265" s="66"/>
      <c r="B265" s="66"/>
      <c r="C265" s="47" t="s">
        <v>778</v>
      </c>
      <c r="D265" t="s">
        <v>569</v>
      </c>
      <c r="E265"/>
      <c r="F265"/>
      <c r="G265" s="61"/>
      <c r="H265" s="3" t="s">
        <v>757</v>
      </c>
      <c r="I265" s="3" t="s">
        <v>748</v>
      </c>
      <c r="K265" s="15" t="s">
        <v>547</v>
      </c>
      <c r="M265" s="56"/>
    </row>
    <row r="266" spans="1:13" s="15" customFormat="1">
      <c r="A266" s="66"/>
      <c r="B266" s="66"/>
      <c r="C266" s="47" t="s">
        <v>779</v>
      </c>
      <c r="D266" t="s">
        <v>569</v>
      </c>
      <c r="E266"/>
      <c r="F266"/>
      <c r="G266" s="61"/>
      <c r="H266" s="3" t="s">
        <v>759</v>
      </c>
      <c r="I266" s="3" t="s">
        <v>748</v>
      </c>
      <c r="K266" s="15" t="s">
        <v>547</v>
      </c>
      <c r="M266" s="56"/>
    </row>
    <row r="267" spans="1:13" s="15" customFormat="1">
      <c r="A267" s="66"/>
      <c r="B267" s="66"/>
      <c r="C267" s="47" t="s">
        <v>780</v>
      </c>
      <c r="D267" t="s">
        <v>569</v>
      </c>
      <c r="E267"/>
      <c r="F267"/>
      <c r="G267" s="61"/>
      <c r="H267" s="3" t="s">
        <v>752</v>
      </c>
      <c r="I267" s="3" t="s">
        <v>620</v>
      </c>
      <c r="K267" s="15" t="s">
        <v>547</v>
      </c>
      <c r="M267" s="56"/>
    </row>
    <row r="268" spans="1:13" s="15" customFormat="1">
      <c r="A268" s="66"/>
      <c r="B268" s="66"/>
      <c r="C268" s="47" t="s">
        <v>781</v>
      </c>
      <c r="D268" t="s">
        <v>569</v>
      </c>
      <c r="E268"/>
      <c r="F268"/>
      <c r="G268" s="61"/>
      <c r="H268" s="3" t="s">
        <v>754</v>
      </c>
      <c r="I268" s="3" t="s">
        <v>620</v>
      </c>
      <c r="K268" s="15" t="s">
        <v>547</v>
      </c>
      <c r="M268" s="56"/>
    </row>
    <row r="269" spans="1:13" s="15" customFormat="1">
      <c r="A269" s="66"/>
      <c r="B269" s="66"/>
      <c r="C269" s="47" t="s">
        <v>782</v>
      </c>
      <c r="D269" t="s">
        <v>569</v>
      </c>
      <c r="E269"/>
      <c r="F269"/>
      <c r="G269" s="61"/>
      <c r="H269" s="3" t="s">
        <v>682</v>
      </c>
      <c r="I269" s="3" t="s">
        <v>620</v>
      </c>
      <c r="K269" s="15" t="s">
        <v>547</v>
      </c>
      <c r="M269" s="56"/>
    </row>
    <row r="270" spans="1:13" s="15" customFormat="1">
      <c r="A270" s="66"/>
      <c r="B270" s="66"/>
      <c r="C270" s="47" t="s">
        <v>783</v>
      </c>
      <c r="D270" t="s">
        <v>569</v>
      </c>
      <c r="E270"/>
      <c r="F270"/>
      <c r="G270" s="61"/>
      <c r="H270" s="3" t="s">
        <v>757</v>
      </c>
      <c r="I270" s="3" t="s">
        <v>620</v>
      </c>
      <c r="K270" s="15" t="s">
        <v>547</v>
      </c>
      <c r="M270" s="56"/>
    </row>
    <row r="271" spans="1:13" s="15" customFormat="1">
      <c r="A271" s="66"/>
      <c r="B271" s="66"/>
      <c r="C271" s="47" t="s">
        <v>784</v>
      </c>
      <c r="D271" t="s">
        <v>569</v>
      </c>
      <c r="E271"/>
      <c r="F271"/>
      <c r="G271" s="61"/>
      <c r="H271" s="3" t="s">
        <v>759</v>
      </c>
      <c r="I271" s="3" t="s">
        <v>620</v>
      </c>
      <c r="K271" s="15" t="s">
        <v>547</v>
      </c>
      <c r="M271" s="56"/>
    </row>
    <row r="272" spans="1:13" s="15" customFormat="1">
      <c r="A272" s="66"/>
      <c r="B272" s="66"/>
      <c r="C272" s="47" t="s">
        <v>785</v>
      </c>
      <c r="D272" t="s">
        <v>569</v>
      </c>
      <c r="E272"/>
      <c r="F272"/>
      <c r="G272" s="61"/>
      <c r="H272" s="3" t="s">
        <v>752</v>
      </c>
      <c r="I272" s="3" t="s">
        <v>576</v>
      </c>
      <c r="K272" s="15" t="s">
        <v>547</v>
      </c>
      <c r="M272" s="56"/>
    </row>
    <row r="273" spans="1:13" s="15" customFormat="1">
      <c r="A273" s="66"/>
      <c r="B273" s="66"/>
      <c r="C273" s="47" t="s">
        <v>786</v>
      </c>
      <c r="D273" t="s">
        <v>569</v>
      </c>
      <c r="E273"/>
      <c r="F273"/>
      <c r="G273" s="61"/>
      <c r="H273" s="3" t="s">
        <v>754</v>
      </c>
      <c r="I273" s="3" t="s">
        <v>576</v>
      </c>
      <c r="K273" s="15" t="s">
        <v>547</v>
      </c>
      <c r="M273" s="56"/>
    </row>
    <row r="274" spans="1:13" s="15" customFormat="1">
      <c r="A274" s="66"/>
      <c r="B274" s="66"/>
      <c r="C274" s="47" t="s">
        <v>787</v>
      </c>
      <c r="D274" t="s">
        <v>569</v>
      </c>
      <c r="E274"/>
      <c r="F274"/>
      <c r="G274" s="61"/>
      <c r="H274" s="3" t="s">
        <v>682</v>
      </c>
      <c r="I274" s="3" t="s">
        <v>576</v>
      </c>
      <c r="K274" s="15" t="s">
        <v>547</v>
      </c>
      <c r="M274" s="56"/>
    </row>
    <row r="275" spans="1:13" s="15" customFormat="1">
      <c r="A275" s="66"/>
      <c r="B275" s="66"/>
      <c r="C275" s="47" t="s">
        <v>788</v>
      </c>
      <c r="D275" t="s">
        <v>569</v>
      </c>
      <c r="E275"/>
      <c r="F275"/>
      <c r="G275" s="61"/>
      <c r="H275" s="3" t="s">
        <v>757</v>
      </c>
      <c r="I275" s="3" t="s">
        <v>576</v>
      </c>
      <c r="K275" s="15" t="s">
        <v>547</v>
      </c>
      <c r="M275" s="56"/>
    </row>
    <row r="276" spans="1:13" s="15" customFormat="1">
      <c r="A276" s="66"/>
      <c r="B276" s="66"/>
      <c r="C276" s="47" t="s">
        <v>789</v>
      </c>
      <c r="D276" t="s">
        <v>569</v>
      </c>
      <c r="E276"/>
      <c r="F276"/>
      <c r="G276" s="61"/>
      <c r="H276" s="3" t="s">
        <v>759</v>
      </c>
      <c r="I276" s="3" t="s">
        <v>576</v>
      </c>
      <c r="K276" s="15" t="s">
        <v>547</v>
      </c>
      <c r="M276" s="56"/>
    </row>
    <row r="277" spans="1:13" s="15" customFormat="1">
      <c r="A277" s="66"/>
      <c r="B277" s="66"/>
      <c r="C277" s="47" t="s">
        <v>790</v>
      </c>
      <c r="D277" t="s">
        <v>632</v>
      </c>
      <c r="E277"/>
      <c r="F277"/>
      <c r="G277" s="61"/>
      <c r="H277" s="3" t="s">
        <v>1512</v>
      </c>
      <c r="I277" s="3" t="s">
        <v>599</v>
      </c>
      <c r="M277" s="56"/>
    </row>
    <row r="278" spans="1:13" s="15" customFormat="1">
      <c r="A278" s="66"/>
      <c r="B278" s="66"/>
      <c r="C278" s="47" t="s">
        <v>1756</v>
      </c>
      <c r="D278" t="s">
        <v>632</v>
      </c>
      <c r="E278"/>
      <c r="F278"/>
      <c r="G278" s="61"/>
      <c r="H278" s="3" t="s">
        <v>1513</v>
      </c>
      <c r="I278" s="3" t="s">
        <v>1514</v>
      </c>
      <c r="M278" s="56"/>
    </row>
    <row r="279" spans="1:13" s="15" customFormat="1">
      <c r="A279" s="66"/>
      <c r="B279" s="66"/>
      <c r="C279" s="47" t="s">
        <v>1757</v>
      </c>
      <c r="D279" t="s">
        <v>632</v>
      </c>
      <c r="E279"/>
      <c r="F279"/>
      <c r="G279" s="61"/>
      <c r="H279" s="3"/>
      <c r="I279" s="3"/>
      <c r="M279" s="56"/>
    </row>
    <row r="280" spans="1:13" s="15" customFormat="1">
      <c r="A280" s="66"/>
      <c r="B280" s="66"/>
      <c r="C280" s="47" t="s">
        <v>793</v>
      </c>
      <c r="D280" t="s">
        <v>632</v>
      </c>
      <c r="E280"/>
      <c r="F280"/>
      <c r="G280" s="61"/>
      <c r="H280" s="3"/>
      <c r="I280" s="3"/>
      <c r="M280" s="56"/>
    </row>
    <row r="281" spans="1:13" s="15" customFormat="1">
      <c r="A281" s="66"/>
      <c r="B281" s="66"/>
      <c r="C281" s="47" t="s">
        <v>1758</v>
      </c>
      <c r="D281" t="s">
        <v>632</v>
      </c>
      <c r="E281"/>
      <c r="F281"/>
      <c r="G281" s="61"/>
      <c r="H281" s="3"/>
      <c r="I281" s="3"/>
      <c r="M281" s="56"/>
    </row>
    <row r="282" spans="1:13" s="15" customFormat="1">
      <c r="A282" s="66"/>
      <c r="B282" s="66"/>
      <c r="C282" s="47" t="s">
        <v>795</v>
      </c>
      <c r="D282" t="s">
        <v>632</v>
      </c>
      <c r="E282"/>
      <c r="F282"/>
      <c r="G282" s="61"/>
      <c r="H282" s="3" t="s">
        <v>1515</v>
      </c>
      <c r="I282" s="3" t="s">
        <v>599</v>
      </c>
      <c r="M282" s="56"/>
    </row>
    <row r="283" spans="1:13" s="15" customFormat="1">
      <c r="A283" s="66"/>
      <c r="B283" s="66"/>
      <c r="C283" s="47" t="s">
        <v>1759</v>
      </c>
      <c r="D283" t="s">
        <v>632</v>
      </c>
      <c r="E283"/>
      <c r="F283"/>
      <c r="G283" s="61"/>
      <c r="H283" s="3" t="s">
        <v>1516</v>
      </c>
      <c r="I283" s="3" t="s">
        <v>1514</v>
      </c>
      <c r="M283" s="56"/>
    </row>
    <row r="284" spans="1:13" s="15" customFormat="1">
      <c r="A284" s="66"/>
      <c r="B284" s="66"/>
      <c r="C284" s="47" t="s">
        <v>1760</v>
      </c>
      <c r="D284" t="s">
        <v>632</v>
      </c>
      <c r="E284"/>
      <c r="F284"/>
      <c r="G284" s="61"/>
      <c r="M284" s="56"/>
    </row>
    <row r="285" spans="1:13" s="15" customFormat="1">
      <c r="A285" s="66"/>
      <c r="B285" s="66"/>
      <c r="C285" s="47" t="s">
        <v>798</v>
      </c>
      <c r="D285" t="s">
        <v>632</v>
      </c>
      <c r="E285"/>
      <c r="F285"/>
      <c r="G285" s="61"/>
      <c r="M285" s="56"/>
    </row>
    <row r="286" spans="1:13" s="15" customFormat="1">
      <c r="A286" s="66"/>
      <c r="B286" s="66"/>
      <c r="C286" s="47" t="s">
        <v>1761</v>
      </c>
      <c r="D286" t="s">
        <v>632</v>
      </c>
      <c r="E286"/>
      <c r="F286"/>
      <c r="G286" s="61"/>
      <c r="M286" s="56"/>
    </row>
    <row r="287" spans="1:13" s="15" customFormat="1">
      <c r="A287" s="66"/>
      <c r="B287" s="66"/>
      <c r="C287" s="47" t="s">
        <v>800</v>
      </c>
      <c r="D287" t="s">
        <v>632</v>
      </c>
      <c r="E287"/>
      <c r="F287"/>
      <c r="G287" s="61"/>
      <c r="H287" s="3" t="s">
        <v>1517</v>
      </c>
      <c r="I287" s="3" t="s">
        <v>599</v>
      </c>
      <c r="M287" s="56"/>
    </row>
    <row r="288" spans="1:13" s="15" customFormat="1">
      <c r="A288" s="66"/>
      <c r="B288" s="66"/>
      <c r="C288" s="47" t="s">
        <v>1762</v>
      </c>
      <c r="D288" t="s">
        <v>632</v>
      </c>
      <c r="E288"/>
      <c r="F288"/>
      <c r="G288" s="61"/>
      <c r="H288" s="3" t="s">
        <v>1518</v>
      </c>
      <c r="I288" s="3" t="s">
        <v>1514</v>
      </c>
      <c r="M288" s="56"/>
    </row>
    <row r="289" spans="1:13" s="15" customFormat="1">
      <c r="A289" s="66"/>
      <c r="B289" s="66"/>
      <c r="C289" s="47" t="s">
        <v>1763</v>
      </c>
      <c r="D289" t="s">
        <v>632</v>
      </c>
      <c r="E289"/>
      <c r="F289"/>
      <c r="G289" s="61"/>
      <c r="M289" s="56"/>
    </row>
    <row r="290" spans="1:13" s="15" customFormat="1">
      <c r="A290" s="66"/>
      <c r="B290" s="66"/>
      <c r="C290" s="47" t="s">
        <v>803</v>
      </c>
      <c r="D290" t="s">
        <v>632</v>
      </c>
      <c r="E290"/>
      <c r="F290"/>
      <c r="G290" s="61"/>
      <c r="M290" s="56"/>
    </row>
    <row r="291" spans="1:13" s="15" customFormat="1">
      <c r="A291" s="66"/>
      <c r="B291" s="66"/>
      <c r="C291" s="47" t="s">
        <v>1764</v>
      </c>
      <c r="D291" t="s">
        <v>632</v>
      </c>
      <c r="E291"/>
      <c r="F291"/>
      <c r="G291" s="61"/>
      <c r="M291" s="56"/>
    </row>
    <row r="292" spans="1:13" s="15" customFormat="1">
      <c r="A292" s="66"/>
      <c r="B292" s="66"/>
      <c r="C292" s="47" t="s">
        <v>805</v>
      </c>
      <c r="D292" t="s">
        <v>632</v>
      </c>
      <c r="E292"/>
      <c r="F292"/>
      <c r="G292" s="61"/>
      <c r="H292" s="3" t="s">
        <v>1512</v>
      </c>
      <c r="I292" s="3" t="s">
        <v>550</v>
      </c>
      <c r="M292" s="56"/>
    </row>
    <row r="293" spans="1:13" s="15" customFormat="1">
      <c r="A293" s="66"/>
      <c r="B293" s="66"/>
      <c r="C293" s="47" t="s">
        <v>1765</v>
      </c>
      <c r="D293" t="s">
        <v>632</v>
      </c>
      <c r="E293"/>
      <c r="F293"/>
      <c r="G293" s="61"/>
      <c r="H293" s="3" t="s">
        <v>1513</v>
      </c>
      <c r="I293" s="3" t="s">
        <v>1519</v>
      </c>
      <c r="M293" s="56"/>
    </row>
    <row r="294" spans="1:13" s="15" customFormat="1">
      <c r="A294" s="66"/>
      <c r="B294" s="66"/>
      <c r="C294" s="47" t="s">
        <v>1766</v>
      </c>
      <c r="D294" t="s">
        <v>632</v>
      </c>
      <c r="E294"/>
      <c r="F294"/>
      <c r="G294" s="61"/>
      <c r="M294" s="56"/>
    </row>
    <row r="295" spans="1:13" s="15" customFormat="1">
      <c r="A295" s="66"/>
      <c r="B295" s="66"/>
      <c r="C295" s="47" t="s">
        <v>808</v>
      </c>
      <c r="D295" t="s">
        <v>632</v>
      </c>
      <c r="E295"/>
      <c r="F295"/>
      <c r="G295" s="61"/>
      <c r="M295" s="56"/>
    </row>
    <row r="296" spans="1:13" s="15" customFormat="1">
      <c r="A296" s="66"/>
      <c r="B296" s="66"/>
      <c r="C296" s="47" t="s">
        <v>1767</v>
      </c>
      <c r="D296" t="s">
        <v>632</v>
      </c>
      <c r="E296"/>
      <c r="F296"/>
      <c r="G296" s="61"/>
      <c r="M296" s="56"/>
    </row>
    <row r="297" spans="1:13" s="15" customFormat="1">
      <c r="A297" s="66"/>
      <c r="B297" s="66"/>
      <c r="C297" s="47" t="s">
        <v>810</v>
      </c>
      <c r="D297" t="s">
        <v>632</v>
      </c>
      <c r="E297"/>
      <c r="F297"/>
      <c r="G297" s="61"/>
      <c r="H297" s="3" t="s">
        <v>1515</v>
      </c>
      <c r="I297" s="3" t="s">
        <v>550</v>
      </c>
      <c r="M297" s="56"/>
    </row>
    <row r="298" spans="1:13" s="15" customFormat="1">
      <c r="A298" s="66"/>
      <c r="B298" s="66"/>
      <c r="C298" s="47" t="s">
        <v>1768</v>
      </c>
      <c r="D298" t="s">
        <v>632</v>
      </c>
      <c r="E298"/>
      <c r="F298"/>
      <c r="G298" s="61"/>
      <c r="H298" s="3" t="s">
        <v>1516</v>
      </c>
      <c r="I298" s="3" t="s">
        <v>1519</v>
      </c>
      <c r="M298" s="56"/>
    </row>
    <row r="299" spans="1:13" s="15" customFormat="1">
      <c r="A299" s="66"/>
      <c r="B299" s="66"/>
      <c r="C299" s="47" t="s">
        <v>1769</v>
      </c>
      <c r="D299" t="s">
        <v>632</v>
      </c>
      <c r="E299"/>
      <c r="F299"/>
      <c r="G299" s="61"/>
      <c r="M299" s="56"/>
    </row>
    <row r="300" spans="1:13" s="15" customFormat="1">
      <c r="A300" s="66"/>
      <c r="B300" s="66"/>
      <c r="C300" s="47" t="s">
        <v>813</v>
      </c>
      <c r="D300" t="s">
        <v>632</v>
      </c>
      <c r="E300"/>
      <c r="F300"/>
      <c r="G300" s="61"/>
      <c r="M300" s="56"/>
    </row>
    <row r="301" spans="1:13" s="15" customFormat="1">
      <c r="A301" s="66"/>
      <c r="B301" s="66"/>
      <c r="C301" s="47" t="s">
        <v>1770</v>
      </c>
      <c r="D301" t="s">
        <v>632</v>
      </c>
      <c r="E301"/>
      <c r="F301"/>
      <c r="G301" s="61"/>
      <c r="M301" s="56"/>
    </row>
    <row r="302" spans="1:13" s="15" customFormat="1">
      <c r="A302" s="66"/>
      <c r="B302" s="66"/>
      <c r="C302" s="47" t="s">
        <v>815</v>
      </c>
      <c r="D302" t="s">
        <v>632</v>
      </c>
      <c r="E302"/>
      <c r="F302"/>
      <c r="G302" s="61"/>
      <c r="H302" s="3" t="s">
        <v>1517</v>
      </c>
      <c r="I302" s="3" t="s">
        <v>550</v>
      </c>
      <c r="M302" s="56"/>
    </row>
    <row r="303" spans="1:13" s="15" customFormat="1">
      <c r="A303" s="66"/>
      <c r="B303" s="66"/>
      <c r="C303" s="47" t="s">
        <v>1771</v>
      </c>
      <c r="D303" t="s">
        <v>632</v>
      </c>
      <c r="E303"/>
      <c r="F303"/>
      <c r="G303" s="61"/>
      <c r="H303" s="3" t="s">
        <v>1518</v>
      </c>
      <c r="I303" s="3" t="s">
        <v>1519</v>
      </c>
      <c r="M303" s="56"/>
    </row>
    <row r="304" spans="1:13" s="15" customFormat="1">
      <c r="A304" s="66"/>
      <c r="B304" s="66"/>
      <c r="C304" s="47" t="s">
        <v>1772</v>
      </c>
      <c r="D304" t="s">
        <v>632</v>
      </c>
      <c r="E304"/>
      <c r="F304"/>
      <c r="G304" s="61"/>
      <c r="M304" s="56"/>
    </row>
    <row r="305" spans="1:13" s="15" customFormat="1">
      <c r="A305" s="66"/>
      <c r="B305" s="66"/>
      <c r="C305" s="47" t="s">
        <v>818</v>
      </c>
      <c r="D305" t="s">
        <v>632</v>
      </c>
      <c r="E305"/>
      <c r="F305"/>
      <c r="G305" s="61"/>
      <c r="M305" s="56"/>
    </row>
    <row r="306" spans="1:13" s="15" customFormat="1">
      <c r="A306" s="66"/>
      <c r="B306" s="66"/>
      <c r="C306" s="47" t="s">
        <v>1773</v>
      </c>
      <c r="D306" t="s">
        <v>632</v>
      </c>
      <c r="E306"/>
      <c r="F306"/>
      <c r="G306" s="61"/>
      <c r="M306" s="56"/>
    </row>
    <row r="307" spans="1:13" s="15" customFormat="1">
      <c r="A307" s="66"/>
      <c r="B307" s="66"/>
      <c r="C307" s="47" t="s">
        <v>820</v>
      </c>
      <c r="D307" t="s">
        <v>632</v>
      </c>
      <c r="E307"/>
      <c r="F307"/>
      <c r="G307" s="61"/>
      <c r="H307" s="3" t="s">
        <v>1512</v>
      </c>
      <c r="I307" s="3" t="s">
        <v>620</v>
      </c>
      <c r="M307" s="56"/>
    </row>
    <row r="308" spans="1:13">
      <c r="A308" s="66"/>
      <c r="B308" s="66"/>
      <c r="C308" s="47" t="s">
        <v>1774</v>
      </c>
      <c r="D308" t="s">
        <v>632</v>
      </c>
      <c r="F308"/>
      <c r="H308" s="3" t="s">
        <v>1513</v>
      </c>
      <c r="I308" s="3" t="s">
        <v>1520</v>
      </c>
      <c r="M308" s="56"/>
    </row>
    <row r="309" spans="1:13">
      <c r="A309" s="66"/>
      <c r="B309" s="66"/>
      <c r="C309" s="47" t="s">
        <v>1775</v>
      </c>
      <c r="D309" t="s">
        <v>632</v>
      </c>
      <c r="F309"/>
      <c r="H309" s="3"/>
      <c r="I309" s="3"/>
      <c r="M309" s="56"/>
    </row>
    <row r="310" spans="1:13">
      <c r="A310" s="66"/>
      <c r="B310" s="66"/>
      <c r="C310" s="47" t="s">
        <v>823</v>
      </c>
      <c r="D310" t="s">
        <v>632</v>
      </c>
      <c r="F310"/>
      <c r="H310" s="3"/>
      <c r="I310" s="3"/>
      <c r="M310" s="56"/>
    </row>
    <row r="311" spans="1:13">
      <c r="A311" s="66"/>
      <c r="B311" s="66"/>
      <c r="C311" s="47" t="s">
        <v>1776</v>
      </c>
      <c r="D311" t="s">
        <v>632</v>
      </c>
      <c r="F311"/>
      <c r="H311" s="3"/>
      <c r="I311" s="3"/>
      <c r="M311" s="56"/>
    </row>
    <row r="312" spans="1:13">
      <c r="A312" s="66"/>
      <c r="B312" s="66"/>
      <c r="C312" s="47" t="s">
        <v>825</v>
      </c>
      <c r="D312" t="s">
        <v>632</v>
      </c>
      <c r="F312"/>
      <c r="H312" s="3" t="s">
        <v>1515</v>
      </c>
      <c r="I312" s="3" t="s">
        <v>620</v>
      </c>
      <c r="M312" s="56"/>
    </row>
    <row r="313" spans="1:13">
      <c r="A313" s="66"/>
      <c r="B313" s="66"/>
      <c r="C313" s="47" t="s">
        <v>1777</v>
      </c>
      <c r="D313" t="s">
        <v>632</v>
      </c>
      <c r="F313"/>
      <c r="H313" s="3" t="s">
        <v>1516</v>
      </c>
      <c r="I313" s="3" t="s">
        <v>1520</v>
      </c>
      <c r="M313" s="56"/>
    </row>
    <row r="314" spans="1:13">
      <c r="A314" s="66"/>
      <c r="B314" s="66"/>
      <c r="C314" s="47" t="s">
        <v>1778</v>
      </c>
      <c r="D314" t="s">
        <v>632</v>
      </c>
      <c r="F314"/>
      <c r="H314" s="3"/>
      <c r="I314" s="3"/>
      <c r="M314" s="56"/>
    </row>
    <row r="315" spans="1:13">
      <c r="A315" s="66"/>
      <c r="B315" s="66"/>
      <c r="C315" s="47" t="s">
        <v>828</v>
      </c>
      <c r="D315" t="s">
        <v>632</v>
      </c>
      <c r="F315"/>
      <c r="H315" s="3"/>
      <c r="I315" s="3"/>
      <c r="M315" s="56"/>
    </row>
    <row r="316" spans="1:13">
      <c r="A316" s="66"/>
      <c r="B316" s="66"/>
      <c r="C316" s="47" t="s">
        <v>1779</v>
      </c>
      <c r="D316" t="s">
        <v>632</v>
      </c>
      <c r="F316"/>
      <c r="H316" s="3"/>
      <c r="I316" s="3"/>
      <c r="M316" s="56"/>
    </row>
    <row r="317" spans="1:13">
      <c r="A317" s="66"/>
      <c r="B317" s="66"/>
      <c r="C317" s="47" t="s">
        <v>830</v>
      </c>
      <c r="D317" t="s">
        <v>632</v>
      </c>
      <c r="F317"/>
      <c r="H317" s="3" t="s">
        <v>1517</v>
      </c>
      <c r="I317" s="3" t="s">
        <v>620</v>
      </c>
      <c r="M317" s="56"/>
    </row>
    <row r="318" spans="1:13">
      <c r="A318" s="66"/>
      <c r="B318" s="66"/>
      <c r="C318" s="47" t="s">
        <v>1780</v>
      </c>
      <c r="D318" t="s">
        <v>632</v>
      </c>
      <c r="F318"/>
      <c r="H318" s="3" t="s">
        <v>1518</v>
      </c>
      <c r="I318" s="3" t="s">
        <v>1520</v>
      </c>
      <c r="M318" s="56"/>
    </row>
    <row r="319" spans="1:13">
      <c r="A319" s="66"/>
      <c r="B319" s="66"/>
      <c r="C319" s="47" t="s">
        <v>1781</v>
      </c>
      <c r="D319" t="s">
        <v>632</v>
      </c>
      <c r="F319"/>
      <c r="H319" s="3"/>
      <c r="I319" s="3"/>
      <c r="M319" s="56"/>
    </row>
    <row r="320" spans="1:13">
      <c r="A320" s="66"/>
      <c r="B320" s="66"/>
      <c r="C320" s="47" t="s">
        <v>833</v>
      </c>
      <c r="D320" t="s">
        <v>632</v>
      </c>
      <c r="F320"/>
      <c r="H320" s="3"/>
      <c r="I320" s="3"/>
      <c r="M320" s="56"/>
    </row>
    <row r="321" spans="1:13">
      <c r="A321" s="66"/>
      <c r="B321" s="66"/>
      <c r="C321" s="47" t="s">
        <v>1782</v>
      </c>
      <c r="D321" t="s">
        <v>632</v>
      </c>
      <c r="F321"/>
      <c r="H321" s="3"/>
      <c r="I321" s="3"/>
      <c r="M321" s="56"/>
    </row>
    <row r="322" spans="1:13">
      <c r="A322" s="66"/>
      <c r="B322" s="66"/>
      <c r="C322" s="47" t="s">
        <v>835</v>
      </c>
      <c r="D322" t="s">
        <v>543</v>
      </c>
      <c r="F322">
        <v>1</v>
      </c>
      <c r="G322" s="61">
        <v>79.1875</v>
      </c>
      <c r="H322" s="3" t="s">
        <v>609</v>
      </c>
      <c r="I322" s="3" t="s">
        <v>545</v>
      </c>
      <c r="J322" s="15" t="s">
        <v>546</v>
      </c>
      <c r="K322" s="15" t="s">
        <v>547</v>
      </c>
      <c r="L322" s="15" t="s">
        <v>546</v>
      </c>
      <c r="M322" s="56"/>
    </row>
    <row r="323" spans="1:13">
      <c r="A323" s="66"/>
      <c r="B323" s="66"/>
      <c r="C323" s="47" t="s">
        <v>836</v>
      </c>
      <c r="D323" t="s">
        <v>569</v>
      </c>
      <c r="F323"/>
      <c r="H323" s="3" t="s">
        <v>609</v>
      </c>
      <c r="I323" s="3" t="s">
        <v>545</v>
      </c>
      <c r="K323" s="15" t="s">
        <v>547</v>
      </c>
      <c r="M323" s="56"/>
    </row>
    <row r="324" spans="1:13">
      <c r="A324" s="66"/>
      <c r="B324" s="66"/>
      <c r="C324" s="47" t="s">
        <v>837</v>
      </c>
      <c r="D324" t="s">
        <v>543</v>
      </c>
      <c r="F324">
        <v>1</v>
      </c>
      <c r="G324" s="61">
        <v>78.494699999999995</v>
      </c>
      <c r="H324" s="3">
        <v>0.85</v>
      </c>
      <c r="I324" s="3" t="s">
        <v>609</v>
      </c>
      <c r="J324" s="15" t="s">
        <v>546</v>
      </c>
      <c r="K324" s="15" t="s">
        <v>547</v>
      </c>
      <c r="L324" s="15" t="s">
        <v>546</v>
      </c>
      <c r="M324" s="56"/>
    </row>
    <row r="325" spans="1:13">
      <c r="A325" s="66"/>
      <c r="B325" s="66"/>
      <c r="C325" s="47" t="s">
        <v>838</v>
      </c>
      <c r="D325" t="s">
        <v>569</v>
      </c>
      <c r="F325"/>
      <c r="H325" s="3">
        <v>0.85</v>
      </c>
      <c r="I325" s="3" t="s">
        <v>609</v>
      </c>
      <c r="K325" s="15" t="s">
        <v>547</v>
      </c>
      <c r="M325" s="56"/>
    </row>
    <row r="326" spans="1:13">
      <c r="A326" s="66"/>
      <c r="B326" s="66"/>
      <c r="C326" s="47" t="s">
        <v>839</v>
      </c>
      <c r="D326" t="s">
        <v>561</v>
      </c>
      <c r="F326">
        <v>1</v>
      </c>
      <c r="G326" s="61">
        <v>159.625</v>
      </c>
      <c r="H326" s="3">
        <v>0</v>
      </c>
      <c r="I326" s="3" t="s">
        <v>609</v>
      </c>
      <c r="K326" s="15" t="s">
        <v>547</v>
      </c>
      <c r="M326" s="56"/>
    </row>
    <row r="327" spans="1:13" s="54" customFormat="1">
      <c r="A327" s="64"/>
      <c r="B327" s="64"/>
      <c r="C327" s="48" t="s">
        <v>840</v>
      </c>
      <c r="F327" s="84"/>
      <c r="G327" s="85"/>
      <c r="H327" s="91"/>
      <c r="I327" s="91"/>
      <c r="J327" s="86"/>
      <c r="K327" s="86"/>
      <c r="L327" s="86"/>
      <c r="M327" s="57"/>
    </row>
    <row r="328" spans="1:13">
      <c r="G328" s="61">
        <f>SUM(G235:G327)</f>
        <v>1708.2051999999999</v>
      </c>
    </row>
    <row r="331" spans="1:13">
      <c r="A331" s="63" t="s">
        <v>957</v>
      </c>
      <c r="B331" s="63" t="s">
        <v>957</v>
      </c>
      <c r="C331" s="89" t="s">
        <v>1521</v>
      </c>
      <c r="D331" s="89" t="s">
        <v>1522</v>
      </c>
      <c r="E331" s="53"/>
      <c r="F331" s="53"/>
      <c r="G331" s="53"/>
      <c r="H331" s="88"/>
      <c r="I331" s="88"/>
      <c r="J331" s="53"/>
      <c r="K331" s="53"/>
      <c r="L331" s="83"/>
      <c r="M331" s="55"/>
    </row>
    <row r="332" spans="1:13">
      <c r="A332" s="66"/>
      <c r="B332" s="52"/>
      <c r="C332" s="90" t="s">
        <v>958</v>
      </c>
      <c r="D332" s="90" t="s">
        <v>639</v>
      </c>
      <c r="F332"/>
      <c r="H332" s="3" t="s">
        <v>959</v>
      </c>
      <c r="I332" s="3" t="s">
        <v>552</v>
      </c>
      <c r="K332" s="15" t="s">
        <v>547</v>
      </c>
      <c r="M332" s="56"/>
    </row>
    <row r="333" spans="1:13">
      <c r="A333" s="66"/>
      <c r="B333" s="66"/>
      <c r="C333" s="47" t="s">
        <v>960</v>
      </c>
      <c r="D333" s="90" t="s">
        <v>543</v>
      </c>
      <c r="F333">
        <v>11</v>
      </c>
      <c r="G333" s="61">
        <f>31.5*F333+44</f>
        <v>390.5</v>
      </c>
      <c r="H333" s="3" t="s">
        <v>961</v>
      </c>
      <c r="I333" s="3" t="s">
        <v>552</v>
      </c>
      <c r="K333" s="15" t="s">
        <v>547</v>
      </c>
      <c r="M333" s="56"/>
    </row>
    <row r="334" spans="1:13">
      <c r="A334" s="64"/>
      <c r="B334" s="64"/>
      <c r="C334" s="48" t="s">
        <v>841</v>
      </c>
      <c r="D334" s="117" t="s">
        <v>639</v>
      </c>
      <c r="E334" s="54"/>
      <c r="F334" s="54"/>
      <c r="G334" s="85"/>
      <c r="H334" s="91" t="s">
        <v>961</v>
      </c>
      <c r="I334" s="91" t="s">
        <v>552</v>
      </c>
      <c r="J334" s="86"/>
      <c r="K334" s="86" t="s">
        <v>547</v>
      </c>
      <c r="L334" s="86"/>
      <c r="M334" s="57"/>
    </row>
    <row r="336" spans="1:13">
      <c r="A336" s="63" t="s">
        <v>369</v>
      </c>
      <c r="B336" s="63" t="s">
        <v>962</v>
      </c>
      <c r="C336" s="13" t="s">
        <v>843</v>
      </c>
      <c r="D336" s="53" t="s">
        <v>543</v>
      </c>
      <c r="E336" s="53"/>
      <c r="F336" s="53">
        <v>1</v>
      </c>
      <c r="G336" s="82">
        <v>73.101399999999998</v>
      </c>
      <c r="H336" s="88" t="s">
        <v>844</v>
      </c>
      <c r="I336" s="88" t="s">
        <v>545</v>
      </c>
      <c r="J336" s="83" t="s">
        <v>546</v>
      </c>
      <c r="K336" s="83" t="s">
        <v>547</v>
      </c>
      <c r="L336" s="83" t="s">
        <v>546</v>
      </c>
      <c r="M336" s="55"/>
    </row>
    <row r="337" spans="1:13">
      <c r="A337" s="66"/>
      <c r="B337" s="66"/>
      <c r="C337" s="47" t="s">
        <v>845</v>
      </c>
      <c r="D337" t="s">
        <v>569</v>
      </c>
      <c r="F337"/>
      <c r="H337" s="3" t="s">
        <v>844</v>
      </c>
      <c r="I337" s="3" t="s">
        <v>545</v>
      </c>
      <c r="K337" s="15" t="s">
        <v>547</v>
      </c>
      <c r="M337" s="56"/>
    </row>
    <row r="338" spans="1:13">
      <c r="A338" s="66"/>
      <c r="B338" s="66"/>
      <c r="C338" s="47" t="s">
        <v>846</v>
      </c>
      <c r="D338" t="s">
        <v>543</v>
      </c>
      <c r="F338">
        <v>1</v>
      </c>
      <c r="G338" s="61">
        <v>71.224900000000005</v>
      </c>
      <c r="H338" s="3" t="s">
        <v>847</v>
      </c>
      <c r="I338" s="3" t="s">
        <v>552</v>
      </c>
      <c r="J338" s="15" t="s">
        <v>546</v>
      </c>
      <c r="K338" s="15" t="s">
        <v>547</v>
      </c>
      <c r="L338" s="15" t="s">
        <v>546</v>
      </c>
      <c r="M338" s="56"/>
    </row>
    <row r="339" spans="1:13">
      <c r="A339" s="66"/>
      <c r="B339" s="66"/>
      <c r="C339" s="47" t="s">
        <v>848</v>
      </c>
      <c r="D339" t="s">
        <v>569</v>
      </c>
      <c r="F339"/>
      <c r="H339" s="3" t="s">
        <v>847</v>
      </c>
      <c r="I339" s="3" t="s">
        <v>552</v>
      </c>
      <c r="K339" s="15" t="s">
        <v>547</v>
      </c>
      <c r="M339" s="56"/>
    </row>
    <row r="340" spans="1:13">
      <c r="A340" s="66"/>
      <c r="B340" s="66"/>
      <c r="C340" s="47" t="s">
        <v>849</v>
      </c>
      <c r="D340" t="s">
        <v>543</v>
      </c>
      <c r="F340">
        <v>1</v>
      </c>
      <c r="G340" s="61">
        <v>72.438599999999994</v>
      </c>
      <c r="H340" s="3" t="s">
        <v>850</v>
      </c>
      <c r="I340" s="3" t="s">
        <v>620</v>
      </c>
      <c r="J340" s="15" t="s">
        <v>546</v>
      </c>
      <c r="K340" s="15" t="s">
        <v>547</v>
      </c>
      <c r="L340" s="15" t="s">
        <v>546</v>
      </c>
      <c r="M340" s="56"/>
    </row>
    <row r="341" spans="1:13">
      <c r="A341" s="66"/>
      <c r="B341" s="66"/>
      <c r="C341" s="47" t="s">
        <v>851</v>
      </c>
      <c r="D341" t="s">
        <v>569</v>
      </c>
      <c r="F341"/>
      <c r="H341" s="3" t="s">
        <v>850</v>
      </c>
      <c r="I341" s="3" t="s">
        <v>620</v>
      </c>
      <c r="K341" s="15" t="s">
        <v>547</v>
      </c>
      <c r="M341" s="56"/>
    </row>
    <row r="342" spans="1:13">
      <c r="A342" s="66"/>
      <c r="B342" s="66"/>
      <c r="C342" s="47" t="s">
        <v>852</v>
      </c>
      <c r="D342" t="s">
        <v>632</v>
      </c>
      <c r="F342"/>
      <c r="H342" s="3"/>
      <c r="I342" s="3"/>
      <c r="M342" s="56"/>
    </row>
    <row r="343" spans="1:13">
      <c r="A343" s="66"/>
      <c r="B343" s="66"/>
      <c r="C343" s="47" t="s">
        <v>853</v>
      </c>
      <c r="D343" t="s">
        <v>543</v>
      </c>
      <c r="F343">
        <v>1</v>
      </c>
      <c r="G343" s="61">
        <v>71.872900000000001</v>
      </c>
      <c r="H343" s="3" t="s">
        <v>850</v>
      </c>
      <c r="I343" s="3" t="s">
        <v>552</v>
      </c>
      <c r="J343" s="15" t="s">
        <v>546</v>
      </c>
      <c r="K343" s="15" t="s">
        <v>547</v>
      </c>
      <c r="L343" s="15" t="s">
        <v>546</v>
      </c>
      <c r="M343" s="56"/>
    </row>
    <row r="344" spans="1:13">
      <c r="A344" s="66"/>
      <c r="B344" s="66"/>
      <c r="C344" s="47" t="s">
        <v>854</v>
      </c>
      <c r="D344" t="s">
        <v>569</v>
      </c>
      <c r="F344"/>
      <c r="H344" s="3" t="s">
        <v>850</v>
      </c>
      <c r="I344" s="3" t="s">
        <v>552</v>
      </c>
      <c r="K344" s="15" t="s">
        <v>547</v>
      </c>
      <c r="M344" s="56"/>
    </row>
    <row r="345" spans="1:13">
      <c r="A345" s="64"/>
      <c r="B345" s="64"/>
      <c r="C345" s="48" t="s">
        <v>855</v>
      </c>
      <c r="D345" s="54" t="s">
        <v>632</v>
      </c>
      <c r="E345" s="54"/>
      <c r="F345" s="54"/>
      <c r="G345" s="85"/>
      <c r="H345" s="91"/>
      <c r="I345" s="91"/>
      <c r="J345" s="86"/>
      <c r="K345" s="86"/>
      <c r="L345" s="86"/>
      <c r="M345" s="57"/>
    </row>
    <row r="346" spans="1:13">
      <c r="G346" s="61">
        <f>SUM(G336:G345)</f>
        <v>288.63780000000003</v>
      </c>
    </row>
    <row r="347" spans="1:13">
      <c r="A347" s="63" t="s">
        <v>360</v>
      </c>
      <c r="B347" s="63" t="s">
        <v>963</v>
      </c>
      <c r="C347" s="53" t="s">
        <v>964</v>
      </c>
      <c r="D347" s="53" t="s">
        <v>561</v>
      </c>
      <c r="E347" s="53"/>
      <c r="F347" s="53">
        <v>1</v>
      </c>
      <c r="G347" s="82">
        <v>199.934</v>
      </c>
      <c r="H347" s="88">
        <v>0</v>
      </c>
      <c r="I347" s="88" t="s">
        <v>965</v>
      </c>
      <c r="J347" s="83"/>
      <c r="K347" s="83" t="s">
        <v>547</v>
      </c>
      <c r="L347" s="83"/>
      <c r="M347" s="55" t="s">
        <v>547</v>
      </c>
    </row>
    <row r="348" spans="1:13">
      <c r="A348" s="52"/>
      <c r="B348" s="66"/>
      <c r="C348" t="s">
        <v>966</v>
      </c>
      <c r="F348"/>
      <c r="H348" s="3"/>
      <c r="I348" s="3"/>
      <c r="M348" s="56"/>
    </row>
    <row r="349" spans="1:13">
      <c r="A349" s="52"/>
      <c r="B349" s="66"/>
      <c r="C349" t="s">
        <v>967</v>
      </c>
      <c r="F349"/>
      <c r="H349" s="3"/>
      <c r="I349" s="3"/>
      <c r="M349" s="56"/>
    </row>
    <row r="350" spans="1:13">
      <c r="A350" s="52"/>
      <c r="B350" s="66"/>
      <c r="C350" t="s">
        <v>968</v>
      </c>
      <c r="D350" t="s">
        <v>561</v>
      </c>
      <c r="F350" s="1">
        <v>1</v>
      </c>
      <c r="G350" s="61">
        <v>92.910899999999998</v>
      </c>
      <c r="H350" s="3">
        <v>-0.1</v>
      </c>
      <c r="I350" s="3" t="s">
        <v>965</v>
      </c>
      <c r="K350" s="15" t="s">
        <v>547</v>
      </c>
      <c r="M350" s="56" t="s">
        <v>547</v>
      </c>
    </row>
    <row r="351" spans="1:13">
      <c r="A351" s="52"/>
      <c r="B351" s="66"/>
      <c r="C351" t="s">
        <v>969</v>
      </c>
      <c r="D351" t="s">
        <v>561</v>
      </c>
      <c r="F351" s="1">
        <v>1</v>
      </c>
      <c r="G351" s="61">
        <v>60.077300000000001</v>
      </c>
      <c r="H351" s="3" t="s">
        <v>965</v>
      </c>
      <c r="I351" s="3" t="s">
        <v>547</v>
      </c>
      <c r="K351" s="15" t="s">
        <v>547</v>
      </c>
      <c r="M351" s="56" t="s">
        <v>547</v>
      </c>
    </row>
    <row r="352" spans="1:13">
      <c r="A352" s="52"/>
      <c r="B352" s="66"/>
      <c r="C352" t="s">
        <v>970</v>
      </c>
      <c r="D352" t="s">
        <v>569</v>
      </c>
      <c r="F352"/>
      <c r="H352" s="3" t="s">
        <v>965</v>
      </c>
      <c r="I352" s="3" t="s">
        <v>545</v>
      </c>
      <c r="K352" s="15" t="s">
        <v>547</v>
      </c>
      <c r="M352" s="56"/>
    </row>
    <row r="353" spans="1:13">
      <c r="A353" s="52"/>
      <c r="B353" s="66"/>
      <c r="C353" t="s">
        <v>608</v>
      </c>
      <c r="D353" t="s">
        <v>569</v>
      </c>
      <c r="F353"/>
      <c r="H353" s="3" t="s">
        <v>609</v>
      </c>
      <c r="I353" s="3" t="s">
        <v>545</v>
      </c>
      <c r="K353" s="15" t="s">
        <v>547</v>
      </c>
      <c r="M353" s="56"/>
    </row>
    <row r="354" spans="1:13">
      <c r="A354" s="52"/>
      <c r="B354" s="66"/>
      <c r="C354" t="s">
        <v>971</v>
      </c>
      <c r="D354" t="s">
        <v>543</v>
      </c>
      <c r="F354" s="1">
        <v>2</v>
      </c>
      <c r="G354" s="61">
        <v>167.572</v>
      </c>
      <c r="H354" s="3" t="s">
        <v>972</v>
      </c>
      <c r="I354" s="3" t="s">
        <v>965</v>
      </c>
      <c r="J354" s="15" t="s">
        <v>546</v>
      </c>
      <c r="K354" s="15" t="s">
        <v>547</v>
      </c>
      <c r="L354" s="15" t="s">
        <v>546</v>
      </c>
      <c r="M354" s="56" t="s">
        <v>547</v>
      </c>
    </row>
    <row r="355" spans="1:13">
      <c r="A355" s="52"/>
      <c r="B355" s="66"/>
      <c r="C355" t="s">
        <v>973</v>
      </c>
      <c r="D355" t="s">
        <v>569</v>
      </c>
      <c r="F355"/>
      <c r="H355" s="3" t="s">
        <v>965</v>
      </c>
      <c r="I355" s="3" t="s">
        <v>965</v>
      </c>
      <c r="K355" s="15" t="s">
        <v>547</v>
      </c>
      <c r="M355" s="56"/>
    </row>
    <row r="356" spans="1:13">
      <c r="A356" s="52"/>
      <c r="B356" s="66"/>
      <c r="C356" t="s">
        <v>974</v>
      </c>
      <c r="D356" t="s">
        <v>569</v>
      </c>
      <c r="F356"/>
      <c r="H356" s="3" t="s">
        <v>609</v>
      </c>
      <c r="I356" s="3" t="s">
        <v>965</v>
      </c>
      <c r="K356" s="15" t="s">
        <v>547</v>
      </c>
      <c r="M356" s="56"/>
    </row>
    <row r="357" spans="1:13">
      <c r="A357" s="52"/>
      <c r="B357" s="66"/>
      <c r="C357" t="s">
        <v>975</v>
      </c>
      <c r="D357" t="s">
        <v>543</v>
      </c>
      <c r="F357" s="1">
        <v>2</v>
      </c>
      <c r="G357" s="61">
        <v>169.511</v>
      </c>
      <c r="H357" s="3" t="s">
        <v>976</v>
      </c>
      <c r="I357" s="3" t="s">
        <v>965</v>
      </c>
      <c r="J357" s="15" t="s">
        <v>546</v>
      </c>
      <c r="K357" s="15" t="s">
        <v>547</v>
      </c>
      <c r="L357" s="15" t="s">
        <v>546</v>
      </c>
      <c r="M357" s="56" t="s">
        <v>547</v>
      </c>
    </row>
    <row r="358" spans="1:13">
      <c r="A358" s="52"/>
      <c r="B358" s="66"/>
      <c r="C358" t="s">
        <v>977</v>
      </c>
      <c r="D358" t="s">
        <v>569</v>
      </c>
      <c r="F358"/>
      <c r="H358" s="3" t="s">
        <v>611</v>
      </c>
      <c r="I358" s="3" t="s">
        <v>965</v>
      </c>
      <c r="K358" s="15" t="s">
        <v>547</v>
      </c>
      <c r="M358" s="56"/>
    </row>
    <row r="359" spans="1:13">
      <c r="A359" s="52"/>
      <c r="B359" s="66"/>
      <c r="C359" t="s">
        <v>978</v>
      </c>
      <c r="D359" t="s">
        <v>569</v>
      </c>
      <c r="F359"/>
      <c r="H359" s="3" t="s">
        <v>576</v>
      </c>
      <c r="I359" s="3" t="s">
        <v>965</v>
      </c>
      <c r="K359" s="15" t="s">
        <v>547</v>
      </c>
      <c r="M359" s="56"/>
    </row>
    <row r="360" spans="1:13">
      <c r="A360" s="52"/>
      <c r="B360" s="66"/>
      <c r="C360" t="s">
        <v>979</v>
      </c>
      <c r="D360" t="s">
        <v>543</v>
      </c>
      <c r="F360" s="1">
        <v>2</v>
      </c>
      <c r="G360" s="61">
        <v>167.82900000000001</v>
      </c>
      <c r="H360" s="3" t="s">
        <v>972</v>
      </c>
      <c r="I360" s="3" t="s">
        <v>611</v>
      </c>
      <c r="J360" s="15" t="s">
        <v>546</v>
      </c>
      <c r="K360" s="15" t="s">
        <v>547</v>
      </c>
      <c r="L360" s="15" t="s">
        <v>546</v>
      </c>
      <c r="M360" s="56" t="s">
        <v>547</v>
      </c>
    </row>
    <row r="361" spans="1:13">
      <c r="A361" s="52"/>
      <c r="B361" s="66"/>
      <c r="C361" t="s">
        <v>980</v>
      </c>
      <c r="D361" t="s">
        <v>569</v>
      </c>
      <c r="F361"/>
      <c r="H361" s="3" t="s">
        <v>965</v>
      </c>
      <c r="I361" s="3" t="s">
        <v>611</v>
      </c>
      <c r="K361" s="15" t="s">
        <v>547</v>
      </c>
      <c r="M361" s="56"/>
    </row>
    <row r="362" spans="1:13">
      <c r="A362" s="52"/>
      <c r="B362" s="66"/>
      <c r="C362" t="s">
        <v>981</v>
      </c>
      <c r="D362" t="s">
        <v>569</v>
      </c>
      <c r="F362"/>
      <c r="H362" s="3" t="s">
        <v>609</v>
      </c>
      <c r="I362" s="3" t="s">
        <v>611</v>
      </c>
      <c r="K362" s="15" t="s">
        <v>547</v>
      </c>
      <c r="M362" s="56"/>
    </row>
    <row r="363" spans="1:13">
      <c r="A363" s="52"/>
      <c r="B363" s="66"/>
      <c r="C363" t="s">
        <v>982</v>
      </c>
      <c r="D363" t="s">
        <v>632</v>
      </c>
      <c r="F363"/>
      <c r="H363" s="3"/>
      <c r="I363" s="3"/>
      <c r="M363" s="56"/>
    </row>
    <row r="364" spans="1:13">
      <c r="A364" s="115"/>
      <c r="B364" s="64"/>
      <c r="C364" s="54" t="s">
        <v>983</v>
      </c>
      <c r="D364" s="54" t="s">
        <v>632</v>
      </c>
      <c r="E364" s="54"/>
      <c r="F364" s="54"/>
      <c r="G364" s="85"/>
      <c r="H364" s="91"/>
      <c r="I364" s="91"/>
      <c r="J364" s="86"/>
      <c r="K364" s="86"/>
      <c r="L364" s="86"/>
      <c r="M364" s="57"/>
    </row>
    <row r="366" spans="1:13">
      <c r="A366" s="63" t="s">
        <v>1783</v>
      </c>
      <c r="B366" s="63" t="s">
        <v>984</v>
      </c>
      <c r="C366" s="13" t="s">
        <v>985</v>
      </c>
      <c r="D366" s="53" t="s">
        <v>543</v>
      </c>
      <c r="E366" s="53"/>
      <c r="F366" s="53">
        <v>1</v>
      </c>
      <c r="G366" s="82">
        <v>73.101399999999998</v>
      </c>
      <c r="H366" s="88" t="s">
        <v>986</v>
      </c>
      <c r="I366" s="88" t="s">
        <v>545</v>
      </c>
      <c r="J366" s="83" t="s">
        <v>546</v>
      </c>
      <c r="K366" s="83" t="s">
        <v>547</v>
      </c>
      <c r="L366" s="83" t="s">
        <v>546</v>
      </c>
      <c r="M366" s="55" t="s">
        <v>547</v>
      </c>
    </row>
    <row r="367" spans="1:13">
      <c r="A367" s="66"/>
      <c r="B367" s="66"/>
      <c r="C367" s="47" t="s">
        <v>987</v>
      </c>
      <c r="D367" t="s">
        <v>569</v>
      </c>
      <c r="F367"/>
      <c r="H367" s="3" t="s">
        <v>986</v>
      </c>
      <c r="I367" s="3" t="s">
        <v>545</v>
      </c>
      <c r="K367" s="15" t="s">
        <v>547</v>
      </c>
      <c r="M367" s="56"/>
    </row>
    <row r="368" spans="1:13">
      <c r="A368" s="66"/>
      <c r="B368" s="66"/>
      <c r="C368" s="47" t="s">
        <v>988</v>
      </c>
      <c r="D368" t="s">
        <v>543</v>
      </c>
      <c r="F368">
        <v>1</v>
      </c>
      <c r="G368" s="61">
        <v>71.224900000000005</v>
      </c>
      <c r="H368" s="3" t="s">
        <v>989</v>
      </c>
      <c r="I368" s="3" t="s">
        <v>965</v>
      </c>
      <c r="J368" s="15" t="s">
        <v>546</v>
      </c>
      <c r="K368" s="15" t="s">
        <v>547</v>
      </c>
      <c r="L368" s="15" t="s">
        <v>546</v>
      </c>
      <c r="M368" s="56" t="s">
        <v>547</v>
      </c>
    </row>
    <row r="369" spans="1:13">
      <c r="A369" s="66"/>
      <c r="B369" s="66"/>
      <c r="C369" s="47" t="s">
        <v>990</v>
      </c>
      <c r="D369" t="s">
        <v>569</v>
      </c>
      <c r="F369"/>
      <c r="H369" s="3" t="s">
        <v>989</v>
      </c>
      <c r="I369" s="3" t="s">
        <v>965</v>
      </c>
      <c r="K369" s="15" t="s">
        <v>547</v>
      </c>
      <c r="M369" s="56"/>
    </row>
    <row r="370" spans="1:13">
      <c r="A370" s="66"/>
      <c r="B370" s="66"/>
      <c r="C370" s="47" t="s">
        <v>991</v>
      </c>
      <c r="D370" t="s">
        <v>543</v>
      </c>
      <c r="F370">
        <v>1</v>
      </c>
      <c r="G370" s="61">
        <v>72.438599999999994</v>
      </c>
      <c r="H370" s="3" t="s">
        <v>986</v>
      </c>
      <c r="I370" s="3" t="s">
        <v>611</v>
      </c>
      <c r="J370" s="15" t="s">
        <v>546</v>
      </c>
      <c r="K370" s="15" t="s">
        <v>547</v>
      </c>
      <c r="L370" s="15" t="s">
        <v>546</v>
      </c>
      <c r="M370" s="56" t="s">
        <v>547</v>
      </c>
    </row>
    <row r="371" spans="1:13">
      <c r="A371" s="66"/>
      <c r="B371" s="66"/>
      <c r="C371" s="47" t="s">
        <v>992</v>
      </c>
      <c r="D371" t="s">
        <v>569</v>
      </c>
      <c r="F371"/>
      <c r="H371" s="3" t="s">
        <v>986</v>
      </c>
      <c r="I371" s="3" t="s">
        <v>611</v>
      </c>
      <c r="K371" s="15" t="s">
        <v>547</v>
      </c>
      <c r="M371" s="56"/>
    </row>
    <row r="372" spans="1:13">
      <c r="A372" s="66"/>
      <c r="B372" s="66"/>
      <c r="C372" s="47" t="s">
        <v>993</v>
      </c>
      <c r="D372" t="s">
        <v>632</v>
      </c>
      <c r="F372"/>
      <c r="H372" s="3"/>
      <c r="I372" s="3"/>
      <c r="M372" s="56"/>
    </row>
    <row r="373" spans="1:13">
      <c r="A373" s="66"/>
      <c r="B373" s="66"/>
      <c r="C373" s="47" t="s">
        <v>994</v>
      </c>
      <c r="D373" t="s">
        <v>543</v>
      </c>
      <c r="F373">
        <v>1</v>
      </c>
      <c r="G373" s="61">
        <v>71.872900000000001</v>
      </c>
      <c r="H373" s="3" t="s">
        <v>986</v>
      </c>
      <c r="I373" s="3" t="s">
        <v>965</v>
      </c>
      <c r="J373" s="15" t="s">
        <v>546</v>
      </c>
      <c r="K373" s="15" t="s">
        <v>547</v>
      </c>
      <c r="L373" s="15" t="s">
        <v>546</v>
      </c>
      <c r="M373" s="56" t="s">
        <v>547</v>
      </c>
    </row>
    <row r="374" spans="1:13">
      <c r="A374" s="64"/>
      <c r="B374" s="64"/>
      <c r="C374" s="48" t="s">
        <v>995</v>
      </c>
      <c r="D374" s="54" t="s">
        <v>569</v>
      </c>
      <c r="E374" s="54"/>
      <c r="F374" s="54"/>
      <c r="G374" s="85"/>
      <c r="H374" s="91" t="s">
        <v>986</v>
      </c>
      <c r="I374" s="91" t="s">
        <v>965</v>
      </c>
      <c r="J374" s="86"/>
      <c r="K374" s="86" t="s">
        <v>547</v>
      </c>
      <c r="L374" s="86"/>
      <c r="M374" s="57"/>
    </row>
    <row r="375" spans="1:13">
      <c r="G375" s="61">
        <f>SUM(G366:G374)</f>
        <v>288.63780000000003</v>
      </c>
    </row>
    <row r="376" spans="1:13">
      <c r="A376" s="63" t="s">
        <v>360</v>
      </c>
      <c r="B376" s="63" t="s">
        <v>1905</v>
      </c>
      <c r="C376" s="53" t="s">
        <v>856</v>
      </c>
      <c r="D376" s="53" t="s">
        <v>561</v>
      </c>
      <c r="E376" s="53"/>
      <c r="F376" s="53">
        <v>1</v>
      </c>
      <c r="G376" s="82">
        <v>199.934</v>
      </c>
      <c r="H376" s="88">
        <v>0</v>
      </c>
      <c r="I376" s="88" t="s">
        <v>554</v>
      </c>
      <c r="J376" s="83"/>
      <c r="K376" s="83" t="s">
        <v>547</v>
      </c>
      <c r="L376" s="83"/>
      <c r="M376" s="55" t="s">
        <v>547</v>
      </c>
    </row>
    <row r="377" spans="1:13">
      <c r="A377" s="66"/>
      <c r="B377" s="66"/>
      <c r="C377" t="s">
        <v>857</v>
      </c>
      <c r="F377"/>
      <c r="H377" s="3"/>
      <c r="I377" s="3"/>
      <c r="M377" s="56"/>
    </row>
    <row r="378" spans="1:13">
      <c r="A378" s="66"/>
      <c r="B378" s="66"/>
      <c r="C378" t="s">
        <v>858</v>
      </c>
      <c r="F378"/>
      <c r="H378" s="3"/>
      <c r="I378" s="3"/>
      <c r="M378" s="56"/>
    </row>
    <row r="379" spans="1:13">
      <c r="A379" s="66"/>
      <c r="B379" s="66"/>
      <c r="C379" t="s">
        <v>859</v>
      </c>
      <c r="D379" t="s">
        <v>561</v>
      </c>
      <c r="F379" s="1">
        <v>1</v>
      </c>
      <c r="G379" s="61">
        <v>92.910899999999998</v>
      </c>
      <c r="H379" s="3">
        <v>-0.1</v>
      </c>
      <c r="I379" s="3" t="s">
        <v>554</v>
      </c>
      <c r="K379" s="15" t="s">
        <v>547</v>
      </c>
      <c r="M379" s="56" t="s">
        <v>547</v>
      </c>
    </row>
    <row r="380" spans="1:13">
      <c r="A380" s="66"/>
      <c r="B380" s="66"/>
      <c r="C380" t="s">
        <v>860</v>
      </c>
      <c r="D380" t="s">
        <v>561</v>
      </c>
      <c r="F380" s="1">
        <v>1</v>
      </c>
      <c r="G380" s="61">
        <v>60.077300000000001</v>
      </c>
      <c r="H380" s="3" t="s">
        <v>554</v>
      </c>
      <c r="I380" s="3" t="s">
        <v>547</v>
      </c>
      <c r="K380" s="15" t="s">
        <v>547</v>
      </c>
      <c r="M380" s="56" t="s">
        <v>547</v>
      </c>
    </row>
    <row r="381" spans="1:13">
      <c r="A381" s="66"/>
      <c r="B381" s="66"/>
      <c r="C381" t="s">
        <v>579</v>
      </c>
      <c r="D381" t="s">
        <v>569</v>
      </c>
      <c r="F381"/>
      <c r="H381" s="3" t="s">
        <v>554</v>
      </c>
      <c r="I381" s="3" t="s">
        <v>545</v>
      </c>
      <c r="K381" s="15" t="s">
        <v>547</v>
      </c>
      <c r="M381" s="56"/>
    </row>
    <row r="382" spans="1:13">
      <c r="A382" s="66"/>
      <c r="B382" s="66"/>
      <c r="C382" t="s">
        <v>863</v>
      </c>
      <c r="D382" t="s">
        <v>569</v>
      </c>
      <c r="F382"/>
      <c r="H382" s="3" t="s">
        <v>864</v>
      </c>
      <c r="I382" s="3" t="s">
        <v>545</v>
      </c>
      <c r="K382" s="15" t="s">
        <v>547</v>
      </c>
      <c r="M382" s="56"/>
    </row>
    <row r="383" spans="1:13">
      <c r="A383" s="66"/>
      <c r="B383" s="66"/>
      <c r="C383" t="s">
        <v>865</v>
      </c>
      <c r="D383" t="s">
        <v>543</v>
      </c>
      <c r="F383" s="1">
        <f>1.5/0.05+1</f>
        <v>31</v>
      </c>
      <c r="G383" s="61">
        <f>31.5*F383+44</f>
        <v>1020.5</v>
      </c>
      <c r="H383" s="3" t="s">
        <v>918</v>
      </c>
      <c r="I383" s="3" t="s">
        <v>554</v>
      </c>
      <c r="J383" s="15" t="s">
        <v>546</v>
      </c>
      <c r="K383" s="15" t="s">
        <v>547</v>
      </c>
      <c r="L383" s="15" t="s">
        <v>546</v>
      </c>
      <c r="M383" s="56" t="s">
        <v>547</v>
      </c>
    </row>
    <row r="384" spans="1:13">
      <c r="A384" s="66"/>
      <c r="B384" s="66"/>
      <c r="C384" t="s">
        <v>996</v>
      </c>
      <c r="D384" t="s">
        <v>639</v>
      </c>
      <c r="F384"/>
      <c r="H384" s="3" t="s">
        <v>918</v>
      </c>
      <c r="I384" s="3" t="s">
        <v>554</v>
      </c>
      <c r="K384" s="15" t="s">
        <v>547</v>
      </c>
      <c r="M384" s="56"/>
    </row>
    <row r="385" spans="1:13">
      <c r="A385" s="66"/>
      <c r="B385" s="66"/>
      <c r="C385" t="s">
        <v>997</v>
      </c>
      <c r="D385" t="s">
        <v>543</v>
      </c>
      <c r="F385">
        <v>11</v>
      </c>
      <c r="G385" s="61">
        <f>31.5*F385+44</f>
        <v>390.5</v>
      </c>
      <c r="H385" s="3" t="s">
        <v>941</v>
      </c>
      <c r="I385" s="3" t="s">
        <v>554</v>
      </c>
      <c r="J385" s="15" t="s">
        <v>546</v>
      </c>
      <c r="K385" s="15" t="s">
        <v>547</v>
      </c>
      <c r="L385" s="15" t="s">
        <v>546</v>
      </c>
      <c r="M385" s="56" t="s">
        <v>547</v>
      </c>
    </row>
    <row r="386" spans="1:13">
      <c r="A386" s="66"/>
      <c r="B386" s="66"/>
      <c r="C386" t="s">
        <v>879</v>
      </c>
      <c r="D386" t="s">
        <v>639</v>
      </c>
      <c r="F386"/>
      <c r="H386" s="3" t="s">
        <v>941</v>
      </c>
      <c r="I386" s="3" t="s">
        <v>554</v>
      </c>
      <c r="K386" s="15" t="s">
        <v>547</v>
      </c>
      <c r="M386" s="56"/>
    </row>
    <row r="387" spans="1:13">
      <c r="A387" s="66"/>
      <c r="B387" s="66"/>
      <c r="C387" t="s">
        <v>998</v>
      </c>
      <c r="D387" t="s">
        <v>639</v>
      </c>
      <c r="F387"/>
      <c r="H387" s="3" t="s">
        <v>918</v>
      </c>
      <c r="I387" s="3" t="s">
        <v>554</v>
      </c>
      <c r="K387" s="15" t="s">
        <v>547</v>
      </c>
      <c r="M387" s="56"/>
    </row>
    <row r="388" spans="1:13">
      <c r="A388" s="66"/>
      <c r="B388" s="66"/>
      <c r="C388" t="s">
        <v>999</v>
      </c>
      <c r="D388" t="s">
        <v>543</v>
      </c>
      <c r="F388">
        <v>11</v>
      </c>
      <c r="G388" s="61">
        <f>31.5*F388+44</f>
        <v>390.5</v>
      </c>
      <c r="H388" s="3" t="s">
        <v>920</v>
      </c>
      <c r="I388" s="3" t="s">
        <v>554</v>
      </c>
      <c r="K388" s="15" t="s">
        <v>547</v>
      </c>
      <c r="M388" s="56"/>
    </row>
    <row r="389" spans="1:13">
      <c r="A389" s="66"/>
      <c r="B389" s="66"/>
      <c r="C389" t="s">
        <v>881</v>
      </c>
      <c r="D389" t="s">
        <v>639</v>
      </c>
      <c r="F389"/>
      <c r="H389" s="3" t="s">
        <v>920</v>
      </c>
      <c r="I389" s="3" t="s">
        <v>554</v>
      </c>
      <c r="K389" s="15" t="s">
        <v>547</v>
      </c>
      <c r="M389" s="56"/>
    </row>
    <row r="390" spans="1:13">
      <c r="A390" s="66"/>
      <c r="B390" s="66"/>
      <c r="C390" t="s">
        <v>1000</v>
      </c>
      <c r="D390" t="s">
        <v>639</v>
      </c>
      <c r="F390"/>
      <c r="H390" s="3" t="s">
        <v>918</v>
      </c>
      <c r="I390" s="3" t="s">
        <v>554</v>
      </c>
      <c r="K390" s="15" t="s">
        <v>547</v>
      </c>
      <c r="M390" s="56"/>
    </row>
    <row r="391" spans="1:13">
      <c r="A391" s="66"/>
      <c r="B391" s="66"/>
      <c r="C391" t="s">
        <v>1001</v>
      </c>
      <c r="D391" t="s">
        <v>543</v>
      </c>
      <c r="F391">
        <v>11</v>
      </c>
      <c r="G391" s="61">
        <f>31.5*F391+44</f>
        <v>390.5</v>
      </c>
      <c r="H391" s="3" t="s">
        <v>920</v>
      </c>
      <c r="I391" s="3" t="s">
        <v>554</v>
      </c>
      <c r="K391" s="15" t="s">
        <v>547</v>
      </c>
      <c r="M391" s="56"/>
    </row>
    <row r="392" spans="1:13">
      <c r="A392" s="66"/>
      <c r="B392" s="66"/>
      <c r="C392" t="s">
        <v>880</v>
      </c>
      <c r="D392" t="s">
        <v>639</v>
      </c>
      <c r="F392"/>
      <c r="H392" s="3" t="s">
        <v>920</v>
      </c>
      <c r="I392" s="3" t="s">
        <v>554</v>
      </c>
      <c r="K392" s="15" t="s">
        <v>547</v>
      </c>
      <c r="M392" s="56"/>
    </row>
    <row r="393" spans="1:13">
      <c r="A393" s="66"/>
      <c r="B393" s="66"/>
      <c r="C393" t="s">
        <v>882</v>
      </c>
      <c r="D393" t="s">
        <v>632</v>
      </c>
      <c r="F393"/>
      <c r="H393" s="3"/>
      <c r="I393" s="3"/>
      <c r="M393" s="56"/>
    </row>
    <row r="394" spans="1:13">
      <c r="A394" s="66"/>
      <c r="B394" s="66"/>
      <c r="C394" t="s">
        <v>883</v>
      </c>
      <c r="D394" t="s">
        <v>632</v>
      </c>
      <c r="F394"/>
      <c r="H394" s="3"/>
      <c r="I394" s="3"/>
      <c r="M394" s="56"/>
    </row>
    <row r="395" spans="1:13">
      <c r="A395" s="66"/>
      <c r="B395" s="66"/>
      <c r="C395" t="s">
        <v>884</v>
      </c>
      <c r="D395" t="s">
        <v>632</v>
      </c>
      <c r="F395"/>
      <c r="H395" s="3"/>
      <c r="I395" s="3"/>
      <c r="M395" s="56"/>
    </row>
    <row r="396" spans="1:13">
      <c r="A396" s="66"/>
      <c r="B396" s="66"/>
      <c r="C396" t="s">
        <v>1002</v>
      </c>
      <c r="D396" t="s">
        <v>569</v>
      </c>
      <c r="F396"/>
      <c r="H396" s="3" t="s">
        <v>924</v>
      </c>
      <c r="I396" s="3" t="s">
        <v>554</v>
      </c>
      <c r="K396" s="15" t="s">
        <v>547</v>
      </c>
      <c r="M396" s="56"/>
    </row>
    <row r="397" spans="1:13">
      <c r="A397" s="66"/>
      <c r="B397" s="66"/>
      <c r="C397" t="s">
        <v>1003</v>
      </c>
      <c r="D397" t="s">
        <v>569</v>
      </c>
      <c r="F397"/>
      <c r="H397" s="3" t="s">
        <v>926</v>
      </c>
      <c r="I397" s="3" t="s">
        <v>554</v>
      </c>
      <c r="K397" s="15" t="s">
        <v>547</v>
      </c>
      <c r="M397" s="56"/>
    </row>
    <row r="398" spans="1:13">
      <c r="A398" s="66"/>
      <c r="B398" s="66"/>
      <c r="C398" t="s">
        <v>1004</v>
      </c>
      <c r="D398" t="s">
        <v>569</v>
      </c>
      <c r="F398"/>
      <c r="H398" s="3" t="s">
        <v>928</v>
      </c>
      <c r="I398" s="3" t="s">
        <v>554</v>
      </c>
      <c r="K398" s="15" t="s">
        <v>547</v>
      </c>
      <c r="M398" s="56"/>
    </row>
    <row r="399" spans="1:13">
      <c r="A399" s="66"/>
      <c r="B399" s="66"/>
      <c r="C399" t="s">
        <v>1005</v>
      </c>
      <c r="D399" t="s">
        <v>569</v>
      </c>
      <c r="F399"/>
      <c r="H399" s="3" t="s">
        <v>930</v>
      </c>
      <c r="I399" s="3" t="s">
        <v>554</v>
      </c>
      <c r="K399" s="15" t="s">
        <v>547</v>
      </c>
      <c r="M399" s="56"/>
    </row>
    <row r="400" spans="1:13">
      <c r="A400" s="66"/>
      <c r="B400" s="66"/>
      <c r="C400" t="s">
        <v>1006</v>
      </c>
      <c r="D400" t="s">
        <v>569</v>
      </c>
      <c r="F400"/>
      <c r="H400" s="3" t="s">
        <v>932</v>
      </c>
      <c r="I400" s="3" t="s">
        <v>554</v>
      </c>
      <c r="K400" s="15" t="s">
        <v>547</v>
      </c>
      <c r="M400" s="56"/>
    </row>
    <row r="401" spans="1:13">
      <c r="A401" s="66"/>
      <c r="B401" s="66"/>
      <c r="C401" t="s">
        <v>1007</v>
      </c>
      <c r="D401" t="s">
        <v>632</v>
      </c>
      <c r="F401"/>
      <c r="H401" s="3"/>
      <c r="I401" s="3"/>
      <c r="M401" s="56"/>
    </row>
    <row r="402" spans="1:13">
      <c r="A402" s="66"/>
      <c r="B402" s="66"/>
      <c r="C402" t="s">
        <v>1008</v>
      </c>
      <c r="D402" t="s">
        <v>632</v>
      </c>
      <c r="F402"/>
      <c r="H402" s="3"/>
      <c r="I402" s="3"/>
      <c r="M402" s="56"/>
    </row>
    <row r="403" spans="1:13">
      <c r="A403" s="66"/>
      <c r="B403" s="66"/>
      <c r="C403" t="s">
        <v>1009</v>
      </c>
      <c r="D403" t="s">
        <v>632</v>
      </c>
      <c r="F403"/>
      <c r="H403" s="3"/>
      <c r="I403" s="3"/>
      <c r="M403" s="56"/>
    </row>
    <row r="405" spans="1:13">
      <c r="A405" s="63" t="s">
        <v>367</v>
      </c>
      <c r="B405" s="63" t="s">
        <v>367</v>
      </c>
      <c r="C405" s="53" t="s">
        <v>856</v>
      </c>
      <c r="D405" s="53" t="s">
        <v>561</v>
      </c>
      <c r="E405" s="53"/>
      <c r="F405" s="53">
        <v>1</v>
      </c>
      <c r="G405" s="82">
        <v>199.934</v>
      </c>
      <c r="H405" s="88">
        <v>0</v>
      </c>
      <c r="I405" s="88" t="s">
        <v>554</v>
      </c>
      <c r="J405" s="83"/>
      <c r="K405" s="83" t="s">
        <v>547</v>
      </c>
      <c r="L405" s="83"/>
      <c r="M405" s="55" t="s">
        <v>547</v>
      </c>
    </row>
    <row r="406" spans="1:13">
      <c r="A406" s="66"/>
      <c r="B406" s="66"/>
      <c r="C406" t="s">
        <v>857</v>
      </c>
      <c r="F406"/>
      <c r="H406" s="3"/>
      <c r="I406" s="3"/>
      <c r="M406" s="56"/>
    </row>
    <row r="407" spans="1:13">
      <c r="A407" s="66"/>
      <c r="B407" s="66"/>
      <c r="C407" t="s">
        <v>858</v>
      </c>
      <c r="F407"/>
      <c r="H407" s="3"/>
      <c r="I407" s="3"/>
      <c r="M407" s="56"/>
    </row>
    <row r="408" spans="1:13">
      <c r="A408" s="66"/>
      <c r="B408" s="66"/>
      <c r="C408" t="s">
        <v>859</v>
      </c>
      <c r="D408" t="s">
        <v>561</v>
      </c>
      <c r="F408" s="1">
        <v>1</v>
      </c>
      <c r="G408" s="61">
        <v>92.910899999999998</v>
      </c>
      <c r="H408" s="3">
        <v>-0.1</v>
      </c>
      <c r="I408" s="3" t="s">
        <v>554</v>
      </c>
      <c r="K408" s="15" t="s">
        <v>547</v>
      </c>
      <c r="M408" s="56" t="s">
        <v>547</v>
      </c>
    </row>
    <row r="409" spans="1:13">
      <c r="A409" s="66"/>
      <c r="B409" s="66"/>
      <c r="C409" t="s">
        <v>860</v>
      </c>
      <c r="D409" t="s">
        <v>561</v>
      </c>
      <c r="F409" s="1">
        <v>1</v>
      </c>
      <c r="G409" s="61">
        <v>60.077300000000001</v>
      </c>
      <c r="H409" s="3" t="s">
        <v>554</v>
      </c>
      <c r="I409" s="3" t="s">
        <v>547</v>
      </c>
      <c r="K409" s="15" t="s">
        <v>547</v>
      </c>
      <c r="M409" s="56" t="s">
        <v>547</v>
      </c>
    </row>
    <row r="410" spans="1:13">
      <c r="A410" s="66"/>
      <c r="B410" s="66"/>
      <c r="C410" t="s">
        <v>579</v>
      </c>
      <c r="D410" t="s">
        <v>569</v>
      </c>
      <c r="F410"/>
      <c r="H410" s="3" t="s">
        <v>554</v>
      </c>
      <c r="I410" s="3" t="s">
        <v>545</v>
      </c>
      <c r="K410" s="15" t="s">
        <v>547</v>
      </c>
      <c r="M410" s="56"/>
    </row>
    <row r="411" spans="1:13">
      <c r="A411" s="66"/>
      <c r="B411" s="66"/>
      <c r="C411" t="s">
        <v>863</v>
      </c>
      <c r="D411" t="s">
        <v>569</v>
      </c>
      <c r="F411"/>
      <c r="H411" s="3" t="s">
        <v>864</v>
      </c>
      <c r="I411" s="3" t="s">
        <v>545</v>
      </c>
      <c r="K411" s="15" t="s">
        <v>547</v>
      </c>
      <c r="M411" s="56"/>
    </row>
    <row r="412" spans="1:13">
      <c r="A412" s="66"/>
      <c r="B412" s="66"/>
      <c r="C412" t="s">
        <v>865</v>
      </c>
      <c r="D412" t="s">
        <v>543</v>
      </c>
      <c r="F412" s="1">
        <f>1.5/0.05+1</f>
        <v>31</v>
      </c>
      <c r="G412" s="61">
        <f>31.5*F412+44</f>
        <v>1020.5</v>
      </c>
      <c r="H412" s="3" t="s">
        <v>916</v>
      </c>
      <c r="I412" s="3" t="s">
        <v>554</v>
      </c>
      <c r="J412" s="15" t="s">
        <v>546</v>
      </c>
      <c r="K412" s="15" t="s">
        <v>547</v>
      </c>
      <c r="L412" s="15" t="s">
        <v>546</v>
      </c>
      <c r="M412" s="56" t="s">
        <v>547</v>
      </c>
    </row>
    <row r="413" spans="1:13">
      <c r="A413" s="66"/>
      <c r="B413" s="66"/>
      <c r="C413" t="s">
        <v>867</v>
      </c>
      <c r="D413" t="s">
        <v>569</v>
      </c>
      <c r="F413"/>
      <c r="H413" s="3">
        <v>1.1000000000000001</v>
      </c>
      <c r="I413" s="3" t="s">
        <v>554</v>
      </c>
      <c r="K413" s="15" t="s">
        <v>547</v>
      </c>
      <c r="M413" s="56"/>
    </row>
    <row r="414" spans="1:13">
      <c r="A414" s="66"/>
      <c r="B414" s="66"/>
      <c r="C414" t="s">
        <v>868</v>
      </c>
      <c r="D414" t="s">
        <v>569</v>
      </c>
      <c r="F414"/>
      <c r="H414" s="3">
        <v>1</v>
      </c>
      <c r="I414" s="3" t="s">
        <v>554</v>
      </c>
      <c r="K414" s="15" t="s">
        <v>547</v>
      </c>
      <c r="M414" s="56"/>
    </row>
    <row r="415" spans="1:13">
      <c r="A415" s="66"/>
      <c r="B415" s="66"/>
      <c r="C415" t="s">
        <v>871</v>
      </c>
      <c r="D415" t="s">
        <v>569</v>
      </c>
      <c r="F415"/>
      <c r="H415" s="3">
        <v>0.65</v>
      </c>
      <c r="I415" s="3" t="s">
        <v>554</v>
      </c>
      <c r="K415" s="15" t="s">
        <v>547</v>
      </c>
      <c r="M415" s="56"/>
    </row>
    <row r="416" spans="1:13">
      <c r="A416" s="66"/>
      <c r="B416" s="66"/>
      <c r="C416" t="s">
        <v>872</v>
      </c>
      <c r="D416" t="s">
        <v>569</v>
      </c>
      <c r="F416"/>
      <c r="H416" s="3">
        <v>0.55000000000000004</v>
      </c>
      <c r="I416" s="3" t="s">
        <v>554</v>
      </c>
      <c r="K416" s="15" t="s">
        <v>547</v>
      </c>
      <c r="M416" s="56"/>
    </row>
    <row r="417" spans="1:13">
      <c r="A417" s="66"/>
      <c r="B417" s="66"/>
      <c r="C417" t="s">
        <v>873</v>
      </c>
      <c r="D417" t="s">
        <v>543</v>
      </c>
      <c r="F417" s="1">
        <v>2</v>
      </c>
      <c r="G417" s="61">
        <v>167.82900000000001</v>
      </c>
      <c r="H417" s="3" t="s">
        <v>866</v>
      </c>
      <c r="I417" s="3" t="s">
        <v>552</v>
      </c>
      <c r="J417" s="15" t="s">
        <v>546</v>
      </c>
      <c r="K417" s="15" t="s">
        <v>547</v>
      </c>
      <c r="L417" s="15" t="s">
        <v>546</v>
      </c>
      <c r="M417" s="56" t="s">
        <v>547</v>
      </c>
    </row>
    <row r="418" spans="1:13">
      <c r="A418" s="66"/>
      <c r="B418" s="66"/>
      <c r="C418" t="s">
        <v>874</v>
      </c>
      <c r="D418" t="s">
        <v>569</v>
      </c>
      <c r="F418"/>
      <c r="H418" s="3">
        <v>1.1000000000000001</v>
      </c>
      <c r="I418" s="3" t="s">
        <v>552</v>
      </c>
      <c r="K418" s="15" t="s">
        <v>547</v>
      </c>
      <c r="M418" s="56"/>
    </row>
    <row r="419" spans="1:13">
      <c r="A419" s="66"/>
      <c r="B419" s="66"/>
      <c r="C419" t="s">
        <v>875</v>
      </c>
      <c r="D419" t="s">
        <v>569</v>
      </c>
      <c r="F419"/>
      <c r="H419" s="3">
        <v>1</v>
      </c>
      <c r="I419" s="3" t="s">
        <v>552</v>
      </c>
      <c r="K419" s="15" t="s">
        <v>547</v>
      </c>
      <c r="M419" s="56"/>
    </row>
    <row r="420" spans="1:13">
      <c r="A420" s="66"/>
      <c r="B420" s="66"/>
      <c r="C420" t="s">
        <v>876</v>
      </c>
      <c r="D420" t="s">
        <v>632</v>
      </c>
      <c r="F420"/>
      <c r="H420" s="3"/>
      <c r="I420" s="3"/>
      <c r="M420" s="56"/>
    </row>
    <row r="421" spans="1:13">
      <c r="A421" s="66"/>
      <c r="B421" s="66"/>
      <c r="C421" t="s">
        <v>877</v>
      </c>
      <c r="D421" t="s">
        <v>632</v>
      </c>
      <c r="F421"/>
      <c r="H421" s="3"/>
      <c r="I421" s="3"/>
      <c r="M421" s="56"/>
    </row>
    <row r="422" spans="1:13">
      <c r="A422" s="66"/>
      <c r="B422" s="66"/>
      <c r="C422" t="s">
        <v>996</v>
      </c>
      <c r="D422" t="s">
        <v>639</v>
      </c>
      <c r="F422"/>
      <c r="H422" s="3" t="s">
        <v>918</v>
      </c>
      <c r="I422" s="3" t="s">
        <v>554</v>
      </c>
      <c r="K422" s="15" t="s">
        <v>547</v>
      </c>
      <c r="M422" s="56"/>
    </row>
    <row r="423" spans="1:13">
      <c r="A423" s="66"/>
      <c r="B423" s="66"/>
      <c r="C423" t="s">
        <v>997</v>
      </c>
      <c r="D423" t="s">
        <v>543</v>
      </c>
      <c r="F423">
        <v>11</v>
      </c>
      <c r="G423" s="61">
        <f>31.5*F423+44</f>
        <v>390.5</v>
      </c>
      <c r="H423" s="3" t="s">
        <v>941</v>
      </c>
      <c r="I423" s="3" t="s">
        <v>554</v>
      </c>
      <c r="J423" s="15" t="s">
        <v>546</v>
      </c>
      <c r="K423" s="15" t="s">
        <v>547</v>
      </c>
      <c r="L423" s="15" t="s">
        <v>546</v>
      </c>
      <c r="M423" s="56" t="s">
        <v>547</v>
      </c>
    </row>
    <row r="424" spans="1:13">
      <c r="A424" s="66"/>
      <c r="B424" s="66"/>
      <c r="C424" t="s">
        <v>879</v>
      </c>
      <c r="D424" t="s">
        <v>639</v>
      </c>
      <c r="F424"/>
      <c r="H424" s="3" t="s">
        <v>941</v>
      </c>
      <c r="I424" s="3" t="s">
        <v>554</v>
      </c>
      <c r="K424" s="15" t="s">
        <v>547</v>
      </c>
      <c r="M424" s="56"/>
    </row>
    <row r="425" spans="1:13">
      <c r="A425" s="66"/>
      <c r="B425" s="66"/>
      <c r="C425" t="s">
        <v>998</v>
      </c>
      <c r="D425" t="s">
        <v>639</v>
      </c>
      <c r="F425"/>
      <c r="H425" s="3" t="s">
        <v>918</v>
      </c>
      <c r="I425" s="3" t="s">
        <v>554</v>
      </c>
      <c r="K425" s="15" t="s">
        <v>547</v>
      </c>
      <c r="M425" s="56"/>
    </row>
    <row r="426" spans="1:13">
      <c r="A426" s="66"/>
      <c r="B426" s="66"/>
      <c r="C426" t="s">
        <v>999</v>
      </c>
      <c r="D426" t="s">
        <v>543</v>
      </c>
      <c r="F426">
        <v>11</v>
      </c>
      <c r="G426" s="61">
        <f>31.5*F426+44</f>
        <v>390.5</v>
      </c>
      <c r="H426" s="3" t="s">
        <v>920</v>
      </c>
      <c r="I426" s="3" t="s">
        <v>554</v>
      </c>
      <c r="K426" s="15" t="s">
        <v>547</v>
      </c>
      <c r="M426" s="56"/>
    </row>
    <row r="427" spans="1:13">
      <c r="A427" s="66"/>
      <c r="B427" s="66"/>
      <c r="C427" t="s">
        <v>881</v>
      </c>
      <c r="D427" t="s">
        <v>639</v>
      </c>
      <c r="F427"/>
      <c r="H427" s="3" t="s">
        <v>920</v>
      </c>
      <c r="I427" s="3" t="s">
        <v>554</v>
      </c>
      <c r="K427" s="15" t="s">
        <v>547</v>
      </c>
      <c r="M427" s="56"/>
    </row>
    <row r="428" spans="1:13">
      <c r="A428" s="66"/>
      <c r="B428" s="66"/>
      <c r="C428" t="s">
        <v>1000</v>
      </c>
      <c r="D428" t="s">
        <v>639</v>
      </c>
      <c r="F428"/>
      <c r="H428" s="3" t="s">
        <v>918</v>
      </c>
      <c r="I428" s="3" t="s">
        <v>554</v>
      </c>
      <c r="K428" s="15" t="s">
        <v>547</v>
      </c>
      <c r="M428" s="56"/>
    </row>
    <row r="429" spans="1:13">
      <c r="A429" s="66"/>
      <c r="B429" s="66"/>
      <c r="C429" t="s">
        <v>1001</v>
      </c>
      <c r="D429" t="s">
        <v>543</v>
      </c>
      <c r="F429">
        <v>11</v>
      </c>
      <c r="G429" s="61">
        <f>31.5*F429+44</f>
        <v>390.5</v>
      </c>
      <c r="H429" s="3" t="s">
        <v>920</v>
      </c>
      <c r="I429" s="3" t="s">
        <v>554</v>
      </c>
      <c r="K429" s="15" t="s">
        <v>547</v>
      </c>
      <c r="M429" s="56"/>
    </row>
    <row r="430" spans="1:13">
      <c r="A430" s="66"/>
      <c r="B430" s="66"/>
      <c r="C430" t="s">
        <v>880</v>
      </c>
      <c r="D430" t="s">
        <v>639</v>
      </c>
      <c r="F430"/>
      <c r="H430" s="3" t="s">
        <v>920</v>
      </c>
      <c r="I430" s="3" t="s">
        <v>554</v>
      </c>
      <c r="K430" s="15" t="s">
        <v>547</v>
      </c>
      <c r="M430" s="56"/>
    </row>
    <row r="431" spans="1:13">
      <c r="A431" s="66"/>
      <c r="B431" s="66"/>
      <c r="C431" t="s">
        <v>882</v>
      </c>
      <c r="D431" t="s">
        <v>632</v>
      </c>
      <c r="F431"/>
      <c r="H431" s="3"/>
      <c r="I431" s="3"/>
      <c r="M431" s="56"/>
    </row>
    <row r="432" spans="1:13">
      <c r="A432" s="66"/>
      <c r="B432" s="66"/>
      <c r="C432" t="s">
        <v>883</v>
      </c>
      <c r="D432" t="s">
        <v>632</v>
      </c>
      <c r="F432"/>
      <c r="H432" s="3"/>
      <c r="I432" s="3"/>
      <c r="M432" s="56"/>
    </row>
    <row r="433" spans="1:13">
      <c r="A433" s="66"/>
      <c r="B433" s="66"/>
      <c r="C433" t="s">
        <v>884</v>
      </c>
      <c r="D433" t="s">
        <v>632</v>
      </c>
      <c r="F433"/>
      <c r="H433" s="3"/>
      <c r="I433" s="3"/>
      <c r="M433" s="56"/>
    </row>
    <row r="434" spans="1:13">
      <c r="A434" s="66"/>
      <c r="B434" s="66"/>
      <c r="C434" t="s">
        <v>1002</v>
      </c>
      <c r="D434" t="s">
        <v>569</v>
      </c>
      <c r="F434"/>
      <c r="H434" s="3" t="s">
        <v>924</v>
      </c>
      <c r="I434" s="3" t="s">
        <v>554</v>
      </c>
      <c r="K434" s="15" t="s">
        <v>547</v>
      </c>
      <c r="M434" s="56"/>
    </row>
    <row r="435" spans="1:13">
      <c r="A435" s="66"/>
      <c r="B435" s="66"/>
      <c r="C435" t="s">
        <v>1003</v>
      </c>
      <c r="D435" t="s">
        <v>569</v>
      </c>
      <c r="F435"/>
      <c r="H435" s="3" t="s">
        <v>926</v>
      </c>
      <c r="I435" s="3" t="s">
        <v>554</v>
      </c>
      <c r="K435" s="15" t="s">
        <v>547</v>
      </c>
      <c r="M435" s="56"/>
    </row>
    <row r="436" spans="1:13">
      <c r="A436" s="66"/>
      <c r="B436" s="66"/>
      <c r="C436" t="s">
        <v>1004</v>
      </c>
      <c r="D436" t="s">
        <v>569</v>
      </c>
      <c r="F436"/>
      <c r="H436" s="3" t="s">
        <v>928</v>
      </c>
      <c r="I436" s="3" t="s">
        <v>554</v>
      </c>
      <c r="K436" s="15" t="s">
        <v>547</v>
      </c>
      <c r="M436" s="56"/>
    </row>
    <row r="437" spans="1:13">
      <c r="A437" s="66"/>
      <c r="B437" s="66"/>
      <c r="C437" t="s">
        <v>1005</v>
      </c>
      <c r="D437" t="s">
        <v>569</v>
      </c>
      <c r="F437"/>
      <c r="H437" s="3" t="s">
        <v>930</v>
      </c>
      <c r="I437" s="3" t="s">
        <v>554</v>
      </c>
      <c r="K437" s="15" t="s">
        <v>547</v>
      </c>
      <c r="M437" s="56"/>
    </row>
    <row r="438" spans="1:13">
      <c r="A438" s="66"/>
      <c r="B438" s="66"/>
      <c r="C438" t="s">
        <v>1006</v>
      </c>
      <c r="D438" t="s">
        <v>569</v>
      </c>
      <c r="F438"/>
      <c r="H438" s="3" t="s">
        <v>932</v>
      </c>
      <c r="I438" s="3" t="s">
        <v>554</v>
      </c>
      <c r="K438" s="15" t="s">
        <v>547</v>
      </c>
      <c r="M438" s="56"/>
    </row>
    <row r="439" spans="1:13">
      <c r="A439" s="66"/>
      <c r="B439" s="66"/>
      <c r="C439" t="s">
        <v>1007</v>
      </c>
      <c r="D439" t="s">
        <v>632</v>
      </c>
      <c r="F439"/>
      <c r="H439" s="3"/>
      <c r="I439" s="3"/>
      <c r="M439" s="56"/>
    </row>
    <row r="440" spans="1:13">
      <c r="A440" s="66"/>
      <c r="B440" s="66"/>
      <c r="C440" t="s">
        <v>1008</v>
      </c>
      <c r="D440" t="s">
        <v>632</v>
      </c>
      <c r="F440"/>
      <c r="H440" s="3"/>
      <c r="I440" s="3"/>
      <c r="M440" s="56"/>
    </row>
    <row r="441" spans="1:13">
      <c r="A441" s="66"/>
      <c r="B441" s="66"/>
      <c r="C441" t="s">
        <v>1009</v>
      </c>
      <c r="D441" t="s">
        <v>632</v>
      </c>
      <c r="F441"/>
      <c r="H441" s="3"/>
      <c r="I441" s="3"/>
      <c r="M441" s="56"/>
    </row>
    <row r="442" spans="1:13">
      <c r="A442" s="66"/>
      <c r="B442" s="66"/>
      <c r="C442" t="s">
        <v>1010</v>
      </c>
      <c r="D442" t="s">
        <v>585</v>
      </c>
      <c r="F442"/>
      <c r="H442" s="3" t="s">
        <v>916</v>
      </c>
      <c r="I442" s="3" t="s">
        <v>554</v>
      </c>
      <c r="K442" s="15" t="s">
        <v>547</v>
      </c>
      <c r="M442" s="56"/>
    </row>
    <row r="443" spans="1:13">
      <c r="A443" s="64"/>
      <c r="B443" s="64"/>
      <c r="C443" s="54" t="s">
        <v>1011</v>
      </c>
      <c r="D443" s="54"/>
      <c r="E443" s="54"/>
      <c r="F443" s="54"/>
      <c r="G443" s="85"/>
      <c r="H443" s="91"/>
      <c r="I443" s="91"/>
      <c r="J443" s="86"/>
      <c r="K443" s="86"/>
      <c r="L443" s="86"/>
      <c r="M443" s="57"/>
    </row>
    <row r="444" spans="1:13">
      <c r="G444" s="61">
        <f>SUM(G405:G443)</f>
        <v>2712.7511999999997</v>
      </c>
    </row>
    <row r="445" spans="1:13">
      <c r="A445" s="278" t="s">
        <v>1012</v>
      </c>
      <c r="B445" s="278" t="s">
        <v>1012</v>
      </c>
      <c r="C445" s="53" t="s">
        <v>729</v>
      </c>
      <c r="D445" s="53" t="s">
        <v>543</v>
      </c>
      <c r="E445" s="53"/>
      <c r="F445" s="81">
        <v>2</v>
      </c>
      <c r="G445" s="82">
        <v>102.636</v>
      </c>
      <c r="H445" s="88" t="s">
        <v>722</v>
      </c>
      <c r="I445" s="88" t="s">
        <v>554</v>
      </c>
      <c r="J445" s="83" t="s">
        <v>546</v>
      </c>
      <c r="K445" s="83" t="s">
        <v>547</v>
      </c>
      <c r="L445" s="83" t="s">
        <v>546</v>
      </c>
      <c r="M445" s="55" t="s">
        <v>547</v>
      </c>
    </row>
    <row r="446" spans="1:13">
      <c r="A446" s="279"/>
      <c r="B446" s="279"/>
      <c r="C446" t="s">
        <v>730</v>
      </c>
      <c r="D446" t="s">
        <v>543</v>
      </c>
      <c r="F446" s="1">
        <v>1</v>
      </c>
      <c r="G446" s="61">
        <v>74.065200000000004</v>
      </c>
      <c r="H446" s="3" t="s">
        <v>718</v>
      </c>
      <c r="I446" s="3" t="s">
        <v>554</v>
      </c>
      <c r="J446" s="15" t="s">
        <v>546</v>
      </c>
      <c r="K446" s="15" t="s">
        <v>547</v>
      </c>
      <c r="L446" s="15" t="s">
        <v>546</v>
      </c>
      <c r="M446" s="56" t="s">
        <v>547</v>
      </c>
    </row>
    <row r="447" spans="1:13">
      <c r="A447" s="279"/>
      <c r="B447" s="279"/>
      <c r="C447" t="s">
        <v>731</v>
      </c>
      <c r="D447" t="s">
        <v>569</v>
      </c>
      <c r="F447"/>
      <c r="H447" s="3" t="s">
        <v>725</v>
      </c>
      <c r="I447" s="3" t="s">
        <v>554</v>
      </c>
      <c r="M447" s="56"/>
    </row>
    <row r="448" spans="1:13">
      <c r="A448" s="279"/>
      <c r="B448" s="279"/>
      <c r="C448" t="s">
        <v>732</v>
      </c>
      <c r="D448" t="s">
        <v>569</v>
      </c>
      <c r="F448"/>
      <c r="H448" s="3" t="s">
        <v>727</v>
      </c>
      <c r="I448" s="3" t="s">
        <v>554</v>
      </c>
      <c r="M448" s="56"/>
    </row>
    <row r="449" spans="1:13" s="54" customFormat="1">
      <c r="A449" s="279"/>
      <c r="B449" s="279"/>
      <c r="C449" s="54" t="s">
        <v>733</v>
      </c>
      <c r="D449" s="54" t="s">
        <v>569</v>
      </c>
      <c r="G449" s="85"/>
      <c r="H449" s="91" t="s">
        <v>718</v>
      </c>
      <c r="I449" s="91" t="s">
        <v>554</v>
      </c>
      <c r="J449" s="86"/>
      <c r="K449" s="86"/>
      <c r="L449" s="86"/>
      <c r="M449" s="57"/>
    </row>
    <row r="450" spans="1:13">
      <c r="A450" s="279"/>
      <c r="B450" s="279"/>
      <c r="C450" s="53" t="s">
        <v>885</v>
      </c>
      <c r="D450" s="53" t="s">
        <v>543</v>
      </c>
      <c r="E450" s="53"/>
      <c r="F450" s="81">
        <v>2</v>
      </c>
      <c r="G450" s="82">
        <v>103.395</v>
      </c>
      <c r="H450" s="88" t="s">
        <v>886</v>
      </c>
      <c r="I450" s="88" t="s">
        <v>554</v>
      </c>
      <c r="J450" s="83" t="s">
        <v>546</v>
      </c>
      <c r="K450" s="83" t="s">
        <v>547</v>
      </c>
      <c r="L450" s="83" t="s">
        <v>546</v>
      </c>
      <c r="M450" s="55" t="s">
        <v>547</v>
      </c>
    </row>
    <row r="451" spans="1:13">
      <c r="A451" s="279"/>
      <c r="B451" s="279"/>
      <c r="C451" t="s">
        <v>887</v>
      </c>
      <c r="D451" t="s">
        <v>543</v>
      </c>
      <c r="F451" s="1">
        <v>2</v>
      </c>
      <c r="G451" s="61">
        <v>105.57</v>
      </c>
      <c r="H451" s="3" t="s">
        <v>888</v>
      </c>
      <c r="I451" s="3" t="s">
        <v>554</v>
      </c>
      <c r="J451" s="15" t="s">
        <v>546</v>
      </c>
      <c r="K451" s="15" t="s">
        <v>547</v>
      </c>
      <c r="L451" s="15" t="s">
        <v>546</v>
      </c>
      <c r="M451" s="56" t="s">
        <v>547</v>
      </c>
    </row>
    <row r="452" spans="1:13">
      <c r="A452" s="279"/>
      <c r="B452" s="279"/>
      <c r="C452" t="s">
        <v>889</v>
      </c>
      <c r="D452" t="s">
        <v>569</v>
      </c>
      <c r="F452"/>
      <c r="H452" s="3" t="s">
        <v>890</v>
      </c>
      <c r="I452" s="3" t="s">
        <v>554</v>
      </c>
      <c r="K452" s="15" t="s">
        <v>547</v>
      </c>
      <c r="M452" s="56"/>
    </row>
    <row r="453" spans="1:13">
      <c r="A453" s="279"/>
      <c r="B453" s="279"/>
      <c r="C453" t="s">
        <v>891</v>
      </c>
      <c r="D453" t="s">
        <v>569</v>
      </c>
      <c r="F453"/>
      <c r="H453" s="3" t="s">
        <v>892</v>
      </c>
      <c r="I453" s="3" t="s">
        <v>554</v>
      </c>
      <c r="K453" s="15" t="s">
        <v>547</v>
      </c>
      <c r="M453" s="56"/>
    </row>
    <row r="454" spans="1:13">
      <c r="A454" s="279"/>
      <c r="B454" s="279"/>
      <c r="C454" t="s">
        <v>893</v>
      </c>
      <c r="D454" t="s">
        <v>569</v>
      </c>
      <c r="F454"/>
      <c r="H454" s="3" t="s">
        <v>894</v>
      </c>
      <c r="I454" s="3" t="s">
        <v>554</v>
      </c>
      <c r="K454" s="15" t="s">
        <v>547</v>
      </c>
      <c r="M454" s="56"/>
    </row>
    <row r="455" spans="1:13">
      <c r="A455" s="280"/>
      <c r="B455" s="280"/>
      <c r="C455" s="54" t="s">
        <v>895</v>
      </c>
      <c r="D455" s="54" t="s">
        <v>569</v>
      </c>
      <c r="E455" s="54"/>
      <c r="F455" s="54"/>
      <c r="G455" s="85"/>
      <c r="H455" s="91" t="s">
        <v>896</v>
      </c>
      <c r="I455" s="91" t="s">
        <v>554</v>
      </c>
      <c r="J455" s="86"/>
      <c r="K455" s="86" t="s">
        <v>547</v>
      </c>
      <c r="L455" s="86"/>
      <c r="M455" s="57"/>
    </row>
    <row r="457" spans="1:13">
      <c r="A457" s="63" t="s">
        <v>370</v>
      </c>
      <c r="B457" s="63" t="s">
        <v>370</v>
      </c>
      <c r="C457" s="13" t="s">
        <v>900</v>
      </c>
      <c r="D457" s="53" t="s">
        <v>543</v>
      </c>
      <c r="E457" s="53"/>
      <c r="F457" s="53">
        <v>1</v>
      </c>
      <c r="G457" s="82">
        <v>73.277100000000004</v>
      </c>
      <c r="H457" s="88" t="s">
        <v>901</v>
      </c>
      <c r="I457" s="88" t="s">
        <v>545</v>
      </c>
      <c r="J457" s="83" t="s">
        <v>546</v>
      </c>
      <c r="K457" s="83" t="s">
        <v>547</v>
      </c>
      <c r="L457" s="83" t="s">
        <v>546</v>
      </c>
      <c r="M457" s="55" t="s">
        <v>547</v>
      </c>
    </row>
    <row r="458" spans="1:13">
      <c r="A458" s="66"/>
      <c r="B458" s="66"/>
      <c r="C458" s="47" t="s">
        <v>902</v>
      </c>
      <c r="D458" t="s">
        <v>569</v>
      </c>
      <c r="F458"/>
      <c r="H458" s="3" t="s">
        <v>901</v>
      </c>
      <c r="I458" s="3" t="s">
        <v>545</v>
      </c>
      <c r="K458" s="15" t="s">
        <v>547</v>
      </c>
      <c r="M458" s="56"/>
    </row>
    <row r="459" spans="1:13">
      <c r="A459" s="66"/>
      <c r="B459" s="66"/>
      <c r="C459" s="47" t="s">
        <v>903</v>
      </c>
      <c r="D459" t="s">
        <v>543</v>
      </c>
      <c r="F459">
        <v>1</v>
      </c>
      <c r="G459" s="61">
        <v>71.831599999999995</v>
      </c>
      <c r="H459" s="3" t="s">
        <v>850</v>
      </c>
      <c r="I459" s="3" t="s">
        <v>554</v>
      </c>
      <c r="J459" s="15" t="s">
        <v>546</v>
      </c>
      <c r="K459" s="15" t="s">
        <v>547</v>
      </c>
      <c r="L459" s="15" t="s">
        <v>546</v>
      </c>
      <c r="M459" s="56" t="s">
        <v>547</v>
      </c>
    </row>
    <row r="460" spans="1:13">
      <c r="A460" s="66"/>
      <c r="B460" s="66"/>
      <c r="C460" s="47" t="s">
        <v>904</v>
      </c>
      <c r="D460" t="s">
        <v>569</v>
      </c>
      <c r="F460"/>
      <c r="H460" s="3" t="s">
        <v>850</v>
      </c>
      <c r="I460" s="3" t="s">
        <v>554</v>
      </c>
      <c r="K460" s="15" t="s">
        <v>547</v>
      </c>
      <c r="M460" s="56"/>
    </row>
    <row r="461" spans="1:13">
      <c r="A461" s="66"/>
      <c r="B461" s="66"/>
      <c r="C461" s="47" t="s">
        <v>905</v>
      </c>
      <c r="D461" t="s">
        <v>543</v>
      </c>
      <c r="F461">
        <v>1</v>
      </c>
      <c r="G461" s="61">
        <v>71.896799999999999</v>
      </c>
      <c r="H461" s="3" t="s">
        <v>906</v>
      </c>
      <c r="I461" s="3" t="s">
        <v>552</v>
      </c>
      <c r="J461" s="15" t="s">
        <v>546</v>
      </c>
      <c r="K461" s="15" t="s">
        <v>547</v>
      </c>
      <c r="L461" s="15" t="s">
        <v>546</v>
      </c>
      <c r="M461" s="56" t="s">
        <v>547</v>
      </c>
    </row>
    <row r="462" spans="1:13">
      <c r="A462" s="66"/>
      <c r="B462" s="66"/>
      <c r="C462" s="47" t="s">
        <v>907</v>
      </c>
      <c r="D462" t="s">
        <v>569</v>
      </c>
      <c r="F462"/>
      <c r="H462" s="3" t="s">
        <v>906</v>
      </c>
      <c r="I462" s="3" t="s">
        <v>552</v>
      </c>
      <c r="K462" s="15" t="s">
        <v>547</v>
      </c>
      <c r="M462" s="56"/>
    </row>
    <row r="463" spans="1:13">
      <c r="A463" s="66"/>
      <c r="B463" s="66"/>
      <c r="C463" s="47" t="s">
        <v>908</v>
      </c>
      <c r="D463" t="s">
        <v>632</v>
      </c>
      <c r="F463"/>
      <c r="H463" s="3"/>
      <c r="I463" s="3"/>
      <c r="M463" s="56"/>
    </row>
    <row r="464" spans="1:13">
      <c r="A464" s="66"/>
      <c r="B464" s="66"/>
      <c r="C464" s="47" t="s">
        <v>909</v>
      </c>
      <c r="D464" t="s">
        <v>543</v>
      </c>
      <c r="F464">
        <v>1</v>
      </c>
      <c r="G464" s="61">
        <v>71.729200000000006</v>
      </c>
      <c r="H464" s="3" t="s">
        <v>906</v>
      </c>
      <c r="I464" s="3" t="s">
        <v>554</v>
      </c>
      <c r="J464" s="15" t="s">
        <v>546</v>
      </c>
      <c r="K464" s="15" t="s">
        <v>547</v>
      </c>
      <c r="L464" s="15" t="s">
        <v>546</v>
      </c>
      <c r="M464" s="56" t="s">
        <v>547</v>
      </c>
    </row>
    <row r="465" spans="1:13">
      <c r="A465" s="64"/>
      <c r="B465" s="64"/>
      <c r="C465" s="48" t="s">
        <v>910</v>
      </c>
      <c r="D465" s="54" t="s">
        <v>569</v>
      </c>
      <c r="E465" s="54"/>
      <c r="F465" s="54"/>
      <c r="G465" s="85"/>
      <c r="H465" s="91" t="s">
        <v>906</v>
      </c>
      <c r="I465" s="91" t="s">
        <v>554</v>
      </c>
      <c r="J465" s="86"/>
      <c r="K465" s="86" t="s">
        <v>547</v>
      </c>
      <c r="L465" s="86"/>
      <c r="M465" s="57"/>
    </row>
    <row r="466" spans="1:13">
      <c r="G466" s="61">
        <f>SUM(G457:G465)</f>
        <v>288.73469999999998</v>
      </c>
    </row>
    <row r="467" spans="1:13">
      <c r="A467" s="87" t="s">
        <v>911</v>
      </c>
      <c r="B467" s="63" t="s">
        <v>911</v>
      </c>
      <c r="C467" s="53" t="s">
        <v>856</v>
      </c>
      <c r="D467" s="53" t="s">
        <v>561</v>
      </c>
      <c r="E467" s="53"/>
      <c r="F467" s="53">
        <v>1</v>
      </c>
      <c r="G467" s="82">
        <v>199.934</v>
      </c>
      <c r="H467" s="88">
        <v>0</v>
      </c>
      <c r="I467" s="88" t="s">
        <v>554</v>
      </c>
      <c r="J467" s="83"/>
      <c r="K467" s="83" t="s">
        <v>547</v>
      </c>
      <c r="L467" s="83"/>
      <c r="M467" s="55"/>
    </row>
    <row r="468" spans="1:13">
      <c r="A468" s="52"/>
      <c r="B468" s="66"/>
      <c r="C468" t="s">
        <v>857</v>
      </c>
      <c r="F468"/>
      <c r="H468" s="3"/>
      <c r="I468" s="3"/>
      <c r="M468" s="56"/>
    </row>
    <row r="469" spans="1:13">
      <c r="A469" s="52"/>
      <c r="B469" s="66"/>
      <c r="C469" t="s">
        <v>858</v>
      </c>
      <c r="F469"/>
      <c r="H469" s="3"/>
      <c r="I469" s="3"/>
      <c r="M469" s="56"/>
    </row>
    <row r="470" spans="1:13">
      <c r="A470" s="52"/>
      <c r="B470" s="66"/>
      <c r="C470" t="s">
        <v>859</v>
      </c>
      <c r="D470" t="s">
        <v>561</v>
      </c>
      <c r="F470" s="1">
        <v>1</v>
      </c>
      <c r="G470" s="61">
        <v>92.910899999999998</v>
      </c>
      <c r="H470" s="3">
        <v>-0.1</v>
      </c>
      <c r="I470" s="3" t="s">
        <v>554</v>
      </c>
      <c r="K470" s="15" t="s">
        <v>547</v>
      </c>
      <c r="M470" s="56"/>
    </row>
    <row r="471" spans="1:13">
      <c r="A471" s="52"/>
      <c r="B471" s="66"/>
      <c r="C471" t="s">
        <v>860</v>
      </c>
      <c r="D471" t="s">
        <v>561</v>
      </c>
      <c r="F471" s="1">
        <v>1</v>
      </c>
      <c r="G471" s="61">
        <v>60.077300000000001</v>
      </c>
      <c r="H471" s="3" t="s">
        <v>554</v>
      </c>
      <c r="I471" s="3" t="s">
        <v>547</v>
      </c>
      <c r="K471" s="15" t="s">
        <v>547</v>
      </c>
      <c r="M471" s="56"/>
    </row>
    <row r="472" spans="1:13">
      <c r="A472" s="52"/>
      <c r="B472" s="66"/>
      <c r="C472" t="s">
        <v>861</v>
      </c>
      <c r="D472" t="s">
        <v>543</v>
      </c>
      <c r="F472" s="1">
        <v>2</v>
      </c>
      <c r="G472" s="61">
        <v>174.477</v>
      </c>
      <c r="H472" s="3" t="s">
        <v>862</v>
      </c>
      <c r="I472" s="3" t="s">
        <v>545</v>
      </c>
      <c r="J472" s="15" t="s">
        <v>546</v>
      </c>
      <c r="K472" s="15" t="s">
        <v>547</v>
      </c>
      <c r="L472" s="15" t="s">
        <v>546</v>
      </c>
      <c r="M472" s="56"/>
    </row>
    <row r="473" spans="1:13">
      <c r="A473" s="52"/>
      <c r="B473" s="66"/>
      <c r="C473" t="s">
        <v>579</v>
      </c>
      <c r="D473" t="s">
        <v>569</v>
      </c>
      <c r="F473"/>
      <c r="H473" s="3" t="s">
        <v>554</v>
      </c>
      <c r="I473" s="3" t="s">
        <v>545</v>
      </c>
      <c r="K473" s="15" t="s">
        <v>547</v>
      </c>
      <c r="M473" s="56"/>
    </row>
    <row r="474" spans="1:13">
      <c r="A474" s="52"/>
      <c r="B474" s="66"/>
      <c r="C474" t="s">
        <v>863</v>
      </c>
      <c r="D474" t="s">
        <v>569</v>
      </c>
      <c r="F474"/>
      <c r="H474" s="3" t="s">
        <v>864</v>
      </c>
      <c r="I474" s="3" t="s">
        <v>545</v>
      </c>
      <c r="K474" s="15" t="s">
        <v>547</v>
      </c>
      <c r="M474" s="56"/>
    </row>
    <row r="475" spans="1:13">
      <c r="A475" s="52"/>
      <c r="B475" s="66"/>
      <c r="C475" t="s">
        <v>865</v>
      </c>
      <c r="D475" t="s">
        <v>543</v>
      </c>
      <c r="F475" s="1">
        <v>2</v>
      </c>
      <c r="G475" s="61">
        <v>167.572</v>
      </c>
      <c r="H475" s="3" t="s">
        <v>862</v>
      </c>
      <c r="I475" s="3" t="s">
        <v>554</v>
      </c>
      <c r="J475" s="15" t="s">
        <v>546</v>
      </c>
      <c r="K475" s="15" t="s">
        <v>547</v>
      </c>
      <c r="L475" s="15" t="s">
        <v>546</v>
      </c>
      <c r="M475" s="56"/>
    </row>
    <row r="476" spans="1:13">
      <c r="A476" s="52"/>
      <c r="B476" s="66"/>
      <c r="C476" t="s">
        <v>867</v>
      </c>
      <c r="D476" t="s">
        <v>569</v>
      </c>
      <c r="F476"/>
      <c r="H476" s="3" t="s">
        <v>554</v>
      </c>
      <c r="I476" s="3" t="s">
        <v>554</v>
      </c>
      <c r="K476" s="15" t="s">
        <v>547</v>
      </c>
      <c r="M476" s="56"/>
    </row>
    <row r="477" spans="1:13">
      <c r="A477" s="52"/>
      <c r="B477" s="66"/>
      <c r="C477" t="s">
        <v>868</v>
      </c>
      <c r="D477" t="s">
        <v>569</v>
      </c>
      <c r="F477"/>
      <c r="H477" s="3" t="s">
        <v>864</v>
      </c>
      <c r="I477" s="3" t="s">
        <v>554</v>
      </c>
      <c r="K477" s="15" t="s">
        <v>547</v>
      </c>
      <c r="M477" s="56"/>
    </row>
    <row r="478" spans="1:13">
      <c r="A478" s="52"/>
      <c r="B478" s="66"/>
      <c r="C478" t="s">
        <v>869</v>
      </c>
      <c r="D478" t="s">
        <v>543</v>
      </c>
      <c r="F478" s="1">
        <v>2</v>
      </c>
      <c r="G478" s="61">
        <v>169.511</v>
      </c>
      <c r="H478" s="3" t="s">
        <v>1013</v>
      </c>
      <c r="I478" s="3" t="s">
        <v>554</v>
      </c>
      <c r="J478" s="15" t="s">
        <v>546</v>
      </c>
      <c r="K478" s="15" t="s">
        <v>547</v>
      </c>
      <c r="L478" s="15" t="s">
        <v>546</v>
      </c>
      <c r="M478" s="56"/>
    </row>
    <row r="479" spans="1:13">
      <c r="A479" s="52"/>
      <c r="B479" s="66"/>
      <c r="C479" t="s">
        <v>871</v>
      </c>
      <c r="D479" t="s">
        <v>569</v>
      </c>
      <c r="F479"/>
      <c r="H479" s="3" t="s">
        <v>552</v>
      </c>
      <c r="I479" s="3" t="s">
        <v>554</v>
      </c>
      <c r="K479" s="15" t="s">
        <v>547</v>
      </c>
      <c r="M479" s="56"/>
    </row>
    <row r="480" spans="1:13">
      <c r="A480" s="52"/>
      <c r="B480" s="66"/>
      <c r="C480" t="s">
        <v>872</v>
      </c>
      <c r="D480" t="s">
        <v>569</v>
      </c>
      <c r="F480"/>
      <c r="H480" s="3" t="s">
        <v>611</v>
      </c>
      <c r="I480" s="3" t="s">
        <v>554</v>
      </c>
      <c r="K480" s="15" t="s">
        <v>547</v>
      </c>
      <c r="M480" s="56"/>
    </row>
    <row r="481" spans="1:13">
      <c r="A481" s="52"/>
      <c r="B481" s="66"/>
      <c r="C481" t="s">
        <v>873</v>
      </c>
      <c r="D481" t="s">
        <v>543</v>
      </c>
      <c r="F481" s="1">
        <v>2</v>
      </c>
      <c r="G481" s="61">
        <v>167.82900000000001</v>
      </c>
      <c r="H481" s="3" t="s">
        <v>862</v>
      </c>
      <c r="I481" s="3" t="s">
        <v>552</v>
      </c>
      <c r="J481" s="15" t="s">
        <v>546</v>
      </c>
      <c r="K481" s="15" t="s">
        <v>547</v>
      </c>
      <c r="L481" s="15" t="s">
        <v>546</v>
      </c>
      <c r="M481" s="56"/>
    </row>
    <row r="482" spans="1:13">
      <c r="A482" s="52"/>
      <c r="B482" s="66"/>
      <c r="C482" t="s">
        <v>874</v>
      </c>
      <c r="D482" t="s">
        <v>569</v>
      </c>
      <c r="F482"/>
      <c r="H482" s="3" t="s">
        <v>554</v>
      </c>
      <c r="I482" s="3" t="s">
        <v>552</v>
      </c>
      <c r="K482" s="15" t="s">
        <v>547</v>
      </c>
      <c r="M482" s="56"/>
    </row>
    <row r="483" spans="1:13">
      <c r="A483" s="52"/>
      <c r="B483" s="66"/>
      <c r="C483" t="s">
        <v>875</v>
      </c>
      <c r="D483" t="s">
        <v>569</v>
      </c>
      <c r="F483"/>
      <c r="H483" s="3" t="s">
        <v>864</v>
      </c>
      <c r="I483" s="3" t="s">
        <v>552</v>
      </c>
      <c r="K483" s="15" t="s">
        <v>547</v>
      </c>
      <c r="M483" s="56"/>
    </row>
    <row r="484" spans="1:13">
      <c r="A484" s="52"/>
      <c r="B484" s="66"/>
      <c r="C484" t="s">
        <v>876</v>
      </c>
      <c r="D484" t="s">
        <v>632</v>
      </c>
      <c r="F484"/>
      <c r="H484" s="3"/>
      <c r="I484" s="3"/>
      <c r="M484" s="56"/>
    </row>
    <row r="485" spans="1:13">
      <c r="A485" s="52"/>
      <c r="B485" s="66"/>
      <c r="C485" t="s">
        <v>877</v>
      </c>
      <c r="D485" t="s">
        <v>632</v>
      </c>
      <c r="F485"/>
      <c r="H485" s="3"/>
      <c r="I485" s="3"/>
      <c r="M485" s="56"/>
    </row>
    <row r="486" spans="1:13">
      <c r="A486" s="52"/>
      <c r="B486" s="66"/>
      <c r="C486" t="s">
        <v>912</v>
      </c>
      <c r="D486" t="s">
        <v>543</v>
      </c>
      <c r="F486">
        <f>0.3/0.05+1</f>
        <v>6.9999999999999991</v>
      </c>
      <c r="G486" s="61">
        <v>4134.37</v>
      </c>
      <c r="H486" s="3" t="s">
        <v>913</v>
      </c>
      <c r="I486" s="3" t="s">
        <v>554</v>
      </c>
      <c r="J486" s="15" t="s">
        <v>546</v>
      </c>
      <c r="K486" s="15" t="s">
        <v>547</v>
      </c>
      <c r="L486" s="15" t="s">
        <v>546</v>
      </c>
      <c r="M486" s="56"/>
    </row>
    <row r="487" spans="1:13">
      <c r="A487" s="52"/>
      <c r="B487" s="66"/>
      <c r="C487" t="s">
        <v>879</v>
      </c>
      <c r="D487" t="s">
        <v>639</v>
      </c>
      <c r="F487"/>
      <c r="H487" s="3" t="s">
        <v>913</v>
      </c>
      <c r="I487" s="3" t="s">
        <v>554</v>
      </c>
      <c r="K487" s="15" t="s">
        <v>547</v>
      </c>
      <c r="M487" s="56"/>
    </row>
    <row r="488" spans="1:13">
      <c r="A488" s="115"/>
      <c r="B488" s="64"/>
      <c r="C488" s="54" t="s">
        <v>882</v>
      </c>
      <c r="D488" s="54" t="s">
        <v>632</v>
      </c>
      <c r="E488" s="54"/>
      <c r="F488" s="54"/>
      <c r="G488" s="85"/>
      <c r="H488" s="91"/>
      <c r="I488" s="91"/>
      <c r="J488" s="86"/>
      <c r="K488" s="86"/>
      <c r="L488" s="86"/>
      <c r="M488" s="57"/>
    </row>
    <row r="490" spans="1:13">
      <c r="A490" s="163" t="s">
        <v>1523</v>
      </c>
      <c r="B490" s="163" t="s">
        <v>1523</v>
      </c>
      <c r="C490" s="165" t="s">
        <v>642</v>
      </c>
      <c r="D490" s="53"/>
      <c r="E490" s="53"/>
      <c r="F490" s="88"/>
      <c r="G490" s="82"/>
      <c r="H490" s="83" t="s">
        <v>1524</v>
      </c>
      <c r="I490" s="83"/>
      <c r="J490" s="83"/>
      <c r="K490" s="83"/>
      <c r="L490" s="83"/>
      <c r="M490" s="55"/>
    </row>
    <row r="491" spans="1:13">
      <c r="A491" s="164"/>
      <c r="B491" s="164"/>
      <c r="C491" s="89" t="s">
        <v>593</v>
      </c>
      <c r="H491" s="83"/>
      <c r="M491" s="56"/>
    </row>
    <row r="492" spans="1:13">
      <c r="A492" s="164"/>
      <c r="B492" s="164"/>
      <c r="C492" s="90" t="s">
        <v>594</v>
      </c>
      <c r="H492" s="83"/>
      <c r="M492" s="56"/>
    </row>
    <row r="493" spans="1:13">
      <c r="A493" s="164"/>
      <c r="B493" s="164"/>
      <c r="C493" s="90" t="s">
        <v>595</v>
      </c>
      <c r="H493" s="83"/>
      <c r="M493" s="56"/>
    </row>
    <row r="494" spans="1:13">
      <c r="A494" s="164"/>
      <c r="B494" s="164"/>
      <c r="C494" s="166" t="s">
        <v>1525</v>
      </c>
      <c r="H494" s="83" t="s">
        <v>1524</v>
      </c>
      <c r="M494" s="56"/>
    </row>
    <row r="495" spans="1:13">
      <c r="A495" s="164"/>
      <c r="B495" s="164"/>
      <c r="C495" s="166" t="s">
        <v>1360</v>
      </c>
      <c r="M495" s="56"/>
    </row>
    <row r="496" spans="1:13">
      <c r="A496" s="164"/>
      <c r="B496" s="164"/>
      <c r="C496" s="166" t="s">
        <v>1363</v>
      </c>
      <c r="M496" s="56"/>
    </row>
    <row r="497" spans="1:13">
      <c r="A497" s="164"/>
      <c r="B497" s="164"/>
      <c r="C497" s="166" t="s">
        <v>1349</v>
      </c>
      <c r="M497" s="56"/>
    </row>
    <row r="498" spans="1:13">
      <c r="A498" s="164"/>
      <c r="B498" s="164"/>
      <c r="C498" s="166" t="s">
        <v>1526</v>
      </c>
      <c r="M498" s="56"/>
    </row>
    <row r="499" spans="1:13">
      <c r="A499" s="281"/>
      <c r="B499" s="164"/>
      <c r="C499" s="166" t="s">
        <v>1396</v>
      </c>
      <c r="M499" s="56"/>
    </row>
    <row r="500" spans="1:13">
      <c r="A500" s="281"/>
      <c r="B500" s="164"/>
      <c r="C500" s="166" t="s">
        <v>1398</v>
      </c>
      <c r="M500" s="56"/>
    </row>
    <row r="501" spans="1:13">
      <c r="A501" s="281"/>
      <c r="B501" s="164"/>
      <c r="C501" s="166" t="s">
        <v>1412</v>
      </c>
      <c r="M501" s="56"/>
    </row>
    <row r="502" spans="1:13">
      <c r="A502" s="281"/>
      <c r="B502" s="282"/>
      <c r="C502" s="167" t="s">
        <v>1413</v>
      </c>
      <c r="D502" s="54"/>
      <c r="E502" s="54"/>
      <c r="F502" s="91"/>
      <c r="G502" s="85"/>
      <c r="H502" s="86"/>
      <c r="I502" s="86"/>
      <c r="J502" s="86"/>
      <c r="K502" s="86"/>
      <c r="L502" s="86"/>
      <c r="M502" s="57"/>
    </row>
    <row r="503" spans="1:13">
      <c r="A503" s="281"/>
      <c r="B503" s="282"/>
    </row>
    <row r="504" spans="1:13">
      <c r="A504" s="281"/>
      <c r="B504" s="282"/>
      <c r="D504" s="53"/>
      <c r="E504" s="53"/>
      <c r="F504" s="88"/>
      <c r="G504" s="82"/>
      <c r="H504" s="83"/>
      <c r="I504" s="83"/>
      <c r="J504" s="83"/>
      <c r="K504" s="83"/>
      <c r="L504" s="83"/>
      <c r="M504" s="55"/>
    </row>
    <row r="505" spans="1:13">
      <c r="A505" s="281"/>
      <c r="B505" s="282"/>
      <c r="M505" s="56"/>
    </row>
    <row r="506" spans="1:13">
      <c r="A506" s="281"/>
      <c r="B506" s="282"/>
      <c r="M506" s="56"/>
    </row>
    <row r="507" spans="1:13">
      <c r="A507" s="281"/>
      <c r="B507" s="283"/>
      <c r="C507" s="117" t="s">
        <v>667</v>
      </c>
      <c r="D507" s="54"/>
      <c r="E507" s="54"/>
      <c r="F507" s="91"/>
      <c r="G507" s="85"/>
      <c r="H507" s="86"/>
      <c r="I507" s="86"/>
      <c r="J507" s="86"/>
      <c r="K507" s="86"/>
      <c r="L507" s="86"/>
      <c r="M507" s="57"/>
    </row>
    <row r="508" spans="1:13">
      <c r="G508" s="61">
        <v>3500</v>
      </c>
    </row>
    <row r="509" spans="1:13">
      <c r="B509" s="163" t="s">
        <v>1906</v>
      </c>
      <c r="C509" s="166" t="s">
        <v>1360</v>
      </c>
      <c r="D509" s="53" t="s">
        <v>569</v>
      </c>
      <c r="E509" s="53"/>
      <c r="F509" s="88"/>
      <c r="G509" s="82"/>
      <c r="H509" s="83"/>
    </row>
    <row r="510" spans="1:13">
      <c r="B510" s="164"/>
      <c r="C510" s="89" t="s">
        <v>1812</v>
      </c>
      <c r="D510" t="s">
        <v>1907</v>
      </c>
      <c r="H510" s="83"/>
    </row>
    <row r="511" spans="1:13">
      <c r="B511" s="164"/>
      <c r="C511" s="90" t="s">
        <v>1814</v>
      </c>
      <c r="D511" t="s">
        <v>1907</v>
      </c>
      <c r="H511" s="83"/>
    </row>
    <row r="512" spans="1:13">
      <c r="B512" s="164"/>
      <c r="C512" s="90" t="s">
        <v>1815</v>
      </c>
      <c r="D512" t="s">
        <v>1907</v>
      </c>
      <c r="H512" s="83"/>
    </row>
    <row r="513" spans="2:8">
      <c r="B513" s="164"/>
      <c r="C513" s="166" t="s">
        <v>1908</v>
      </c>
      <c r="H513" s="83" t="s">
        <v>1909</v>
      </c>
    </row>
    <row r="514" spans="2:8">
      <c r="B514" s="164"/>
      <c r="C514" s="166"/>
    </row>
    <row r="515" spans="2:8">
      <c r="B515" s="164"/>
      <c r="C515" s="166" t="s">
        <v>1910</v>
      </c>
    </row>
    <row r="516" spans="2:8">
      <c r="B516" s="164"/>
      <c r="C516" s="166" t="s">
        <v>1911</v>
      </c>
    </row>
    <row r="517" spans="2:8">
      <c r="B517" s="164"/>
      <c r="C517" s="166" t="s">
        <v>1912</v>
      </c>
    </row>
    <row r="518" spans="2:8">
      <c r="B518" s="282"/>
      <c r="C518" s="167" t="s">
        <v>1913</v>
      </c>
      <c r="D518" s="54"/>
      <c r="E518" s="54"/>
      <c r="F518" s="91"/>
      <c r="G518" s="85"/>
      <c r="H518" s="86"/>
    </row>
    <row r="519" spans="2:8">
      <c r="B519" s="283"/>
      <c r="C519" s="117" t="s">
        <v>1861</v>
      </c>
      <c r="D519" s="54"/>
      <c r="E519" s="54"/>
      <c r="F519" s="91"/>
      <c r="G519" s="85"/>
      <c r="H519" s="86"/>
    </row>
    <row r="530" spans="1:13">
      <c r="A530" s="222" t="s">
        <v>1527</v>
      </c>
      <c r="B530" s="222" t="s">
        <v>1527</v>
      </c>
      <c r="C530" s="13" t="s">
        <v>642</v>
      </c>
      <c r="D530" s="53"/>
      <c r="E530" s="53"/>
      <c r="F530" s="88"/>
      <c r="G530" s="82"/>
      <c r="H530" s="83"/>
      <c r="I530" s="83"/>
      <c r="J530" s="83"/>
      <c r="K530" s="83"/>
      <c r="L530" s="83"/>
      <c r="M530" s="55"/>
    </row>
    <row r="531" spans="1:13">
      <c r="A531" s="224"/>
      <c r="B531" s="224"/>
      <c r="C531" s="47" t="s">
        <v>641</v>
      </c>
      <c r="M531" s="56"/>
    </row>
    <row r="532" spans="1:13">
      <c r="A532" s="215"/>
      <c r="B532" s="224"/>
      <c r="C532" s="47" t="s">
        <v>933</v>
      </c>
      <c r="M532" s="56"/>
    </row>
    <row r="533" spans="1:13">
      <c r="A533" s="215"/>
      <c r="B533" s="224"/>
      <c r="C533" s="47" t="s">
        <v>605</v>
      </c>
      <c r="M533" s="56"/>
    </row>
    <row r="534" spans="1:13">
      <c r="A534" s="215"/>
      <c r="B534" s="224"/>
      <c r="C534" s="47" t="s">
        <v>1360</v>
      </c>
      <c r="M534" s="56"/>
    </row>
    <row r="535" spans="1:13">
      <c r="A535" s="215"/>
      <c r="B535" s="224"/>
      <c r="C535" s="47" t="s">
        <v>970</v>
      </c>
      <c r="M535" s="56"/>
    </row>
    <row r="536" spans="1:13">
      <c r="A536" s="215"/>
      <c r="B536" s="224"/>
      <c r="C536" s="47" t="s">
        <v>1529</v>
      </c>
      <c r="M536" s="56"/>
    </row>
    <row r="537" spans="1:13">
      <c r="A537" s="215"/>
      <c r="B537" s="224"/>
      <c r="C537" s="47" t="s">
        <v>579</v>
      </c>
      <c r="M537" s="56"/>
    </row>
    <row r="538" spans="1:13">
      <c r="A538" s="215"/>
      <c r="B538" s="224"/>
      <c r="C538" s="47" t="s">
        <v>1349</v>
      </c>
      <c r="M538" s="56"/>
    </row>
    <row r="539" spans="1:13">
      <c r="A539" s="215"/>
      <c r="B539" s="224"/>
      <c r="C539" s="47" t="s">
        <v>593</v>
      </c>
      <c r="M539" s="56"/>
    </row>
    <row r="540" spans="1:13">
      <c r="A540" s="215"/>
      <c r="B540" s="224"/>
      <c r="C540" s="47" t="s">
        <v>594</v>
      </c>
      <c r="M540" s="56"/>
    </row>
    <row r="541" spans="1:13">
      <c r="A541" s="215"/>
      <c r="B541" s="224"/>
      <c r="C541" s="47" t="s">
        <v>595</v>
      </c>
      <c r="M541" s="56"/>
    </row>
    <row r="542" spans="1:13">
      <c r="A542" s="215"/>
      <c r="B542" s="224"/>
      <c r="C542" s="47" t="s">
        <v>613</v>
      </c>
      <c r="M542" s="56"/>
    </row>
    <row r="543" spans="1:13">
      <c r="A543" s="215"/>
      <c r="B543" s="224"/>
      <c r="C543" s="47" t="s">
        <v>1363</v>
      </c>
      <c r="M543" s="56"/>
    </row>
    <row r="544" spans="1:13">
      <c r="A544" s="215"/>
      <c r="B544" s="224"/>
      <c r="C544" s="47" t="s">
        <v>1375</v>
      </c>
      <c r="M544" s="56"/>
    </row>
    <row r="545" spans="1:13">
      <c r="A545" s="215"/>
      <c r="B545" s="224"/>
      <c r="C545" s="47" t="s">
        <v>631</v>
      </c>
      <c r="M545" s="56"/>
    </row>
    <row r="546" spans="1:13">
      <c r="A546" s="215"/>
      <c r="B546" s="224"/>
      <c r="C546" s="47" t="s">
        <v>1784</v>
      </c>
      <c r="M546" s="56"/>
    </row>
    <row r="547" spans="1:13">
      <c r="A547" s="215"/>
      <c r="B547" s="224"/>
      <c r="C547" s="47" t="s">
        <v>654</v>
      </c>
      <c r="M547" s="56"/>
    </row>
    <row r="548" spans="1:13">
      <c r="A548" s="215"/>
      <c r="B548" s="224"/>
      <c r="C548" s="47" t="s">
        <v>653</v>
      </c>
      <c r="M548" s="56"/>
    </row>
    <row r="549" spans="1:13">
      <c r="A549" s="215"/>
      <c r="B549" s="224"/>
      <c r="C549" s="47" t="s">
        <v>1785</v>
      </c>
      <c r="M549" s="56"/>
    </row>
    <row r="550" spans="1:13">
      <c r="A550" s="215"/>
      <c r="B550" s="224"/>
      <c r="C550" s="47" t="s">
        <v>951</v>
      </c>
      <c r="M550" s="56"/>
    </row>
    <row r="551" spans="1:13">
      <c r="A551" s="215"/>
      <c r="B551" s="224"/>
      <c r="C551" s="47" t="s">
        <v>667</v>
      </c>
      <c r="M551" s="56"/>
    </row>
    <row r="552" spans="1:13">
      <c r="A552" s="215"/>
      <c r="B552" s="224"/>
      <c r="C552" s="47" t="s">
        <v>693</v>
      </c>
      <c r="M552" s="56"/>
    </row>
    <row r="553" spans="1:13">
      <c r="A553" s="215"/>
      <c r="B553" s="224"/>
      <c r="C553" s="47" t="s">
        <v>1396</v>
      </c>
      <c r="M553" s="56"/>
    </row>
    <row r="554" spans="1:13">
      <c r="A554" s="215"/>
      <c r="B554" s="224"/>
      <c r="C554" s="47" t="s">
        <v>695</v>
      </c>
      <c r="M554" s="56"/>
    </row>
    <row r="555" spans="1:13">
      <c r="A555" s="215"/>
      <c r="B555" s="224"/>
      <c r="C555" s="47" t="s">
        <v>1398</v>
      </c>
      <c r="M555" s="56"/>
    </row>
    <row r="556" spans="1:13">
      <c r="A556" s="215"/>
      <c r="B556" s="224"/>
      <c r="C556" s="47" t="s">
        <v>697</v>
      </c>
      <c r="M556" s="56"/>
    </row>
    <row r="557" spans="1:13">
      <c r="A557" s="215"/>
      <c r="B557" s="224"/>
      <c r="C557" s="47" t="s">
        <v>1400</v>
      </c>
      <c r="M557" s="56"/>
    </row>
    <row r="558" spans="1:13">
      <c r="A558" s="215"/>
      <c r="B558" s="224"/>
      <c r="C558" s="47" t="s">
        <v>699</v>
      </c>
      <c r="M558" s="56"/>
    </row>
    <row r="559" spans="1:13">
      <c r="A559" s="215"/>
      <c r="B559" s="224"/>
      <c r="C559" s="47" t="s">
        <v>1530</v>
      </c>
      <c r="M559" s="56"/>
    </row>
    <row r="560" spans="1:13">
      <c r="A560" s="215"/>
      <c r="B560" s="224"/>
      <c r="C560" s="47" t="s">
        <v>701</v>
      </c>
      <c r="M560" s="56"/>
    </row>
    <row r="561" spans="1:13">
      <c r="A561" s="215"/>
      <c r="B561" s="224"/>
      <c r="C561" s="47" t="s">
        <v>1531</v>
      </c>
      <c r="M561" s="56"/>
    </row>
    <row r="562" spans="1:13">
      <c r="A562" s="215"/>
      <c r="B562" s="224"/>
      <c r="C562" s="47" t="s">
        <v>703</v>
      </c>
      <c r="M562" s="56"/>
    </row>
    <row r="563" spans="1:13">
      <c r="A563" s="215"/>
      <c r="B563" s="224"/>
      <c r="C563" s="47" t="s">
        <v>1532</v>
      </c>
      <c r="M563" s="56"/>
    </row>
    <row r="564" spans="1:13">
      <c r="A564" s="215"/>
      <c r="B564" s="224"/>
      <c r="C564" s="47" t="s">
        <v>705</v>
      </c>
      <c r="M564" s="56"/>
    </row>
    <row r="565" spans="1:13">
      <c r="A565" s="215"/>
      <c r="B565" s="224"/>
      <c r="C565" s="47" t="s">
        <v>1533</v>
      </c>
      <c r="M565" s="56"/>
    </row>
    <row r="566" spans="1:13">
      <c r="A566" s="215"/>
      <c r="B566" s="224"/>
      <c r="C566" s="47" t="s">
        <v>707</v>
      </c>
      <c r="M566" s="56"/>
    </row>
    <row r="567" spans="1:13">
      <c r="A567" s="215"/>
      <c r="B567" s="224"/>
      <c r="C567" s="47" t="s">
        <v>1534</v>
      </c>
      <c r="M567" s="56"/>
    </row>
    <row r="568" spans="1:13">
      <c r="A568" s="215"/>
      <c r="B568" s="224"/>
      <c r="C568" s="47" t="s">
        <v>726</v>
      </c>
      <c r="M568" s="56"/>
    </row>
    <row r="569" spans="1:13">
      <c r="A569" s="215"/>
      <c r="B569" s="224"/>
      <c r="C569" s="47" t="s">
        <v>1535</v>
      </c>
      <c r="M569" s="56"/>
    </row>
    <row r="570" spans="1:13">
      <c r="A570" s="215"/>
      <c r="B570" s="224"/>
      <c r="C570" s="47" t="s">
        <v>1536</v>
      </c>
      <c r="M570" s="56"/>
    </row>
    <row r="571" spans="1:13">
      <c r="A571" s="215"/>
      <c r="B571" s="224"/>
      <c r="C571" s="47" t="s">
        <v>1537</v>
      </c>
      <c r="M571" s="56"/>
    </row>
    <row r="572" spans="1:13">
      <c r="A572" s="215"/>
      <c r="B572" s="224"/>
      <c r="C572" s="47" t="s">
        <v>1538</v>
      </c>
      <c r="M572" s="56"/>
    </row>
    <row r="573" spans="1:13">
      <c r="A573" s="215"/>
      <c r="B573" s="224"/>
      <c r="C573" s="47" t="s">
        <v>1539</v>
      </c>
      <c r="M573" s="56"/>
    </row>
    <row r="574" spans="1:13">
      <c r="A574" s="215"/>
      <c r="B574" s="224"/>
      <c r="C574" s="47" t="s">
        <v>1540</v>
      </c>
      <c r="M574" s="56"/>
    </row>
    <row r="575" spans="1:13">
      <c r="A575" s="215"/>
      <c r="B575" s="224"/>
      <c r="C575" s="47" t="s">
        <v>1745</v>
      </c>
      <c r="M575" s="56"/>
    </row>
    <row r="576" spans="1:13">
      <c r="A576" s="215"/>
      <c r="B576" s="224"/>
      <c r="C576" s="47" t="s">
        <v>1746</v>
      </c>
      <c r="M576" s="56"/>
    </row>
    <row r="577" spans="1:13">
      <c r="A577" s="215"/>
      <c r="B577" s="224"/>
      <c r="C577" s="47" t="s">
        <v>1747</v>
      </c>
      <c r="M577" s="56"/>
    </row>
    <row r="578" spans="1:13">
      <c r="A578" s="215"/>
      <c r="B578" s="224"/>
      <c r="C578" s="47" t="s">
        <v>1748</v>
      </c>
      <c r="M578" s="56"/>
    </row>
    <row r="579" spans="1:13">
      <c r="A579" s="215"/>
      <c r="B579" s="224"/>
      <c r="C579" s="47" t="s">
        <v>1749</v>
      </c>
      <c r="M579" s="56"/>
    </row>
    <row r="580" spans="1:13">
      <c r="A580" s="215"/>
      <c r="B580" s="224"/>
      <c r="C580" s="47" t="s">
        <v>1750</v>
      </c>
      <c r="M580" s="56"/>
    </row>
    <row r="581" spans="1:13">
      <c r="A581" s="215"/>
      <c r="B581" s="224"/>
      <c r="C581" s="47" t="s">
        <v>1751</v>
      </c>
      <c r="M581" s="56"/>
    </row>
    <row r="582" spans="1:13">
      <c r="A582" s="215"/>
      <c r="B582" s="224"/>
      <c r="C582" s="47" t="s">
        <v>1752</v>
      </c>
      <c r="M582" s="56"/>
    </row>
    <row r="583" spans="1:13">
      <c r="A583" s="215"/>
      <c r="B583" s="224"/>
      <c r="C583" s="47" t="s">
        <v>1753</v>
      </c>
      <c r="M583" s="56"/>
    </row>
    <row r="584" spans="1:13">
      <c r="A584" s="215"/>
      <c r="B584" s="224"/>
      <c r="C584" s="47" t="s">
        <v>1754</v>
      </c>
      <c r="M584" s="56"/>
    </row>
    <row r="585" spans="1:13">
      <c r="A585" s="223"/>
      <c r="B585" s="225"/>
      <c r="C585" s="47" t="s">
        <v>1755</v>
      </c>
      <c r="M585" s="56"/>
    </row>
    <row r="586" spans="1:13">
      <c r="A586" s="224"/>
      <c r="B586" s="224"/>
      <c r="C586" s="47" t="s">
        <v>557</v>
      </c>
      <c r="D586" s="1" t="s">
        <v>558</v>
      </c>
      <c r="F586" s="1"/>
      <c r="G586" s="61">
        <v>15</v>
      </c>
      <c r="M586" s="56"/>
    </row>
    <row r="587" spans="1:13">
      <c r="A587" s="217"/>
      <c r="B587" s="224"/>
      <c r="C587" s="47" t="s">
        <v>1493</v>
      </c>
      <c r="D587" t="s">
        <v>543</v>
      </c>
      <c r="F587" s="1">
        <v>1</v>
      </c>
      <c r="G587" s="61">
        <v>68.386399999999995</v>
      </c>
      <c r="H587" s="3" t="s">
        <v>557</v>
      </c>
      <c r="I587" s="3" t="s">
        <v>545</v>
      </c>
      <c r="J587" s="15" t="s">
        <v>546</v>
      </c>
      <c r="K587" s="15" t="s">
        <v>547</v>
      </c>
      <c r="L587" s="15" t="s">
        <v>546</v>
      </c>
      <c r="M587" s="56" t="s">
        <v>547</v>
      </c>
    </row>
    <row r="588" spans="1:13">
      <c r="A588" s="217"/>
      <c r="B588" s="224"/>
      <c r="C588" s="48" t="s">
        <v>637</v>
      </c>
      <c r="D588" t="s">
        <v>569</v>
      </c>
      <c r="F588"/>
      <c r="H588" s="3" t="s">
        <v>557</v>
      </c>
      <c r="I588" s="3" t="s">
        <v>545</v>
      </c>
      <c r="M588" s="56"/>
    </row>
    <row r="589" spans="1:13">
      <c r="A589" s="269"/>
      <c r="B589" s="1"/>
      <c r="M589" s="56"/>
    </row>
    <row r="590" spans="1:13">
      <c r="A590" s="222" t="s">
        <v>1914</v>
      </c>
      <c r="B590" s="222" t="s">
        <v>1914</v>
      </c>
      <c r="C590" s="47" t="s">
        <v>593</v>
      </c>
      <c r="D590" s="53" t="s">
        <v>561</v>
      </c>
      <c r="E590" s="53"/>
      <c r="F590" s="88"/>
      <c r="G590" s="82"/>
      <c r="H590" s="83"/>
      <c r="I590" s="83"/>
      <c r="J590" s="83"/>
      <c r="K590" s="83"/>
      <c r="L590" s="83"/>
      <c r="M590" s="55"/>
    </row>
    <row r="591" spans="1:13">
      <c r="A591" s="224"/>
      <c r="B591" s="224"/>
      <c r="C591" s="47" t="s">
        <v>594</v>
      </c>
      <c r="D591" s="53" t="s">
        <v>561</v>
      </c>
      <c r="M591" s="56"/>
    </row>
    <row r="592" spans="1:13">
      <c r="A592" s="215"/>
      <c r="B592" s="224"/>
      <c r="C592" s="47" t="s">
        <v>595</v>
      </c>
      <c r="D592" s="53" t="s">
        <v>561</v>
      </c>
      <c r="M592" s="56"/>
    </row>
    <row r="593" spans="1:13">
      <c r="A593" s="215"/>
      <c r="B593" s="224"/>
      <c r="C593" s="47" t="s">
        <v>1915</v>
      </c>
      <c r="D593" t="s">
        <v>543</v>
      </c>
      <c r="F593" s="3">
        <v>1</v>
      </c>
      <c r="H593" s="15">
        <v>0.7</v>
      </c>
      <c r="I593" s="15">
        <v>0.05</v>
      </c>
      <c r="M593" s="56"/>
    </row>
    <row r="594" spans="1:13">
      <c r="A594" s="215"/>
      <c r="B594" s="224"/>
      <c r="C594" s="47" t="s">
        <v>1916</v>
      </c>
      <c r="D594" t="s">
        <v>1522</v>
      </c>
      <c r="M594" s="56"/>
    </row>
    <row r="595" spans="1:13">
      <c r="A595" s="215"/>
      <c r="B595" s="224"/>
      <c r="C595" s="47" t="s">
        <v>1917</v>
      </c>
      <c r="D595" t="s">
        <v>543</v>
      </c>
      <c r="F595" s="3">
        <v>19</v>
      </c>
      <c r="H595" s="15" t="s">
        <v>1918</v>
      </c>
      <c r="I595" s="15">
        <v>0.7</v>
      </c>
      <c r="M595" s="56"/>
    </row>
    <row r="596" spans="1:13">
      <c r="A596" s="215"/>
      <c r="B596" s="224"/>
      <c r="C596" s="47" t="s">
        <v>1910</v>
      </c>
      <c r="D596" t="s">
        <v>1522</v>
      </c>
      <c r="M596" s="56"/>
    </row>
    <row r="597" spans="1:13">
      <c r="A597" s="215"/>
      <c r="B597" s="224"/>
      <c r="C597" s="47" t="s">
        <v>1919</v>
      </c>
      <c r="D597" t="s">
        <v>1522</v>
      </c>
      <c r="M597" s="56"/>
    </row>
    <row r="598" spans="1:13">
      <c r="A598" s="215"/>
      <c r="B598" s="224"/>
      <c r="C598" s="47" t="s">
        <v>1832</v>
      </c>
      <c r="D598" t="s">
        <v>543</v>
      </c>
      <c r="F598" s="3">
        <v>1</v>
      </c>
      <c r="H598" s="15">
        <v>0.7</v>
      </c>
      <c r="I598" s="15">
        <v>0.35</v>
      </c>
      <c r="M598" s="56"/>
    </row>
    <row r="599" spans="1:13">
      <c r="A599" s="215"/>
      <c r="B599" s="224"/>
      <c r="C599" t="s">
        <v>1920</v>
      </c>
      <c r="D599" t="s">
        <v>1522</v>
      </c>
      <c r="M599" s="56"/>
    </row>
    <row r="600" spans="1:13">
      <c r="A600" s="215"/>
      <c r="B600" s="224"/>
      <c r="C600" t="s">
        <v>1921</v>
      </c>
      <c r="D600" t="s">
        <v>1522</v>
      </c>
      <c r="M600" s="56"/>
    </row>
    <row r="601" spans="1:13">
      <c r="A601" s="215"/>
      <c r="B601" s="224"/>
      <c r="C601" t="s">
        <v>1834</v>
      </c>
      <c r="D601" t="s">
        <v>543</v>
      </c>
      <c r="F601" s="3">
        <v>1</v>
      </c>
      <c r="H601" s="15">
        <v>0.42499999999999999</v>
      </c>
      <c r="I601" s="15">
        <v>0.7</v>
      </c>
      <c r="M601" s="56"/>
    </row>
    <row r="602" spans="1:13">
      <c r="A602" s="215"/>
      <c r="B602" s="224"/>
      <c r="C602" s="47" t="s">
        <v>1922</v>
      </c>
      <c r="D602" t="s">
        <v>1522</v>
      </c>
      <c r="M602" s="56"/>
    </row>
    <row r="603" spans="1:13">
      <c r="A603" s="215"/>
      <c r="B603" s="224"/>
      <c r="C603" s="47" t="s">
        <v>1836</v>
      </c>
      <c r="D603" t="s">
        <v>543</v>
      </c>
      <c r="F603" s="3">
        <v>1</v>
      </c>
      <c r="H603" s="15">
        <v>0.7</v>
      </c>
      <c r="I603" s="15">
        <v>0.42499999999999999</v>
      </c>
      <c r="M603" s="56"/>
    </row>
    <row r="604" spans="1:13">
      <c r="A604" s="215"/>
      <c r="B604" s="224"/>
      <c r="C604" s="47" t="s">
        <v>1923</v>
      </c>
      <c r="D604" t="s">
        <v>1522</v>
      </c>
      <c r="F604" s="3">
        <v>1</v>
      </c>
      <c r="M604" s="56"/>
    </row>
    <row r="605" spans="1:13">
      <c r="A605" s="215"/>
      <c r="B605" s="224"/>
      <c r="C605" s="47" t="s">
        <v>1924</v>
      </c>
      <c r="D605" t="s">
        <v>1522</v>
      </c>
      <c r="M605" s="56"/>
    </row>
    <row r="606" spans="1:13">
      <c r="A606" s="215"/>
      <c r="B606" s="224"/>
      <c r="C606" s="47" t="s">
        <v>1925</v>
      </c>
      <c r="D606" t="s">
        <v>639</v>
      </c>
      <c r="M606" s="56"/>
    </row>
    <row r="607" spans="1:13">
      <c r="A607" s="215"/>
      <c r="B607" s="224"/>
      <c r="C607" s="47" t="s">
        <v>1926</v>
      </c>
      <c r="D607" t="s">
        <v>543</v>
      </c>
      <c r="F607" s="3">
        <v>11</v>
      </c>
      <c r="H607" s="15" t="s">
        <v>1927</v>
      </c>
      <c r="I607" s="15">
        <v>0.7</v>
      </c>
      <c r="M607" s="56"/>
    </row>
    <row r="608" spans="1:13">
      <c r="A608" s="215"/>
      <c r="B608" s="224"/>
      <c r="C608" s="47" t="s">
        <v>1928</v>
      </c>
      <c r="D608" t="s">
        <v>639</v>
      </c>
      <c r="M608" s="56"/>
    </row>
    <row r="609" spans="1:13">
      <c r="A609" s="215"/>
      <c r="B609" s="224"/>
      <c r="C609" s="47" t="s">
        <v>1843</v>
      </c>
      <c r="D609" t="s">
        <v>639</v>
      </c>
      <c r="M609" s="56"/>
    </row>
    <row r="610" spans="1:13">
      <c r="A610" s="215"/>
      <c r="B610" s="224"/>
      <c r="C610" s="47" t="s">
        <v>1844</v>
      </c>
      <c r="D610" t="s">
        <v>543</v>
      </c>
      <c r="F610" s="3">
        <v>11</v>
      </c>
      <c r="H610" s="15" t="s">
        <v>1929</v>
      </c>
      <c r="I610" s="15">
        <v>0.7</v>
      </c>
      <c r="M610" s="56"/>
    </row>
    <row r="611" spans="1:13">
      <c r="A611" s="215"/>
      <c r="B611" s="224"/>
      <c r="C611" s="47" t="s">
        <v>1845</v>
      </c>
      <c r="D611" t="s">
        <v>639</v>
      </c>
      <c r="M611" s="56"/>
    </row>
    <row r="612" spans="1:13">
      <c r="A612" s="215"/>
      <c r="B612" s="224"/>
      <c r="C612" s="47" t="s">
        <v>1846</v>
      </c>
      <c r="D612" t="s">
        <v>639</v>
      </c>
      <c r="M612" s="56"/>
    </row>
    <row r="613" spans="1:13">
      <c r="A613" s="215"/>
      <c r="B613" s="224"/>
      <c r="C613" s="47" t="s">
        <v>1847</v>
      </c>
      <c r="D613" t="s">
        <v>543</v>
      </c>
      <c r="F613" s="3">
        <v>11</v>
      </c>
      <c r="H613" s="15" t="s">
        <v>1930</v>
      </c>
      <c r="I613" s="15">
        <v>0.7</v>
      </c>
      <c r="M613" s="56"/>
    </row>
    <row r="614" spans="1:13">
      <c r="A614" s="215"/>
      <c r="B614" s="224"/>
      <c r="C614" s="47" t="s">
        <v>1848</v>
      </c>
      <c r="D614" t="s">
        <v>639</v>
      </c>
      <c r="M614" s="56"/>
    </row>
    <row r="615" spans="1:13">
      <c r="A615" s="215"/>
      <c r="B615" s="224"/>
      <c r="C615" t="s">
        <v>1849</v>
      </c>
      <c r="D615" t="s">
        <v>569</v>
      </c>
      <c r="M615" s="56"/>
    </row>
    <row r="616" spans="1:13">
      <c r="A616" s="215"/>
      <c r="B616" s="224"/>
      <c r="C616" t="s">
        <v>1850</v>
      </c>
      <c r="D616" t="s">
        <v>569</v>
      </c>
      <c r="M616" s="56"/>
    </row>
    <row r="617" spans="1:13">
      <c r="A617" s="215"/>
      <c r="B617" s="224"/>
      <c r="C617" t="s">
        <v>1851</v>
      </c>
      <c r="D617" t="s">
        <v>569</v>
      </c>
      <c r="M617" s="56"/>
    </row>
    <row r="618" spans="1:13">
      <c r="A618" s="215"/>
      <c r="B618" s="224"/>
      <c r="C618" t="s">
        <v>1852</v>
      </c>
      <c r="D618" t="s">
        <v>569</v>
      </c>
      <c r="M618" s="56"/>
    </row>
    <row r="619" spans="1:13">
      <c r="A619" s="215"/>
      <c r="B619" s="224"/>
      <c r="C619" t="s">
        <v>1853</v>
      </c>
      <c r="D619" t="s">
        <v>569</v>
      </c>
      <c r="M619" s="56"/>
    </row>
    <row r="620" spans="1:13">
      <c r="A620" s="215"/>
      <c r="B620" s="224"/>
      <c r="C620" s="47" t="s">
        <v>1854</v>
      </c>
      <c r="M620" s="56"/>
    </row>
    <row r="621" spans="1:13">
      <c r="A621" s="215"/>
      <c r="B621" s="224"/>
      <c r="C621" s="47" t="s">
        <v>1855</v>
      </c>
      <c r="M621" s="56"/>
    </row>
    <row r="622" spans="1:13">
      <c r="A622" s="215"/>
      <c r="B622" s="224"/>
      <c r="C622" s="47" t="s">
        <v>1861</v>
      </c>
      <c r="M622" s="56"/>
    </row>
    <row r="623" spans="1:13">
      <c r="A623" s="215"/>
      <c r="B623" s="224"/>
      <c r="C623" s="47" t="s">
        <v>1931</v>
      </c>
      <c r="D623" t="s">
        <v>543</v>
      </c>
      <c r="H623" s="15" t="s">
        <v>1932</v>
      </c>
      <c r="I623" s="15">
        <v>0.05</v>
      </c>
      <c r="M623" s="56"/>
    </row>
    <row r="624" spans="1:13">
      <c r="A624" s="215"/>
      <c r="B624" s="224"/>
      <c r="C624" s="47" t="s">
        <v>1874</v>
      </c>
      <c r="M624" s="56"/>
    </row>
    <row r="625" spans="1:13">
      <c r="A625" s="215"/>
      <c r="B625" s="224"/>
      <c r="C625" s="47" t="s">
        <v>1890</v>
      </c>
      <c r="D625" t="s">
        <v>543</v>
      </c>
      <c r="F625" s="3">
        <v>2</v>
      </c>
      <c r="H625" s="15" t="s">
        <v>1933</v>
      </c>
      <c r="I625" s="15">
        <v>0.7</v>
      </c>
      <c r="M625" s="56"/>
    </row>
    <row r="626" spans="1:13">
      <c r="A626" s="215"/>
      <c r="B626" s="224"/>
      <c r="C626" s="47" t="s">
        <v>1912</v>
      </c>
      <c r="M626" s="56"/>
    </row>
    <row r="627" spans="1:13">
      <c r="A627" s="215"/>
      <c r="B627" s="224"/>
      <c r="C627" s="47" t="s">
        <v>1913</v>
      </c>
      <c r="M627" s="56"/>
    </row>
    <row r="628" spans="1:13">
      <c r="A628" s="215"/>
      <c r="B628" s="224"/>
      <c r="C628" s="47" t="s">
        <v>1903</v>
      </c>
      <c r="M628" s="56"/>
    </row>
    <row r="629" spans="1:13">
      <c r="A629" s="215"/>
      <c r="B629" s="224"/>
      <c r="C629" s="47" t="s">
        <v>1904</v>
      </c>
      <c r="M629" s="56"/>
    </row>
    <row r="630" spans="1:13">
      <c r="A630" s="90"/>
      <c r="G630" s="61">
        <f>5100+150</f>
        <v>5250</v>
      </c>
      <c r="M630" s="56"/>
    </row>
    <row r="631" spans="1:13">
      <c r="A631" s="219" t="s">
        <v>360</v>
      </c>
      <c r="B631" s="216" t="s">
        <v>1541</v>
      </c>
      <c r="C631" s="13" t="s">
        <v>1542</v>
      </c>
      <c r="M631" s="56"/>
    </row>
    <row r="632" spans="1:13">
      <c r="A632" s="220"/>
      <c r="B632" s="217"/>
      <c r="C632" s="47" t="s">
        <v>1543</v>
      </c>
      <c r="D632" s="54"/>
      <c r="E632" s="54"/>
      <c r="F632" s="91"/>
      <c r="G632" s="85"/>
      <c r="H632" s="86"/>
      <c r="I632" s="86"/>
      <c r="J632" s="86"/>
      <c r="K632" s="86"/>
      <c r="L632" s="86"/>
      <c r="M632" s="57"/>
    </row>
    <row r="633" spans="1:13">
      <c r="A633" s="220"/>
      <c r="B633" s="217"/>
      <c r="C633" s="47" t="s">
        <v>1544</v>
      </c>
    </row>
    <row r="634" spans="1:13">
      <c r="A634" s="220"/>
      <c r="B634" s="217"/>
      <c r="C634" s="47" t="s">
        <v>1545</v>
      </c>
    </row>
    <row r="635" spans="1:13">
      <c r="A635" s="221"/>
      <c r="B635" s="218"/>
      <c r="C635" s="48" t="s">
        <v>1546</v>
      </c>
    </row>
    <row r="637" spans="1:13">
      <c r="B637" s="275" t="s">
        <v>1547</v>
      </c>
      <c r="C637" s="13" t="s">
        <v>1548</v>
      </c>
    </row>
    <row r="638" spans="1:13">
      <c r="B638" s="276"/>
      <c r="C638" s="47" t="s">
        <v>1549</v>
      </c>
    </row>
    <row r="639" spans="1:13">
      <c r="B639" s="277"/>
      <c r="C639" s="48" t="s">
        <v>1550</v>
      </c>
    </row>
    <row r="641" spans="1:16">
      <c r="B641" s="275" t="s">
        <v>1551</v>
      </c>
      <c r="C641" s="13" t="s">
        <v>1552</v>
      </c>
    </row>
    <row r="642" spans="1:16">
      <c r="B642" s="276"/>
      <c r="C642" s="47" t="s">
        <v>1553</v>
      </c>
    </row>
    <row r="643" spans="1:16" s="15" customFormat="1">
      <c r="A643"/>
      <c r="B643" s="277"/>
      <c r="C643" s="48" t="s">
        <v>1554</v>
      </c>
      <c r="D643"/>
      <c r="E643"/>
      <c r="F643" s="3"/>
      <c r="G643" s="61"/>
      <c r="M643" s="3"/>
      <c r="N643"/>
      <c r="O643"/>
      <c r="P643"/>
    </row>
    <row r="645" spans="1:16" s="15" customFormat="1">
      <c r="A645"/>
      <c r="B645" s="275" t="s">
        <v>1555</v>
      </c>
      <c r="C645" s="13" t="s">
        <v>1556</v>
      </c>
      <c r="D645"/>
      <c r="E645"/>
      <c r="F645" s="3"/>
      <c r="G645" s="61"/>
      <c r="M645" s="3"/>
      <c r="N645"/>
      <c r="O645"/>
      <c r="P645"/>
    </row>
    <row r="646" spans="1:16" s="15" customFormat="1">
      <c r="A646"/>
      <c r="B646" s="277"/>
      <c r="C646" s="48" t="s">
        <v>1557</v>
      </c>
      <c r="D646"/>
      <c r="E646"/>
      <c r="F646" s="3"/>
      <c r="G646" s="61"/>
      <c r="M646" s="3"/>
      <c r="N646"/>
      <c r="O646"/>
      <c r="P646"/>
    </row>
    <row r="647" spans="1:16" s="15" customFormat="1">
      <c r="A647"/>
      <c r="B647"/>
      <c r="C647"/>
      <c r="D647"/>
      <c r="E647"/>
      <c r="F647" s="3"/>
      <c r="G647" s="61" t="s">
        <v>1558</v>
      </c>
      <c r="M647" s="3"/>
      <c r="N647"/>
      <c r="O647"/>
      <c r="P647"/>
    </row>
    <row r="648" spans="1:16" s="15" customFormat="1">
      <c r="A648"/>
      <c r="B648" s="272" t="s">
        <v>1559</v>
      </c>
      <c r="C648" s="13" t="s">
        <v>1560</v>
      </c>
      <c r="D648"/>
      <c r="E648"/>
      <c r="F648" s="3"/>
      <c r="G648" s="61"/>
      <c r="M648" s="3"/>
      <c r="N648"/>
      <c r="O648"/>
      <c r="P648"/>
    </row>
    <row r="649" spans="1:16" s="15" customFormat="1">
      <c r="A649"/>
      <c r="B649" s="273"/>
      <c r="C649" s="48" t="s">
        <v>1561</v>
      </c>
      <c r="D649"/>
      <c r="E649"/>
      <c r="F649" s="3"/>
      <c r="G649" s="61"/>
      <c r="M649" s="3"/>
      <c r="N649"/>
      <c r="O649"/>
      <c r="P649"/>
    </row>
    <row r="651" spans="1:16" s="15" customFormat="1">
      <c r="A651"/>
      <c r="B651" s="222" t="s">
        <v>1562</v>
      </c>
      <c r="C651" s="13" t="s">
        <v>1563</v>
      </c>
      <c r="D651"/>
      <c r="E651"/>
      <c r="F651" s="3"/>
      <c r="G651" s="61"/>
      <c r="M651" s="3"/>
      <c r="N651"/>
      <c r="O651"/>
      <c r="P651"/>
    </row>
    <row r="652" spans="1:16" s="15" customFormat="1">
      <c r="A652"/>
      <c r="B652" s="224"/>
      <c r="C652" s="47" t="s">
        <v>1564</v>
      </c>
      <c r="D652"/>
      <c r="E652"/>
      <c r="F652" s="3"/>
      <c r="G652" s="61"/>
      <c r="M652" s="3"/>
      <c r="N652"/>
      <c r="O652"/>
      <c r="P652"/>
    </row>
    <row r="653" spans="1:16" s="15" customFormat="1">
      <c r="A653"/>
      <c r="B653" s="224"/>
      <c r="C653" s="47" t="s">
        <v>1565</v>
      </c>
      <c r="D653"/>
      <c r="E653"/>
      <c r="F653" s="3"/>
      <c r="G653" s="61"/>
      <c r="M653" s="3"/>
      <c r="N653"/>
      <c r="O653"/>
      <c r="P653"/>
    </row>
    <row r="654" spans="1:16" s="15" customFormat="1">
      <c r="A654"/>
      <c r="B654" s="224"/>
      <c r="C654" s="47" t="s">
        <v>1566</v>
      </c>
      <c r="D654"/>
      <c r="E654"/>
      <c r="F654" s="3"/>
      <c r="G654" s="61"/>
      <c r="M654" s="3"/>
      <c r="N654"/>
      <c r="O654"/>
      <c r="P654"/>
    </row>
    <row r="655" spans="1:16" s="15" customFormat="1">
      <c r="A655"/>
      <c r="B655" s="224"/>
      <c r="C655" s="226" t="s">
        <v>1567</v>
      </c>
      <c r="D655"/>
      <c r="E655"/>
      <c r="F655" s="3"/>
      <c r="G655" s="61"/>
      <c r="M655" s="3"/>
      <c r="N655"/>
      <c r="O655"/>
      <c r="P655"/>
    </row>
    <row r="656" spans="1:16" s="15" customFormat="1">
      <c r="A656"/>
      <c r="B656" s="224"/>
      <c r="C656" s="226" t="s">
        <v>1568</v>
      </c>
      <c r="D656"/>
      <c r="E656"/>
      <c r="F656" s="3"/>
      <c r="G656" s="61"/>
      <c r="M656" s="3"/>
      <c r="N656"/>
      <c r="O656"/>
      <c r="P656"/>
    </row>
    <row r="657" spans="1:16" s="15" customFormat="1">
      <c r="A657"/>
      <c r="B657" s="224"/>
      <c r="C657" s="226" t="s">
        <v>1569</v>
      </c>
      <c r="D657"/>
      <c r="E657"/>
      <c r="F657" s="3"/>
      <c r="G657" s="61"/>
      <c r="M657" s="3"/>
      <c r="N657"/>
      <c r="O657"/>
      <c r="P657"/>
    </row>
    <row r="658" spans="1:16" s="15" customFormat="1">
      <c r="A658"/>
      <c r="B658" s="224"/>
      <c r="C658" s="226" t="s">
        <v>1570</v>
      </c>
      <c r="D658"/>
      <c r="E658"/>
      <c r="F658" s="3"/>
      <c r="G658" s="61"/>
      <c r="M658" s="3"/>
      <c r="N658"/>
      <c r="O658"/>
      <c r="P658"/>
    </row>
    <row r="659" spans="1:16">
      <c r="B659" s="224"/>
      <c r="C659" s="47" t="s">
        <v>1571</v>
      </c>
    </row>
    <row r="660" spans="1:16">
      <c r="B660" s="225"/>
      <c r="C660" s="48" t="s">
        <v>1572</v>
      </c>
    </row>
    <row r="662" spans="1:16">
      <c r="B662" s="272" t="s">
        <v>1573</v>
      </c>
      <c r="C662" s="16" t="s">
        <v>1574</v>
      </c>
    </row>
    <row r="663" spans="1:16">
      <c r="B663" s="273"/>
      <c r="C663" s="46" t="s">
        <v>1575</v>
      </c>
    </row>
    <row r="665" spans="1:16">
      <c r="B665" s="272" t="s">
        <v>1576</v>
      </c>
      <c r="C665" s="16" t="s">
        <v>1577</v>
      </c>
    </row>
    <row r="666" spans="1:16">
      <c r="B666" s="273"/>
      <c r="C666" s="46" t="s">
        <v>1578</v>
      </c>
    </row>
    <row r="668" spans="1:16">
      <c r="B668" s="272" t="s">
        <v>1579</v>
      </c>
      <c r="C668" s="16" t="s">
        <v>1580</v>
      </c>
    </row>
    <row r="669" spans="1:16">
      <c r="B669" s="273"/>
      <c r="C669" s="46" t="s">
        <v>1581</v>
      </c>
    </row>
    <row r="671" spans="1:16">
      <c r="B671" s="272" t="s">
        <v>1582</v>
      </c>
      <c r="C671" s="16" t="s">
        <v>964</v>
      </c>
    </row>
    <row r="672" spans="1:16">
      <c r="B672" s="274"/>
      <c r="C672" s="45" t="s">
        <v>966</v>
      </c>
    </row>
    <row r="673" spans="2:3">
      <c r="B673" s="274"/>
      <c r="C673" s="45" t="s">
        <v>967</v>
      </c>
    </row>
    <row r="674" spans="2:3">
      <c r="B674" s="274"/>
      <c r="C674" s="45" t="s">
        <v>982</v>
      </c>
    </row>
    <row r="675" spans="2:3">
      <c r="B675" s="273"/>
      <c r="C675" s="46" t="s">
        <v>1583</v>
      </c>
    </row>
    <row r="677" spans="2:3">
      <c r="B677" s="272" t="s">
        <v>1584</v>
      </c>
      <c r="C677" s="16" t="s">
        <v>1585</v>
      </c>
    </row>
    <row r="678" spans="2:3">
      <c r="B678" s="273"/>
      <c r="C678" s="46" t="s">
        <v>1586</v>
      </c>
    </row>
    <row r="680" spans="2:3">
      <c r="B680" s="272" t="s">
        <v>1587</v>
      </c>
      <c r="C680" s="16" t="s">
        <v>1588</v>
      </c>
    </row>
    <row r="681" spans="2:3">
      <c r="B681" s="273"/>
      <c r="C681" s="46" t="s">
        <v>1589</v>
      </c>
    </row>
    <row r="683" spans="2:3">
      <c r="B683" s="272" t="s">
        <v>1590</v>
      </c>
      <c r="C683" s="227" t="s">
        <v>1591</v>
      </c>
    </row>
    <row r="684" spans="2:3">
      <c r="B684" s="274"/>
      <c r="C684" s="228" t="s">
        <v>1592</v>
      </c>
    </row>
    <row r="685" spans="2:3">
      <c r="B685" s="274"/>
      <c r="C685" s="45" t="s">
        <v>1593</v>
      </c>
    </row>
    <row r="686" spans="2:3">
      <c r="B686" s="273"/>
      <c r="C686" s="46" t="s">
        <v>1594</v>
      </c>
    </row>
    <row r="688" spans="2:3">
      <c r="B688" s="275" t="s">
        <v>1595</v>
      </c>
      <c r="C688" s="13" t="s">
        <v>856</v>
      </c>
    </row>
    <row r="689" spans="2:3">
      <c r="B689" s="276"/>
      <c r="C689" s="47" t="s">
        <v>857</v>
      </c>
    </row>
    <row r="690" spans="2:3">
      <c r="B690" s="276"/>
      <c r="C690" s="47" t="s">
        <v>858</v>
      </c>
    </row>
    <row r="691" spans="2:3">
      <c r="B691" s="276"/>
      <c r="C691" s="47" t="s">
        <v>876</v>
      </c>
    </row>
    <row r="692" spans="2:3">
      <c r="B692" s="277"/>
      <c r="C692" s="48" t="s">
        <v>1466</v>
      </c>
    </row>
    <row r="697" spans="2:3">
      <c r="B697" s="272" t="s">
        <v>1596</v>
      </c>
      <c r="C697" s="16" t="s">
        <v>1597</v>
      </c>
    </row>
    <row r="698" spans="2:3">
      <c r="B698" s="273"/>
      <c r="C698" s="46" t="s">
        <v>1598</v>
      </c>
    </row>
    <row r="700" spans="2:3">
      <c r="B700" s="272" t="s">
        <v>1599</v>
      </c>
      <c r="C700" s="16" t="s">
        <v>1597</v>
      </c>
    </row>
    <row r="701" spans="2:3">
      <c r="B701" s="273"/>
      <c r="C701" s="46" t="s">
        <v>1598</v>
      </c>
    </row>
    <row r="703" spans="2:3">
      <c r="B703" s="272" t="s">
        <v>1600</v>
      </c>
      <c r="C703" s="16" t="s">
        <v>1601</v>
      </c>
    </row>
    <row r="704" spans="2:3">
      <c r="B704" s="273"/>
      <c r="C704" s="46" t="s">
        <v>1602</v>
      </c>
    </row>
    <row r="706" spans="2:13">
      <c r="B706" s="222" t="s">
        <v>1786</v>
      </c>
      <c r="C706" s="13" t="s">
        <v>915</v>
      </c>
      <c r="D706" s="53" t="s">
        <v>543</v>
      </c>
      <c r="E706" s="53"/>
      <c r="F706" s="88"/>
      <c r="G706" s="82">
        <v>910</v>
      </c>
      <c r="H706" s="83" t="s">
        <v>1787</v>
      </c>
      <c r="I706" s="83"/>
      <c r="J706" s="83"/>
      <c r="K706" s="83"/>
      <c r="L706" s="83"/>
      <c r="M706" s="55"/>
    </row>
    <row r="707" spans="2:13">
      <c r="B707" s="224"/>
      <c r="C707" s="47" t="s">
        <v>917</v>
      </c>
      <c r="D707" t="s">
        <v>639</v>
      </c>
      <c r="F707"/>
      <c r="H707" s="3" t="s">
        <v>1788</v>
      </c>
      <c r="M707" s="56"/>
    </row>
    <row r="708" spans="2:13">
      <c r="B708" s="224"/>
      <c r="C708" s="47" t="s">
        <v>919</v>
      </c>
      <c r="D708" t="s">
        <v>543</v>
      </c>
      <c r="F708" s="1"/>
      <c r="G708" s="61">
        <v>244</v>
      </c>
      <c r="H708" s="3" t="s">
        <v>920</v>
      </c>
      <c r="M708" s="56"/>
    </row>
    <row r="709" spans="2:13">
      <c r="B709" s="224"/>
      <c r="C709" s="47" t="s">
        <v>642</v>
      </c>
      <c r="D709" t="s">
        <v>639</v>
      </c>
      <c r="F709"/>
      <c r="H709" s="3" t="s">
        <v>920</v>
      </c>
      <c r="M709" s="56"/>
    </row>
    <row r="710" spans="2:13">
      <c r="B710" s="224"/>
      <c r="C710" s="47" t="s">
        <v>921</v>
      </c>
      <c r="D710" t="s">
        <v>639</v>
      </c>
      <c r="F710"/>
      <c r="H710" s="3" t="s">
        <v>1788</v>
      </c>
      <c r="M710" s="56"/>
    </row>
    <row r="711" spans="2:13">
      <c r="B711" s="224"/>
      <c r="C711" s="47" t="s">
        <v>922</v>
      </c>
      <c r="D711" t="s">
        <v>543</v>
      </c>
      <c r="F711" s="1"/>
      <c r="G711" s="61">
        <v>195</v>
      </c>
      <c r="H711" s="3" t="s">
        <v>1789</v>
      </c>
      <c r="M711" s="56"/>
    </row>
    <row r="712" spans="2:13">
      <c r="B712" s="224"/>
      <c r="C712" s="47" t="s">
        <v>923</v>
      </c>
      <c r="D712" t="s">
        <v>569</v>
      </c>
      <c r="F712"/>
      <c r="H712" s="3" t="s">
        <v>924</v>
      </c>
      <c r="M712" s="56"/>
    </row>
    <row r="713" spans="2:13">
      <c r="B713" s="224"/>
      <c r="C713" s="47" t="s">
        <v>925</v>
      </c>
      <c r="D713" t="s">
        <v>569</v>
      </c>
      <c r="F713"/>
      <c r="H713" s="3" t="s">
        <v>926</v>
      </c>
      <c r="M713" s="56"/>
    </row>
    <row r="714" spans="2:13">
      <c r="B714" s="224"/>
      <c r="C714" s="47" t="s">
        <v>927</v>
      </c>
      <c r="D714" t="s">
        <v>569</v>
      </c>
      <c r="F714"/>
      <c r="H714" s="3" t="s">
        <v>928</v>
      </c>
      <c r="M714" s="56"/>
    </row>
    <row r="715" spans="2:13">
      <c r="B715" s="224"/>
      <c r="C715" s="47" t="s">
        <v>929</v>
      </c>
      <c r="D715" t="s">
        <v>569</v>
      </c>
      <c r="F715"/>
      <c r="H715" s="3" t="s">
        <v>930</v>
      </c>
      <c r="M715" s="56"/>
    </row>
    <row r="716" spans="2:13">
      <c r="B716" s="224"/>
      <c r="C716" s="47" t="s">
        <v>931</v>
      </c>
      <c r="D716" t="s">
        <v>569</v>
      </c>
      <c r="F716"/>
      <c r="H716" s="3" t="s">
        <v>932</v>
      </c>
      <c r="M716" s="56"/>
    </row>
    <row r="717" spans="2:13">
      <c r="B717" s="224"/>
      <c r="C717" s="47" t="s">
        <v>933</v>
      </c>
      <c r="D717" t="s">
        <v>632</v>
      </c>
      <c r="F717"/>
      <c r="H717" s="3"/>
      <c r="M717" s="56"/>
    </row>
    <row r="718" spans="2:13">
      <c r="B718" s="224"/>
      <c r="C718" s="47" t="s">
        <v>934</v>
      </c>
      <c r="D718" t="s">
        <v>632</v>
      </c>
      <c r="F718"/>
      <c r="H718" s="3"/>
      <c r="M718" s="56"/>
    </row>
    <row r="719" spans="2:13">
      <c r="B719" s="224"/>
      <c r="C719" s="47" t="s">
        <v>935</v>
      </c>
      <c r="D719" t="s">
        <v>632</v>
      </c>
      <c r="F719"/>
      <c r="H719" s="3"/>
      <c r="M719" s="56"/>
    </row>
    <row r="720" spans="2:13">
      <c r="B720" s="224"/>
      <c r="C720" s="47" t="s">
        <v>605</v>
      </c>
      <c r="D720" t="s">
        <v>569</v>
      </c>
      <c r="F720"/>
      <c r="H720" s="3" t="s">
        <v>552</v>
      </c>
      <c r="M720" s="56"/>
    </row>
    <row r="721" spans="2:13">
      <c r="B721" s="224"/>
      <c r="C721" s="47" t="s">
        <v>1790</v>
      </c>
      <c r="D721" t="s">
        <v>543</v>
      </c>
      <c r="G721" s="61">
        <v>86</v>
      </c>
      <c r="H721" s="15" t="s">
        <v>965</v>
      </c>
      <c r="M721" s="56"/>
    </row>
    <row r="722" spans="2:13">
      <c r="B722" s="224"/>
      <c r="C722" s="47" t="s">
        <v>970</v>
      </c>
      <c r="D722" t="s">
        <v>569</v>
      </c>
      <c r="F722"/>
      <c r="H722" s="3" t="s">
        <v>965</v>
      </c>
      <c r="M722" s="56"/>
    </row>
    <row r="723" spans="2:13">
      <c r="B723" s="224"/>
      <c r="C723" s="47" t="s">
        <v>1791</v>
      </c>
      <c r="D723" t="s">
        <v>543</v>
      </c>
      <c r="G723" s="61">
        <v>86</v>
      </c>
      <c r="H723" s="15" t="s">
        <v>554</v>
      </c>
      <c r="M723" s="56"/>
    </row>
    <row r="724" spans="2:13">
      <c r="B724" s="224"/>
      <c r="C724" s="47" t="s">
        <v>579</v>
      </c>
      <c r="D724" t="s">
        <v>569</v>
      </c>
      <c r="F724"/>
      <c r="H724" s="3" t="s">
        <v>554</v>
      </c>
      <c r="M724" s="56"/>
    </row>
    <row r="725" spans="2:13">
      <c r="B725" s="224"/>
      <c r="C725" s="47" t="s">
        <v>593</v>
      </c>
      <c r="D725" t="s">
        <v>561</v>
      </c>
      <c r="F725"/>
      <c r="G725" s="61">
        <v>204</v>
      </c>
      <c r="H725" s="3" t="s">
        <v>547</v>
      </c>
      <c r="M725" s="56"/>
    </row>
    <row r="726" spans="2:13">
      <c r="B726" s="224"/>
      <c r="C726" s="47" t="s">
        <v>594</v>
      </c>
      <c r="F726"/>
      <c r="H726" s="3"/>
      <c r="M726" s="56"/>
    </row>
    <row r="727" spans="2:13">
      <c r="B727" s="224"/>
      <c r="C727" s="47" t="s">
        <v>595</v>
      </c>
      <c r="F727"/>
      <c r="H727" s="3"/>
      <c r="M727" s="56"/>
    </row>
    <row r="728" spans="2:13">
      <c r="B728" s="224"/>
      <c r="C728" t="s">
        <v>602</v>
      </c>
      <c r="D728" t="s">
        <v>561</v>
      </c>
      <c r="F728" s="3">
        <v>1</v>
      </c>
      <c r="G728" s="61">
        <v>92.903999999999996</v>
      </c>
      <c r="H728" s="15" t="s">
        <v>552</v>
      </c>
      <c r="M728" s="56"/>
    </row>
    <row r="729" spans="2:13">
      <c r="B729" s="224"/>
      <c r="C729" s="47" t="s">
        <v>1792</v>
      </c>
      <c r="D729" t="s">
        <v>543</v>
      </c>
      <c r="F729" s="3">
        <v>1</v>
      </c>
      <c r="G729" s="61">
        <v>81</v>
      </c>
      <c r="H729" s="15" t="s">
        <v>620</v>
      </c>
      <c r="I729" s="15">
        <v>0.65</v>
      </c>
      <c r="M729" s="56"/>
    </row>
    <row r="730" spans="2:13">
      <c r="B730" s="224"/>
      <c r="C730" s="47" t="s">
        <v>619</v>
      </c>
      <c r="D730" t="s">
        <v>569</v>
      </c>
      <c r="H730" s="15" t="s">
        <v>620</v>
      </c>
      <c r="M730" s="56"/>
    </row>
    <row r="731" spans="2:13">
      <c r="B731" s="224"/>
      <c r="C731" s="47" t="s">
        <v>626</v>
      </c>
      <c r="D731" t="s">
        <v>543</v>
      </c>
      <c r="G731" s="61">
        <v>83</v>
      </c>
      <c r="H731" s="15" t="s">
        <v>552</v>
      </c>
      <c r="M731" s="56"/>
    </row>
    <row r="732" spans="2:13">
      <c r="B732" s="224"/>
      <c r="C732" s="47" t="s">
        <v>627</v>
      </c>
      <c r="D732" t="s">
        <v>569</v>
      </c>
      <c r="H732" s="15" t="s">
        <v>552</v>
      </c>
      <c r="I732" s="15" t="s">
        <v>552</v>
      </c>
      <c r="M732" s="56"/>
    </row>
    <row r="733" spans="2:13">
      <c r="B733" s="224"/>
      <c r="C733" s="47" t="s">
        <v>631</v>
      </c>
      <c r="D733" t="s">
        <v>632</v>
      </c>
      <c r="I733" s="15" t="s">
        <v>552</v>
      </c>
      <c r="M733" s="56"/>
    </row>
    <row r="734" spans="2:13">
      <c r="B734" s="224"/>
      <c r="C734" s="47" t="s">
        <v>687</v>
      </c>
      <c r="D734" t="s">
        <v>543</v>
      </c>
      <c r="G734" s="61">
        <v>81</v>
      </c>
      <c r="H734" s="15" t="s">
        <v>1793</v>
      </c>
      <c r="I734" s="15" t="s">
        <v>620</v>
      </c>
      <c r="M734" s="56"/>
    </row>
    <row r="735" spans="2:13">
      <c r="B735" s="224"/>
      <c r="C735" s="47" t="s">
        <v>689</v>
      </c>
      <c r="D735" t="s">
        <v>543</v>
      </c>
      <c r="G735" s="61">
        <v>383</v>
      </c>
      <c r="H735" s="15" t="s">
        <v>1794</v>
      </c>
      <c r="I735" s="15" t="s">
        <v>620</v>
      </c>
      <c r="M735" s="56"/>
    </row>
    <row r="736" spans="2:13">
      <c r="B736" s="224"/>
      <c r="C736" s="47" t="s">
        <v>693</v>
      </c>
      <c r="D736" t="s">
        <v>569</v>
      </c>
      <c r="F736"/>
      <c r="H736" s="3" t="s">
        <v>694</v>
      </c>
      <c r="M736" s="56"/>
    </row>
    <row r="737" spans="2:13">
      <c r="B737" s="224"/>
      <c r="C737" s="47" t="s">
        <v>695</v>
      </c>
      <c r="D737" t="s">
        <v>569</v>
      </c>
      <c r="F737"/>
      <c r="H737" s="3" t="s">
        <v>696</v>
      </c>
      <c r="I737" s="15" t="s">
        <v>545</v>
      </c>
      <c r="M737" s="56"/>
    </row>
    <row r="738" spans="2:13">
      <c r="B738" s="224"/>
      <c r="C738" s="47" t="s">
        <v>697</v>
      </c>
      <c r="D738" t="s">
        <v>569</v>
      </c>
      <c r="F738"/>
      <c r="H738" s="3" t="s">
        <v>698</v>
      </c>
      <c r="I738" s="15" t="s">
        <v>545</v>
      </c>
      <c r="M738" s="56"/>
    </row>
    <row r="739" spans="2:13">
      <c r="B739" s="224"/>
      <c r="C739" s="47" t="s">
        <v>699</v>
      </c>
      <c r="D739" t="s">
        <v>569</v>
      </c>
      <c r="F739"/>
      <c r="H739" s="3" t="s">
        <v>700</v>
      </c>
      <c r="I739" s="3" t="s">
        <v>545</v>
      </c>
      <c r="M739" s="56"/>
    </row>
    <row r="740" spans="2:13">
      <c r="B740" s="224"/>
      <c r="C740" s="47" t="s">
        <v>701</v>
      </c>
      <c r="D740" t="s">
        <v>569</v>
      </c>
      <c r="F740"/>
      <c r="H740" s="3" t="s">
        <v>702</v>
      </c>
      <c r="I740" s="3" t="s">
        <v>545</v>
      </c>
      <c r="M740" s="56"/>
    </row>
    <row r="741" spans="2:13">
      <c r="B741" s="224"/>
      <c r="C741" s="47" t="s">
        <v>703</v>
      </c>
      <c r="D741" t="s">
        <v>569</v>
      </c>
      <c r="F741"/>
      <c r="H741" s="3" t="s">
        <v>704</v>
      </c>
      <c r="I741" s="3" t="s">
        <v>545</v>
      </c>
      <c r="M741" s="56"/>
    </row>
    <row r="742" spans="2:13">
      <c r="B742" s="224"/>
      <c r="C742" s="47" t="s">
        <v>705</v>
      </c>
      <c r="D742" t="s">
        <v>569</v>
      </c>
      <c r="F742"/>
      <c r="H742" s="3" t="s">
        <v>706</v>
      </c>
      <c r="I742" s="3" t="s">
        <v>545</v>
      </c>
      <c r="M742" s="56"/>
    </row>
    <row r="743" spans="2:13">
      <c r="B743" s="224"/>
      <c r="C743" s="47" t="s">
        <v>707</v>
      </c>
      <c r="D743" t="s">
        <v>569</v>
      </c>
      <c r="F743"/>
      <c r="H743" s="3" t="s">
        <v>708</v>
      </c>
      <c r="I743" s="3" t="s">
        <v>545</v>
      </c>
      <c r="M743" s="56"/>
    </row>
    <row r="744" spans="2:13">
      <c r="B744" s="224"/>
      <c r="C744" s="47" t="s">
        <v>1745</v>
      </c>
      <c r="D744" t="s">
        <v>632</v>
      </c>
      <c r="I744" s="3" t="s">
        <v>545</v>
      </c>
      <c r="M744" s="56"/>
    </row>
    <row r="745" spans="2:13">
      <c r="B745" s="224"/>
      <c r="C745" s="47" t="s">
        <v>1746</v>
      </c>
      <c r="D745" t="s">
        <v>632</v>
      </c>
      <c r="I745" s="3" t="s">
        <v>545</v>
      </c>
      <c r="M745" s="56"/>
    </row>
    <row r="746" spans="2:13">
      <c r="B746" s="224"/>
      <c r="C746" s="47" t="s">
        <v>1747</v>
      </c>
      <c r="D746" t="s">
        <v>632</v>
      </c>
      <c r="I746" s="91" t="s">
        <v>545</v>
      </c>
      <c r="J746" s="86"/>
      <c r="K746" s="86"/>
      <c r="L746" s="86"/>
      <c r="M746" s="57"/>
    </row>
    <row r="747" spans="2:13">
      <c r="B747" s="224"/>
      <c r="C747" s="47" t="s">
        <v>1748</v>
      </c>
      <c r="D747" t="s">
        <v>632</v>
      </c>
      <c r="M747" s="56"/>
    </row>
    <row r="748" spans="2:13">
      <c r="B748" s="224"/>
      <c r="C748" s="47" t="s">
        <v>1749</v>
      </c>
      <c r="D748" t="s">
        <v>632</v>
      </c>
      <c r="M748" s="56"/>
    </row>
    <row r="749" spans="2:13">
      <c r="B749" s="224"/>
      <c r="C749" s="47" t="s">
        <v>1750</v>
      </c>
      <c r="D749" t="s">
        <v>632</v>
      </c>
      <c r="M749" s="56"/>
    </row>
    <row r="750" spans="2:13">
      <c r="B750" s="224"/>
      <c r="C750" s="47" t="s">
        <v>1751</v>
      </c>
      <c r="D750" t="s">
        <v>632</v>
      </c>
      <c r="M750" s="56"/>
    </row>
    <row r="751" spans="2:13">
      <c r="B751" s="224"/>
      <c r="C751" s="47" t="s">
        <v>1752</v>
      </c>
      <c r="D751" t="s">
        <v>632</v>
      </c>
      <c r="M751" s="56"/>
    </row>
    <row r="752" spans="2:13">
      <c r="B752" s="224"/>
      <c r="C752" s="47" t="s">
        <v>1753</v>
      </c>
      <c r="D752" t="s">
        <v>632</v>
      </c>
      <c r="M752" s="56"/>
    </row>
    <row r="753" spans="2:14">
      <c r="B753" s="224"/>
      <c r="C753" s="47" t="s">
        <v>1754</v>
      </c>
      <c r="D753" t="s">
        <v>632</v>
      </c>
      <c r="M753" s="56"/>
    </row>
    <row r="754" spans="2:14">
      <c r="B754" s="225"/>
      <c r="C754" s="48" t="s">
        <v>1755</v>
      </c>
      <c r="D754" s="54" t="s">
        <v>632</v>
      </c>
      <c r="E754" s="54"/>
      <c r="F754" s="91"/>
      <c r="G754" s="85"/>
      <c r="H754" s="86"/>
      <c r="I754" s="86"/>
      <c r="J754" s="86"/>
      <c r="K754" s="86"/>
      <c r="L754" s="86"/>
      <c r="M754" s="57"/>
    </row>
    <row r="755" spans="2:14">
      <c r="B755" s="1"/>
      <c r="G755" s="61">
        <f>SUM(G706:G742)</f>
        <v>2445.904</v>
      </c>
    </row>
    <row r="756" spans="2:14">
      <c r="B756" s="1"/>
    </row>
    <row r="757" spans="2:14">
      <c r="B757" s="1"/>
    </row>
    <row r="759" spans="2:14">
      <c r="B759" s="170" t="s">
        <v>1795</v>
      </c>
      <c r="C759" s="53" t="s">
        <v>915</v>
      </c>
      <c r="D759" s="89" t="s">
        <v>543</v>
      </c>
      <c r="E759" s="53">
        <v>1</v>
      </c>
      <c r="F759" s="88"/>
      <c r="G759" s="250">
        <v>910</v>
      </c>
      <c r="H759" s="83" t="s">
        <v>1934</v>
      </c>
      <c r="I759" s="83"/>
      <c r="J759" s="83"/>
      <c r="K759" s="83"/>
      <c r="L759" s="83"/>
      <c r="M759" s="88"/>
      <c r="N759" s="16"/>
    </row>
    <row r="760" spans="2:14">
      <c r="B760" s="171"/>
      <c r="C760" s="47" t="s">
        <v>557</v>
      </c>
      <c r="D760" s="1" t="s">
        <v>558</v>
      </c>
      <c r="F760" s="1"/>
      <c r="G760" s="61">
        <v>15</v>
      </c>
      <c r="M760" s="56"/>
      <c r="N760" s="45"/>
    </row>
    <row r="761" spans="2:14">
      <c r="B761" s="171"/>
      <c r="C761" s="90" t="s">
        <v>636</v>
      </c>
      <c r="D761" t="s">
        <v>543</v>
      </c>
      <c r="F761" s="1">
        <v>1</v>
      </c>
      <c r="G761" s="61">
        <v>68.386399999999995</v>
      </c>
      <c r="H761" s="3" t="s">
        <v>557</v>
      </c>
      <c r="I761" s="3" t="s">
        <v>545</v>
      </c>
      <c r="J761" s="15" t="s">
        <v>546</v>
      </c>
      <c r="K761" s="15" t="s">
        <v>547</v>
      </c>
      <c r="L761" s="15" t="s">
        <v>546</v>
      </c>
      <c r="M761" s="56" t="s">
        <v>547</v>
      </c>
      <c r="N761" s="45"/>
    </row>
    <row r="762" spans="2:14">
      <c r="B762" s="171"/>
      <c r="C762" s="90" t="s">
        <v>637</v>
      </c>
      <c r="D762" t="s">
        <v>569</v>
      </c>
      <c r="F762"/>
      <c r="H762" s="3" t="s">
        <v>557</v>
      </c>
      <c r="I762" s="3" t="s">
        <v>545</v>
      </c>
      <c r="M762" s="56"/>
      <c r="N762" s="45"/>
    </row>
    <row r="763" spans="2:14">
      <c r="B763" s="171"/>
      <c r="C763" t="s">
        <v>917</v>
      </c>
      <c r="D763" s="90" t="s">
        <v>639</v>
      </c>
      <c r="F763"/>
      <c r="H763" s="3" t="s">
        <v>1788</v>
      </c>
      <c r="N763" s="45"/>
    </row>
    <row r="764" spans="2:14">
      <c r="B764" s="171"/>
      <c r="C764" t="s">
        <v>919</v>
      </c>
      <c r="D764" s="90" t="s">
        <v>543</v>
      </c>
      <c r="E764">
        <v>5</v>
      </c>
      <c r="F764" s="1"/>
      <c r="G764" s="61">
        <v>244</v>
      </c>
      <c r="H764" s="3" t="s">
        <v>920</v>
      </c>
      <c r="N764" s="45"/>
    </row>
    <row r="765" spans="2:14">
      <c r="B765" s="171"/>
      <c r="C765" t="s">
        <v>642</v>
      </c>
      <c r="D765" s="90" t="s">
        <v>639</v>
      </c>
      <c r="F765"/>
      <c r="H765" s="3" t="s">
        <v>920</v>
      </c>
      <c r="N765" s="45"/>
    </row>
    <row r="766" spans="2:14">
      <c r="B766" s="171"/>
      <c r="C766" t="s">
        <v>605</v>
      </c>
      <c r="D766" s="90" t="s">
        <v>569</v>
      </c>
      <c r="F766"/>
      <c r="H766" s="3" t="s">
        <v>552</v>
      </c>
      <c r="N766" s="45"/>
    </row>
    <row r="767" spans="2:14">
      <c r="B767" s="171"/>
      <c r="C767" t="s">
        <v>593</v>
      </c>
      <c r="D767" s="90" t="s">
        <v>561</v>
      </c>
      <c r="E767">
        <v>11</v>
      </c>
      <c r="F767"/>
      <c r="G767" s="61">
        <v>204</v>
      </c>
      <c r="H767" s="3" t="s">
        <v>547</v>
      </c>
      <c r="N767" s="45"/>
    </row>
    <row r="768" spans="2:14">
      <c r="B768" s="171"/>
      <c r="C768" t="s">
        <v>594</v>
      </c>
      <c r="D768" s="90"/>
      <c r="F768"/>
      <c r="H768" s="3"/>
      <c r="N768" s="45"/>
    </row>
    <row r="769" spans="2:14">
      <c r="B769" s="171"/>
      <c r="C769" t="s">
        <v>595</v>
      </c>
      <c r="D769" s="90"/>
      <c r="F769"/>
      <c r="H769" s="3"/>
      <c r="N769" s="45"/>
    </row>
    <row r="770" spans="2:14">
      <c r="B770" s="171"/>
      <c r="C770" t="s">
        <v>602</v>
      </c>
      <c r="D770" s="90" t="s">
        <v>561</v>
      </c>
      <c r="E770">
        <v>18</v>
      </c>
      <c r="F770" s="3">
        <v>1</v>
      </c>
      <c r="G770" s="61">
        <v>92.903999999999996</v>
      </c>
      <c r="H770" s="15" t="s">
        <v>552</v>
      </c>
      <c r="N770" s="45"/>
    </row>
    <row r="771" spans="2:14">
      <c r="B771" s="171"/>
      <c r="C771" t="s">
        <v>687</v>
      </c>
      <c r="D771" s="90" t="s">
        <v>543</v>
      </c>
      <c r="E771">
        <v>21</v>
      </c>
      <c r="G771" s="61">
        <v>81</v>
      </c>
      <c r="H771" s="15" t="s">
        <v>1793</v>
      </c>
      <c r="N771" s="45"/>
    </row>
    <row r="772" spans="2:14">
      <c r="B772" s="171"/>
      <c r="C772" t="s">
        <v>689</v>
      </c>
      <c r="D772" s="90" t="s">
        <v>543</v>
      </c>
      <c r="E772">
        <v>26</v>
      </c>
      <c r="G772" s="61">
        <v>383</v>
      </c>
      <c r="H772" s="15" t="s">
        <v>1794</v>
      </c>
      <c r="N772" s="45"/>
    </row>
    <row r="773" spans="2:14">
      <c r="B773" s="171"/>
      <c r="C773" t="s">
        <v>693</v>
      </c>
      <c r="D773" s="90" t="s">
        <v>569</v>
      </c>
      <c r="F773"/>
      <c r="H773" s="3" t="s">
        <v>694</v>
      </c>
      <c r="N773" s="45"/>
    </row>
    <row r="774" spans="2:14">
      <c r="B774" s="171"/>
      <c r="C774" t="s">
        <v>695</v>
      </c>
      <c r="D774" s="90" t="s">
        <v>569</v>
      </c>
      <c r="F774"/>
      <c r="H774" s="3" t="s">
        <v>696</v>
      </c>
      <c r="N774" s="45"/>
    </row>
    <row r="775" spans="2:14">
      <c r="B775" s="171"/>
      <c r="C775" t="s">
        <v>697</v>
      </c>
      <c r="D775" s="90" t="s">
        <v>569</v>
      </c>
      <c r="F775"/>
      <c r="H775" s="3" t="s">
        <v>698</v>
      </c>
      <c r="N775" s="45"/>
    </row>
    <row r="776" spans="2:14">
      <c r="B776" s="171"/>
      <c r="C776" t="s">
        <v>699</v>
      </c>
      <c r="D776" s="90" t="s">
        <v>569</v>
      </c>
      <c r="F776"/>
      <c r="H776" s="3" t="s">
        <v>700</v>
      </c>
      <c r="N776" s="45"/>
    </row>
    <row r="777" spans="2:14">
      <c r="B777" s="171"/>
      <c r="C777" t="s">
        <v>701</v>
      </c>
      <c r="D777" s="90" t="s">
        <v>569</v>
      </c>
      <c r="F777"/>
      <c r="H777" s="3" t="s">
        <v>702</v>
      </c>
      <c r="N777" s="45"/>
    </row>
    <row r="778" spans="2:14">
      <c r="B778" s="171"/>
      <c r="C778" t="s">
        <v>703</v>
      </c>
      <c r="D778" s="90" t="s">
        <v>569</v>
      </c>
      <c r="F778"/>
      <c r="H778" s="3" t="s">
        <v>704</v>
      </c>
      <c r="N778" s="45"/>
    </row>
    <row r="779" spans="2:14">
      <c r="B779" s="171"/>
      <c r="C779" t="s">
        <v>705</v>
      </c>
      <c r="D779" s="90" t="s">
        <v>569</v>
      </c>
      <c r="F779"/>
      <c r="H779" s="3" t="s">
        <v>706</v>
      </c>
      <c r="N779" s="45"/>
    </row>
    <row r="780" spans="2:14">
      <c r="B780" s="171"/>
      <c r="C780" t="s">
        <v>707</v>
      </c>
      <c r="D780" s="90" t="s">
        <v>569</v>
      </c>
      <c r="F780"/>
      <c r="H780" s="3" t="s">
        <v>708</v>
      </c>
      <c r="N780" s="45"/>
    </row>
    <row r="781" spans="2:14">
      <c r="B781" s="171"/>
      <c r="C781" t="s">
        <v>1745</v>
      </c>
      <c r="D781" s="90" t="s">
        <v>632</v>
      </c>
      <c r="N781" s="45"/>
    </row>
    <row r="782" spans="2:14">
      <c r="B782" s="171"/>
      <c r="C782" t="s">
        <v>1746</v>
      </c>
      <c r="D782" s="90" t="s">
        <v>632</v>
      </c>
      <c r="N782" s="45"/>
    </row>
    <row r="783" spans="2:14">
      <c r="B783" s="171"/>
      <c r="C783" t="s">
        <v>1747</v>
      </c>
      <c r="D783" s="90" t="s">
        <v>632</v>
      </c>
      <c r="N783" s="45"/>
    </row>
    <row r="784" spans="2:14">
      <c r="B784" s="171"/>
      <c r="C784" t="s">
        <v>1748</v>
      </c>
      <c r="D784" s="90" t="s">
        <v>632</v>
      </c>
      <c r="N784" s="45"/>
    </row>
    <row r="785" spans="2:14">
      <c r="B785" s="171"/>
      <c r="C785" t="s">
        <v>1749</v>
      </c>
      <c r="D785" s="90" t="s">
        <v>632</v>
      </c>
      <c r="N785" s="45"/>
    </row>
    <row r="786" spans="2:14">
      <c r="B786" s="171"/>
      <c r="C786" t="s">
        <v>1750</v>
      </c>
      <c r="D786" s="90" t="s">
        <v>632</v>
      </c>
      <c r="N786" s="45"/>
    </row>
    <row r="787" spans="2:14">
      <c r="B787" s="171"/>
      <c r="C787" t="s">
        <v>1751</v>
      </c>
      <c r="D787" s="90" t="s">
        <v>632</v>
      </c>
      <c r="N787" s="45"/>
    </row>
    <row r="788" spans="2:14">
      <c r="B788" s="171"/>
      <c r="C788" t="s">
        <v>1752</v>
      </c>
      <c r="D788" s="90" t="s">
        <v>632</v>
      </c>
      <c r="N788" s="45"/>
    </row>
    <row r="789" spans="2:14">
      <c r="B789" s="171"/>
      <c r="C789" t="s">
        <v>1753</v>
      </c>
      <c r="D789" s="90" t="s">
        <v>632</v>
      </c>
      <c r="N789" s="45"/>
    </row>
    <row r="790" spans="2:14">
      <c r="B790" s="171"/>
      <c r="C790" t="s">
        <v>1754</v>
      </c>
      <c r="D790" s="90" t="s">
        <v>632</v>
      </c>
      <c r="N790" s="45"/>
    </row>
    <row r="791" spans="2:14">
      <c r="B791" s="171"/>
      <c r="C791" s="54" t="s">
        <v>1755</v>
      </c>
      <c r="D791" s="90" t="s">
        <v>632</v>
      </c>
      <c r="N791" s="45"/>
    </row>
    <row r="792" spans="2:14">
      <c r="B792" s="171"/>
      <c r="C792" s="89" t="s">
        <v>938</v>
      </c>
      <c r="D792" s="90" t="s">
        <v>543</v>
      </c>
      <c r="E792">
        <v>41</v>
      </c>
      <c r="F792" s="1">
        <f>(1.05)/0.05+1</f>
        <v>22</v>
      </c>
      <c r="G792" s="235">
        <v>610</v>
      </c>
      <c r="H792" s="3" t="s">
        <v>1788</v>
      </c>
      <c r="N792" s="45"/>
    </row>
    <row r="793" spans="2:14">
      <c r="B793" s="171"/>
      <c r="C793" s="90" t="s">
        <v>613</v>
      </c>
      <c r="D793" s="90" t="s">
        <v>569</v>
      </c>
      <c r="F793"/>
      <c r="H793" s="3" t="s">
        <v>552</v>
      </c>
      <c r="N793" s="45"/>
    </row>
    <row r="794" spans="2:14">
      <c r="B794" s="171"/>
      <c r="C794" s="90" t="s">
        <v>626</v>
      </c>
      <c r="D794" s="90" t="s">
        <v>543</v>
      </c>
      <c r="E794">
        <v>42</v>
      </c>
      <c r="G794" s="61">
        <v>83</v>
      </c>
      <c r="H794" s="15" t="s">
        <v>552</v>
      </c>
      <c r="N794" s="45"/>
    </row>
    <row r="795" spans="2:14">
      <c r="B795" s="171"/>
      <c r="C795" s="90" t="s">
        <v>627</v>
      </c>
      <c r="D795" s="90" t="s">
        <v>569</v>
      </c>
      <c r="H795" s="15" t="s">
        <v>552</v>
      </c>
      <c r="N795" s="45"/>
    </row>
    <row r="796" spans="2:14">
      <c r="B796" s="171"/>
      <c r="C796" s="90" t="s">
        <v>631</v>
      </c>
      <c r="D796" s="90" t="s">
        <v>632</v>
      </c>
      <c r="N796" s="45"/>
    </row>
    <row r="797" spans="2:14">
      <c r="B797" s="171"/>
      <c r="C797" s="90" t="s">
        <v>942</v>
      </c>
      <c r="D797" s="90" t="s">
        <v>639</v>
      </c>
      <c r="F797"/>
      <c r="H797" s="3" t="s">
        <v>918</v>
      </c>
      <c r="N797" s="45"/>
    </row>
    <row r="798" spans="2:14">
      <c r="B798" s="171"/>
      <c r="C798" s="90" t="s">
        <v>943</v>
      </c>
      <c r="D798" s="90" t="s">
        <v>543</v>
      </c>
      <c r="E798">
        <v>101</v>
      </c>
      <c r="F798" s="1">
        <v>11</v>
      </c>
      <c r="G798" s="61">
        <f>31.5*F798+44</f>
        <v>390.5</v>
      </c>
      <c r="H798" s="3" t="s">
        <v>920</v>
      </c>
      <c r="N798" s="45"/>
    </row>
    <row r="799" spans="2:14">
      <c r="B799" s="171"/>
      <c r="C799" s="90" t="s">
        <v>654</v>
      </c>
      <c r="D799" s="90" t="s">
        <v>639</v>
      </c>
      <c r="F799"/>
      <c r="H799" s="3" t="s">
        <v>920</v>
      </c>
      <c r="N799" s="45"/>
    </row>
    <row r="800" spans="2:14">
      <c r="B800" s="171"/>
      <c r="C800" s="90" t="s">
        <v>667</v>
      </c>
      <c r="D800" s="90" t="s">
        <v>632</v>
      </c>
      <c r="F800"/>
      <c r="H800" s="3"/>
      <c r="N800" s="45"/>
    </row>
    <row r="801" spans="1:16">
      <c r="B801" s="171"/>
      <c r="C801" s="90" t="s">
        <v>721</v>
      </c>
      <c r="D801" s="90" t="s">
        <v>543</v>
      </c>
      <c r="E801">
        <v>109</v>
      </c>
      <c r="F801" s="1">
        <v>2</v>
      </c>
      <c r="G801" s="235">
        <v>120</v>
      </c>
      <c r="H801" s="3" t="s">
        <v>1796</v>
      </c>
      <c r="N801" s="45"/>
    </row>
    <row r="802" spans="1:16">
      <c r="B802" s="171"/>
      <c r="C802" s="90" t="s">
        <v>726</v>
      </c>
      <c r="D802" s="90" t="s">
        <v>569</v>
      </c>
      <c r="F802"/>
      <c r="H802" s="3" t="s">
        <v>727</v>
      </c>
      <c r="N802" s="45"/>
    </row>
    <row r="803" spans="1:16">
      <c r="B803" s="172"/>
      <c r="C803" s="117" t="s">
        <v>728</v>
      </c>
      <c r="D803" s="117" t="s">
        <v>569</v>
      </c>
      <c r="E803" s="54"/>
      <c r="F803" s="54"/>
      <c r="G803" s="85"/>
      <c r="H803" s="91" t="s">
        <v>718</v>
      </c>
      <c r="I803" s="86"/>
      <c r="J803" s="86"/>
      <c r="K803" s="86"/>
      <c r="L803" s="86"/>
      <c r="M803" s="91"/>
      <c r="N803" s="46"/>
    </row>
    <row r="805" spans="1:16">
      <c r="G805" s="235">
        <f>SUM(G759:G803)</f>
        <v>3201.7903999999999</v>
      </c>
    </row>
    <row r="808" spans="1:16" s="15" customFormat="1">
      <c r="A808"/>
      <c r="B808" s="170" t="s">
        <v>1797</v>
      </c>
      <c r="C808" s="89" t="s">
        <v>1798</v>
      </c>
      <c r="D808" s="89" t="s">
        <v>543</v>
      </c>
      <c r="E808" s="53"/>
      <c r="F808" s="88"/>
      <c r="G808" s="82">
        <v>910</v>
      </c>
      <c r="H808" s="236" t="s">
        <v>1787</v>
      </c>
      <c r="M808" s="3"/>
      <c r="N808"/>
      <c r="O808"/>
      <c r="P808"/>
    </row>
    <row r="809" spans="1:16" s="15" customFormat="1">
      <c r="A809"/>
      <c r="B809" s="171"/>
      <c r="C809" s="90" t="s">
        <v>1799</v>
      </c>
      <c r="D809" s="90" t="s">
        <v>639</v>
      </c>
      <c r="E809"/>
      <c r="F809"/>
      <c r="G809" s="61"/>
      <c r="H809" s="56" t="s">
        <v>1788</v>
      </c>
      <c r="M809" s="3"/>
      <c r="N809"/>
      <c r="O809"/>
      <c r="P809"/>
    </row>
    <row r="810" spans="1:16" s="15" customFormat="1">
      <c r="A810"/>
      <c r="B810" s="171"/>
      <c r="C810" s="90" t="s">
        <v>1800</v>
      </c>
      <c r="D810" s="90" t="s">
        <v>543</v>
      </c>
      <c r="E810"/>
      <c r="F810" s="1"/>
      <c r="G810" s="61">
        <v>244</v>
      </c>
      <c r="H810" s="56" t="s">
        <v>920</v>
      </c>
      <c r="M810" s="3"/>
      <c r="N810"/>
      <c r="O810"/>
      <c r="P810"/>
    </row>
    <row r="811" spans="1:16" s="15" customFormat="1">
      <c r="A811"/>
      <c r="B811" s="171"/>
      <c r="C811" s="90" t="s">
        <v>1801</v>
      </c>
      <c r="D811" s="90" t="s">
        <v>639</v>
      </c>
      <c r="E811"/>
      <c r="F811"/>
      <c r="G811" s="61"/>
      <c r="H811" s="56" t="s">
        <v>920</v>
      </c>
      <c r="M811" s="3"/>
      <c r="N811"/>
      <c r="O811"/>
      <c r="P811"/>
    </row>
    <row r="812" spans="1:16" s="15" customFormat="1">
      <c r="A812"/>
      <c r="B812" s="171"/>
      <c r="C812" s="47" t="s">
        <v>1802</v>
      </c>
      <c r="D812" t="s">
        <v>543</v>
      </c>
      <c r="E812"/>
      <c r="F812" s="3"/>
      <c r="G812" s="61">
        <v>86</v>
      </c>
      <c r="H812" s="237" t="s">
        <v>965</v>
      </c>
      <c r="M812" s="3"/>
      <c r="N812"/>
      <c r="O812"/>
      <c r="P812"/>
    </row>
    <row r="813" spans="1:16" s="15" customFormat="1">
      <c r="A813"/>
      <c r="B813" s="171"/>
      <c r="C813" s="47" t="s">
        <v>1803</v>
      </c>
      <c r="D813" t="s">
        <v>569</v>
      </c>
      <c r="E813"/>
      <c r="F813" s="3"/>
      <c r="G813" s="61"/>
      <c r="H813" s="237"/>
      <c r="M813" s="3"/>
      <c r="N813"/>
      <c r="O813"/>
      <c r="P813"/>
    </row>
    <row r="814" spans="1:16" s="15" customFormat="1">
      <c r="A814"/>
      <c r="B814" s="171"/>
      <c r="C814" s="47" t="s">
        <v>1804</v>
      </c>
      <c r="D814" t="s">
        <v>569</v>
      </c>
      <c r="E814"/>
      <c r="F814" s="3"/>
      <c r="G814" s="61"/>
      <c r="H814" s="237"/>
      <c r="M814" s="3"/>
      <c r="N814"/>
      <c r="O814"/>
      <c r="P814"/>
    </row>
    <row r="815" spans="1:16" s="15" customFormat="1">
      <c r="A815"/>
      <c r="B815" s="171"/>
      <c r="C815" s="47" t="s">
        <v>1805</v>
      </c>
      <c r="D815" t="s">
        <v>569</v>
      </c>
      <c r="E815"/>
      <c r="F815" s="3"/>
      <c r="G815" s="61"/>
      <c r="H815" s="237"/>
      <c r="M815" s="3"/>
      <c r="N815"/>
      <c r="O815"/>
      <c r="P815"/>
    </row>
    <row r="816" spans="1:16" s="15" customFormat="1">
      <c r="A816"/>
      <c r="B816" s="172"/>
      <c r="C816" s="48" t="s">
        <v>1806</v>
      </c>
      <c r="D816" s="54" t="s">
        <v>569</v>
      </c>
      <c r="E816" s="54"/>
      <c r="F816" s="91"/>
      <c r="G816" s="85"/>
      <c r="H816" s="238"/>
      <c r="M816" s="3"/>
      <c r="N816"/>
      <c r="O816"/>
      <c r="P816"/>
    </row>
    <row r="818" spans="2:13">
      <c r="B818" s="63" t="s">
        <v>1935</v>
      </c>
      <c r="C818" s="13"/>
      <c r="D818" s="53"/>
      <c r="E818" s="53"/>
      <c r="F818" s="53"/>
      <c r="G818" s="82"/>
      <c r="H818" s="88"/>
      <c r="I818" s="88"/>
      <c r="J818" s="83"/>
      <c r="K818" s="83"/>
      <c r="L818" s="83"/>
      <c r="M818" s="55"/>
    </row>
    <row r="819" spans="2:13">
      <c r="B819" s="66"/>
      <c r="C819" s="47" t="s">
        <v>743</v>
      </c>
      <c r="D819" t="s">
        <v>543</v>
      </c>
      <c r="F819">
        <v>2</v>
      </c>
      <c r="H819" s="3" t="s">
        <v>1936</v>
      </c>
      <c r="I819" s="3" t="s">
        <v>599</v>
      </c>
      <c r="J819" s="15" t="s">
        <v>546</v>
      </c>
      <c r="K819" s="15" t="s">
        <v>547</v>
      </c>
      <c r="L819" s="15" t="s">
        <v>546</v>
      </c>
      <c r="M819" s="56"/>
    </row>
    <row r="820" spans="2:13">
      <c r="B820" s="66"/>
      <c r="C820" s="47" t="s">
        <v>744</v>
      </c>
      <c r="D820" t="s">
        <v>543</v>
      </c>
      <c r="F820">
        <v>2</v>
      </c>
      <c r="H820" s="3" t="s">
        <v>1936</v>
      </c>
      <c r="I820" s="3" t="s">
        <v>745</v>
      </c>
      <c r="J820" s="15" t="s">
        <v>546</v>
      </c>
      <c r="K820" s="15" t="s">
        <v>547</v>
      </c>
      <c r="L820" s="15" t="s">
        <v>546</v>
      </c>
      <c r="M820" s="56"/>
    </row>
    <row r="821" spans="2:13">
      <c r="B821" s="66"/>
      <c r="C821" s="47" t="s">
        <v>746</v>
      </c>
      <c r="D821" t="s">
        <v>543</v>
      </c>
      <c r="F821">
        <f t="shared" ref="F821" si="1">0.2/0.05+1</f>
        <v>5</v>
      </c>
      <c r="H821" s="3" t="s">
        <v>1937</v>
      </c>
      <c r="I821" s="3" t="s">
        <v>550</v>
      </c>
      <c r="J821" s="15" t="s">
        <v>546</v>
      </c>
      <c r="K821" s="15" t="s">
        <v>547</v>
      </c>
      <c r="L821" s="15" t="s">
        <v>546</v>
      </c>
      <c r="M821" s="56"/>
    </row>
    <row r="822" spans="2:13">
      <c r="B822" s="66"/>
      <c r="C822" s="47" t="s">
        <v>747</v>
      </c>
      <c r="D822" t="s">
        <v>543</v>
      </c>
      <c r="F822">
        <v>2</v>
      </c>
      <c r="H822" s="3" t="s">
        <v>1938</v>
      </c>
      <c r="I822" s="3" t="s">
        <v>748</v>
      </c>
      <c r="J822" s="15" t="s">
        <v>546</v>
      </c>
      <c r="K822" s="15" t="s">
        <v>547</v>
      </c>
      <c r="L822" s="15" t="s">
        <v>546</v>
      </c>
      <c r="M822" s="56"/>
    </row>
    <row r="823" spans="2:13">
      <c r="B823" s="66"/>
      <c r="C823" s="47" t="s">
        <v>749</v>
      </c>
      <c r="D823" t="s">
        <v>543</v>
      </c>
      <c r="F823">
        <v>2</v>
      </c>
      <c r="H823" s="3" t="s">
        <v>1938</v>
      </c>
      <c r="I823" s="3" t="s">
        <v>620</v>
      </c>
      <c r="J823" s="15" t="s">
        <v>546</v>
      </c>
      <c r="K823" s="15" t="s">
        <v>547</v>
      </c>
      <c r="L823" s="15" t="s">
        <v>546</v>
      </c>
      <c r="M823" s="56"/>
    </row>
    <row r="824" spans="2:13">
      <c r="B824" s="66"/>
      <c r="C824" s="47" t="s">
        <v>1939</v>
      </c>
      <c r="D824" t="s">
        <v>569</v>
      </c>
      <c r="F824"/>
      <c r="H824" s="3" t="s">
        <v>1940</v>
      </c>
      <c r="I824" s="3" t="s">
        <v>599</v>
      </c>
      <c r="K824" s="15" t="s">
        <v>547</v>
      </c>
      <c r="M824" s="56"/>
    </row>
    <row r="825" spans="2:13">
      <c r="B825" s="66"/>
      <c r="C825" s="47" t="s">
        <v>762</v>
      </c>
      <c r="D825" t="s">
        <v>569</v>
      </c>
      <c r="F825"/>
      <c r="H825" s="3" t="s">
        <v>682</v>
      </c>
      <c r="I825" s="3" t="s">
        <v>599</v>
      </c>
      <c r="K825" s="15" t="s">
        <v>547</v>
      </c>
      <c r="M825" s="56"/>
    </row>
    <row r="826" spans="2:13">
      <c r="B826" s="66"/>
      <c r="C826" s="47" t="s">
        <v>1941</v>
      </c>
      <c r="D826" t="s">
        <v>569</v>
      </c>
      <c r="F826"/>
      <c r="H826" s="3" t="s">
        <v>1940</v>
      </c>
      <c r="I826" s="3" t="s">
        <v>745</v>
      </c>
      <c r="K826" s="15" t="s">
        <v>547</v>
      </c>
      <c r="M826" s="56"/>
    </row>
    <row r="827" spans="2:13">
      <c r="B827" s="66"/>
      <c r="C827" s="47" t="s">
        <v>767</v>
      </c>
      <c r="D827" t="s">
        <v>569</v>
      </c>
      <c r="F827"/>
      <c r="H827" s="3" t="s">
        <v>682</v>
      </c>
      <c r="I827" s="3" t="s">
        <v>745</v>
      </c>
      <c r="K827" s="15" t="s">
        <v>547</v>
      </c>
      <c r="M827" s="56"/>
    </row>
    <row r="828" spans="2:13">
      <c r="B828" s="66"/>
      <c r="C828" s="47" t="s">
        <v>1942</v>
      </c>
      <c r="D828" t="s">
        <v>569</v>
      </c>
      <c r="F828"/>
      <c r="H828" s="3" t="s">
        <v>1943</v>
      </c>
      <c r="I828" s="3" t="s">
        <v>550</v>
      </c>
      <c r="K828" s="15" t="s">
        <v>547</v>
      </c>
      <c r="M828" s="56"/>
    </row>
    <row r="829" spans="2:13">
      <c r="B829" s="66"/>
      <c r="C829" s="47" t="s">
        <v>1944</v>
      </c>
      <c r="D829" t="s">
        <v>569</v>
      </c>
      <c r="F829"/>
      <c r="H829" s="3" t="s">
        <v>1940</v>
      </c>
      <c r="I829" s="3" t="s">
        <v>550</v>
      </c>
      <c r="K829" s="15" t="s">
        <v>547</v>
      </c>
      <c r="M829" s="56"/>
    </row>
    <row r="830" spans="2:13">
      <c r="B830" s="66"/>
      <c r="C830" s="47" t="s">
        <v>770</v>
      </c>
      <c r="D830" t="s">
        <v>569</v>
      </c>
      <c r="F830"/>
      <c r="H830" s="3" t="s">
        <v>752</v>
      </c>
      <c r="I830" s="3" t="s">
        <v>550</v>
      </c>
      <c r="K830" s="15" t="s">
        <v>547</v>
      </c>
      <c r="M830" s="56"/>
    </row>
    <row r="831" spans="2:13">
      <c r="B831" s="66"/>
      <c r="C831" s="47" t="s">
        <v>771</v>
      </c>
      <c r="D831" t="s">
        <v>569</v>
      </c>
      <c r="F831"/>
      <c r="H831" s="3" t="s">
        <v>754</v>
      </c>
      <c r="I831" s="3" t="s">
        <v>550</v>
      </c>
      <c r="K831" s="15" t="s">
        <v>547</v>
      </c>
      <c r="M831" s="56"/>
    </row>
    <row r="832" spans="2:13">
      <c r="B832" s="66"/>
      <c r="C832" s="47" t="s">
        <v>772</v>
      </c>
      <c r="D832" t="s">
        <v>569</v>
      </c>
      <c r="F832"/>
      <c r="H832" s="3" t="s">
        <v>682</v>
      </c>
      <c r="I832" s="3" t="s">
        <v>550</v>
      </c>
      <c r="K832" s="15" t="s">
        <v>547</v>
      </c>
      <c r="M832" s="56"/>
    </row>
    <row r="833" spans="2:13">
      <c r="B833" s="66"/>
      <c r="C833" s="47" t="s">
        <v>773</v>
      </c>
      <c r="D833" t="s">
        <v>569</v>
      </c>
      <c r="F833"/>
      <c r="H833" s="3" t="s">
        <v>757</v>
      </c>
      <c r="I833" s="3" t="s">
        <v>550</v>
      </c>
      <c r="K833" s="15" t="s">
        <v>547</v>
      </c>
      <c r="M833" s="56"/>
    </row>
    <row r="834" spans="2:13">
      <c r="B834" s="66"/>
      <c r="C834" s="47" t="s">
        <v>1945</v>
      </c>
      <c r="D834" t="s">
        <v>569</v>
      </c>
      <c r="F834"/>
      <c r="H834" s="3" t="s">
        <v>1940</v>
      </c>
      <c r="I834" s="3" t="s">
        <v>748</v>
      </c>
      <c r="K834" s="15" t="s">
        <v>547</v>
      </c>
      <c r="M834" s="56"/>
    </row>
    <row r="835" spans="2:13">
      <c r="B835" s="66"/>
      <c r="C835" s="47" t="s">
        <v>777</v>
      </c>
      <c r="D835" t="s">
        <v>569</v>
      </c>
      <c r="F835"/>
      <c r="H835" s="3" t="s">
        <v>682</v>
      </c>
      <c r="I835" s="3" t="s">
        <v>748</v>
      </c>
      <c r="K835" s="15" t="s">
        <v>547</v>
      </c>
      <c r="M835" s="56"/>
    </row>
    <row r="836" spans="2:13">
      <c r="B836" s="66"/>
      <c r="C836" s="47" t="s">
        <v>1946</v>
      </c>
      <c r="D836" t="s">
        <v>569</v>
      </c>
      <c r="F836"/>
      <c r="H836" s="3" t="s">
        <v>1940</v>
      </c>
      <c r="I836" s="3" t="s">
        <v>620</v>
      </c>
      <c r="K836" s="15" t="s">
        <v>547</v>
      </c>
      <c r="M836" s="56"/>
    </row>
    <row r="837" spans="2:13">
      <c r="B837" s="66"/>
      <c r="C837" s="47" t="s">
        <v>782</v>
      </c>
      <c r="D837" t="s">
        <v>569</v>
      </c>
      <c r="F837"/>
      <c r="H837" s="3" t="s">
        <v>682</v>
      </c>
      <c r="I837" s="3" t="s">
        <v>620</v>
      </c>
      <c r="K837" s="15" t="s">
        <v>547</v>
      </c>
      <c r="M837" s="56"/>
    </row>
    <row r="838" spans="2:13">
      <c r="B838" s="66"/>
      <c r="C838" s="47" t="s">
        <v>1947</v>
      </c>
      <c r="D838" t="s">
        <v>632</v>
      </c>
      <c r="F838"/>
      <c r="H838" s="3"/>
      <c r="I838" s="3"/>
      <c r="M838" s="56"/>
    </row>
    <row r="839" spans="2:13">
      <c r="B839" s="66"/>
      <c r="C839" s="47" t="s">
        <v>1948</v>
      </c>
      <c r="D839" t="s">
        <v>632</v>
      </c>
      <c r="F839"/>
      <c r="H839" s="3"/>
      <c r="I839" s="3"/>
      <c r="M839" s="56"/>
    </row>
    <row r="840" spans="2:13">
      <c r="B840" s="66"/>
      <c r="C840" s="47" t="s">
        <v>1949</v>
      </c>
      <c r="D840" t="s">
        <v>632</v>
      </c>
      <c r="F840"/>
      <c r="M840" s="56"/>
    </row>
    <row r="841" spans="2:13">
      <c r="B841" s="66"/>
      <c r="C841" s="47" t="s">
        <v>1950</v>
      </c>
      <c r="D841" t="s">
        <v>632</v>
      </c>
      <c r="F841"/>
      <c r="M841" s="56"/>
    </row>
    <row r="842" spans="2:13">
      <c r="B842" s="66"/>
      <c r="C842" s="47" t="s">
        <v>1951</v>
      </c>
      <c r="D842" t="s">
        <v>632</v>
      </c>
      <c r="F842"/>
      <c r="M842" s="56"/>
    </row>
    <row r="843" spans="2:13">
      <c r="B843" s="66"/>
      <c r="C843" s="47" t="s">
        <v>810</v>
      </c>
      <c r="D843" t="s">
        <v>632</v>
      </c>
      <c r="F843"/>
      <c r="H843" s="3"/>
      <c r="I843" s="3"/>
      <c r="M843" s="56"/>
    </row>
    <row r="844" spans="2:13">
      <c r="B844" s="66"/>
      <c r="C844" s="47" t="s">
        <v>1768</v>
      </c>
      <c r="D844" t="s">
        <v>632</v>
      </c>
      <c r="F844"/>
      <c r="H844" s="3"/>
      <c r="I844" s="3"/>
      <c r="M844" s="56"/>
    </row>
    <row r="845" spans="2:13">
      <c r="B845" s="66"/>
      <c r="C845" s="47" t="s">
        <v>1769</v>
      </c>
      <c r="D845" t="s">
        <v>632</v>
      </c>
      <c r="F845"/>
      <c r="M845" s="56"/>
    </row>
    <row r="846" spans="2:13">
      <c r="B846" s="66"/>
      <c r="C846" s="47" t="s">
        <v>813</v>
      </c>
      <c r="D846" t="s">
        <v>632</v>
      </c>
      <c r="F846"/>
      <c r="M846" s="56"/>
    </row>
    <row r="847" spans="2:13">
      <c r="B847" s="64"/>
      <c r="C847" s="48" t="s">
        <v>1770</v>
      </c>
      <c r="D847" s="54" t="s">
        <v>632</v>
      </c>
      <c r="E847" s="54"/>
      <c r="F847" s="54"/>
      <c r="G847" s="85"/>
      <c r="H847" s="86"/>
      <c r="I847" s="86"/>
      <c r="J847" s="86"/>
      <c r="K847" s="86"/>
      <c r="L847" s="86"/>
      <c r="M847" s="57"/>
    </row>
    <row r="848" spans="2:13">
      <c r="G848" s="61" t="s">
        <v>1952</v>
      </c>
    </row>
  </sheetData>
  <autoFilter ref="A1:M488" xr:uid="{D1BD0F84-301E-4C1F-9F5F-D6FE45716E44}"/>
  <mergeCells count="20">
    <mergeCell ref="B671:B675"/>
    <mergeCell ref="A445:A455"/>
    <mergeCell ref="B445:B455"/>
    <mergeCell ref="A499:A507"/>
    <mergeCell ref="B502:B507"/>
    <mergeCell ref="B637:B639"/>
    <mergeCell ref="B641:B643"/>
    <mergeCell ref="B645:B646"/>
    <mergeCell ref="B648:B649"/>
    <mergeCell ref="B662:B663"/>
    <mergeCell ref="B665:B666"/>
    <mergeCell ref="B668:B669"/>
    <mergeCell ref="B518:B519"/>
    <mergeCell ref="B703:B704"/>
    <mergeCell ref="B677:B678"/>
    <mergeCell ref="B680:B681"/>
    <mergeCell ref="B683:B686"/>
    <mergeCell ref="B688:B692"/>
    <mergeCell ref="B697:B698"/>
    <mergeCell ref="B700:B701"/>
  </mergeCells>
  <phoneticPr fontId="16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342CF-B059-4F8A-BEE6-6CB2AB2065B5}">
  <sheetPr>
    <tabColor theme="4"/>
  </sheetPr>
  <dimension ref="A1:J57"/>
  <sheetViews>
    <sheetView topLeftCell="A22" workbookViewId="0">
      <selection activeCell="F38" sqref="F38"/>
    </sheetView>
  </sheetViews>
  <sheetFormatPr defaultRowHeight="14.25"/>
  <cols>
    <col min="1" max="1" width="29.42578125" customWidth="1"/>
    <col min="9" max="10" width="33.7109375" customWidth="1"/>
  </cols>
  <sheetData>
    <row r="1" spans="1:10">
      <c r="A1" t="s">
        <v>1953</v>
      </c>
      <c r="B1" t="s">
        <v>1954</v>
      </c>
      <c r="I1" t="s">
        <v>1953</v>
      </c>
      <c r="J1" t="s">
        <v>1954</v>
      </c>
    </row>
    <row r="2" spans="1:10">
      <c r="A2" t="s">
        <v>642</v>
      </c>
      <c r="B2" t="s">
        <v>915</v>
      </c>
      <c r="I2" s="13" t="s">
        <v>642</v>
      </c>
      <c r="J2" s="53" t="s">
        <v>915</v>
      </c>
    </row>
    <row r="3" spans="1:10">
      <c r="A3" t="s">
        <v>641</v>
      </c>
      <c r="B3" t="s">
        <v>557</v>
      </c>
      <c r="I3" s="13" t="s">
        <v>641</v>
      </c>
      <c r="J3" s="47" t="s">
        <v>557</v>
      </c>
    </row>
    <row r="4" spans="1:10">
      <c r="A4" t="s">
        <v>933</v>
      </c>
      <c r="B4" t="s">
        <v>636</v>
      </c>
      <c r="I4" s="47" t="s">
        <v>933</v>
      </c>
      <c r="J4" s="90" t="s">
        <v>636</v>
      </c>
    </row>
    <row r="5" spans="1:10">
      <c r="A5" t="s">
        <v>605</v>
      </c>
      <c r="B5" t="s">
        <v>637</v>
      </c>
      <c r="I5" s="47" t="s">
        <v>605</v>
      </c>
      <c r="J5" s="90" t="s">
        <v>637</v>
      </c>
    </row>
    <row r="6" spans="1:10">
      <c r="A6" t="s">
        <v>1360</v>
      </c>
      <c r="B6" t="s">
        <v>917</v>
      </c>
      <c r="I6" s="47" t="s">
        <v>1360</v>
      </c>
      <c r="J6" t="s">
        <v>917</v>
      </c>
    </row>
    <row r="7" spans="1:10">
      <c r="A7" t="s">
        <v>970</v>
      </c>
      <c r="B7" t="s">
        <v>919</v>
      </c>
      <c r="I7" s="47" t="s">
        <v>970</v>
      </c>
      <c r="J7" t="s">
        <v>919</v>
      </c>
    </row>
    <row r="8" spans="1:10">
      <c r="A8" t="s">
        <v>1529</v>
      </c>
      <c r="B8" t="s">
        <v>642</v>
      </c>
      <c r="I8" s="47" t="s">
        <v>1529</v>
      </c>
      <c r="J8" t="s">
        <v>642</v>
      </c>
    </row>
    <row r="9" spans="1:10">
      <c r="A9" t="s">
        <v>579</v>
      </c>
      <c r="B9" t="s">
        <v>605</v>
      </c>
      <c r="I9" s="47" t="s">
        <v>579</v>
      </c>
      <c r="J9" t="s">
        <v>605</v>
      </c>
    </row>
    <row r="10" spans="1:10">
      <c r="A10" t="s">
        <v>1349</v>
      </c>
      <c r="B10" t="s">
        <v>593</v>
      </c>
      <c r="I10" s="47" t="s">
        <v>1349</v>
      </c>
      <c r="J10" t="s">
        <v>593</v>
      </c>
    </row>
    <row r="11" spans="1:10">
      <c r="A11" t="s">
        <v>593</v>
      </c>
      <c r="B11" t="s">
        <v>594</v>
      </c>
      <c r="I11" s="47" t="s">
        <v>593</v>
      </c>
      <c r="J11" t="s">
        <v>594</v>
      </c>
    </row>
    <row r="12" spans="1:10">
      <c r="A12" t="s">
        <v>594</v>
      </c>
      <c r="B12" t="s">
        <v>595</v>
      </c>
      <c r="I12" s="47" t="s">
        <v>594</v>
      </c>
      <c r="J12" t="s">
        <v>595</v>
      </c>
    </row>
    <row r="13" spans="1:10">
      <c r="A13" t="s">
        <v>595</v>
      </c>
      <c r="B13" t="s">
        <v>602</v>
      </c>
      <c r="I13" s="47" t="s">
        <v>595</v>
      </c>
      <c r="J13" t="s">
        <v>602</v>
      </c>
    </row>
    <row r="14" spans="1:10">
      <c r="A14" t="s">
        <v>613</v>
      </c>
      <c r="B14" t="s">
        <v>687</v>
      </c>
      <c r="I14" s="47" t="s">
        <v>613</v>
      </c>
      <c r="J14" t="s">
        <v>687</v>
      </c>
    </row>
    <row r="15" spans="1:10">
      <c r="A15" t="s">
        <v>1363</v>
      </c>
      <c r="B15" t="s">
        <v>689</v>
      </c>
      <c r="I15" s="47" t="s">
        <v>1363</v>
      </c>
      <c r="J15" t="s">
        <v>689</v>
      </c>
    </row>
    <row r="16" spans="1:10">
      <c r="A16" t="s">
        <v>1375</v>
      </c>
      <c r="B16" t="s">
        <v>693</v>
      </c>
      <c r="I16" s="47" t="s">
        <v>1375</v>
      </c>
      <c r="J16" t="s">
        <v>693</v>
      </c>
    </row>
    <row r="17" spans="1:10">
      <c r="A17" t="s">
        <v>631</v>
      </c>
      <c r="B17" t="s">
        <v>695</v>
      </c>
      <c r="I17" s="47" t="s">
        <v>631</v>
      </c>
      <c r="J17" t="s">
        <v>695</v>
      </c>
    </row>
    <row r="18" spans="1:10">
      <c r="A18" t="s">
        <v>1784</v>
      </c>
      <c r="B18" t="s">
        <v>697</v>
      </c>
      <c r="I18" s="47" t="s">
        <v>1784</v>
      </c>
      <c r="J18" t="s">
        <v>697</v>
      </c>
    </row>
    <row r="19" spans="1:10">
      <c r="A19" t="s">
        <v>654</v>
      </c>
      <c r="B19" t="s">
        <v>699</v>
      </c>
      <c r="I19" s="47" t="s">
        <v>654</v>
      </c>
      <c r="J19" t="s">
        <v>699</v>
      </c>
    </row>
    <row r="20" spans="1:10">
      <c r="A20" t="s">
        <v>653</v>
      </c>
      <c r="B20" t="s">
        <v>701</v>
      </c>
      <c r="I20" s="47" t="s">
        <v>653</v>
      </c>
      <c r="J20" t="s">
        <v>701</v>
      </c>
    </row>
    <row r="21" spans="1:10">
      <c r="A21" t="s">
        <v>1785</v>
      </c>
      <c r="B21" t="s">
        <v>703</v>
      </c>
      <c r="I21" s="47" t="s">
        <v>1785</v>
      </c>
      <c r="J21" t="s">
        <v>703</v>
      </c>
    </row>
    <row r="22" spans="1:10">
      <c r="A22" t="s">
        <v>951</v>
      </c>
      <c r="B22" t="s">
        <v>705</v>
      </c>
      <c r="E22" s="117" t="s">
        <v>728</v>
      </c>
      <c r="F22" s="117" t="s">
        <v>728</v>
      </c>
      <c r="I22" s="47" t="s">
        <v>951</v>
      </c>
      <c r="J22" t="s">
        <v>705</v>
      </c>
    </row>
    <row r="23" spans="1:10">
      <c r="A23" t="s">
        <v>667</v>
      </c>
      <c r="B23" t="s">
        <v>707</v>
      </c>
      <c r="I23" s="47" t="s">
        <v>667</v>
      </c>
      <c r="J23" t="s">
        <v>707</v>
      </c>
    </row>
    <row r="24" spans="1:10">
      <c r="A24" t="s">
        <v>693</v>
      </c>
      <c r="B24" t="s">
        <v>1745</v>
      </c>
      <c r="I24" s="47" t="s">
        <v>693</v>
      </c>
      <c r="J24" t="s">
        <v>1745</v>
      </c>
    </row>
    <row r="25" spans="1:10">
      <c r="A25" t="s">
        <v>1396</v>
      </c>
      <c r="B25" t="s">
        <v>1746</v>
      </c>
      <c r="I25" s="47" t="s">
        <v>1396</v>
      </c>
      <c r="J25" t="s">
        <v>1746</v>
      </c>
    </row>
    <row r="26" spans="1:10">
      <c r="A26" t="s">
        <v>695</v>
      </c>
      <c r="B26" t="s">
        <v>1747</v>
      </c>
      <c r="I26" s="47" t="s">
        <v>695</v>
      </c>
      <c r="J26" t="s">
        <v>1747</v>
      </c>
    </row>
    <row r="27" spans="1:10">
      <c r="A27" t="s">
        <v>1398</v>
      </c>
      <c r="B27" t="s">
        <v>1748</v>
      </c>
      <c r="I27" s="47" t="s">
        <v>1398</v>
      </c>
      <c r="J27" t="s">
        <v>1748</v>
      </c>
    </row>
    <row r="28" spans="1:10">
      <c r="A28" t="s">
        <v>697</v>
      </c>
      <c r="B28" t="s">
        <v>1749</v>
      </c>
      <c r="I28" s="47" t="s">
        <v>697</v>
      </c>
      <c r="J28" t="s">
        <v>1749</v>
      </c>
    </row>
    <row r="29" spans="1:10">
      <c r="A29" t="s">
        <v>1400</v>
      </c>
      <c r="B29" t="s">
        <v>1750</v>
      </c>
      <c r="I29" s="47" t="s">
        <v>1400</v>
      </c>
      <c r="J29" t="s">
        <v>1750</v>
      </c>
    </row>
    <row r="30" spans="1:10">
      <c r="A30" t="s">
        <v>699</v>
      </c>
      <c r="B30" t="s">
        <v>1751</v>
      </c>
      <c r="I30" s="47" t="s">
        <v>699</v>
      </c>
      <c r="J30" t="s">
        <v>1751</v>
      </c>
    </row>
    <row r="31" spans="1:10">
      <c r="A31" t="s">
        <v>1530</v>
      </c>
      <c r="B31" t="s">
        <v>1752</v>
      </c>
      <c r="I31" s="47" t="s">
        <v>1530</v>
      </c>
      <c r="J31" t="s">
        <v>1752</v>
      </c>
    </row>
    <row r="32" spans="1:10">
      <c r="A32" t="s">
        <v>701</v>
      </c>
      <c r="B32" t="s">
        <v>1753</v>
      </c>
      <c r="I32" s="47" t="s">
        <v>701</v>
      </c>
      <c r="J32" t="s">
        <v>1753</v>
      </c>
    </row>
    <row r="33" spans="1:10">
      <c r="A33" t="s">
        <v>1531</v>
      </c>
      <c r="B33" t="s">
        <v>1754</v>
      </c>
      <c r="I33" s="47" t="s">
        <v>1531</v>
      </c>
      <c r="J33" t="s">
        <v>1754</v>
      </c>
    </row>
    <row r="34" spans="1:10">
      <c r="A34" t="s">
        <v>703</v>
      </c>
      <c r="B34" t="s">
        <v>1755</v>
      </c>
      <c r="I34" s="47" t="s">
        <v>703</v>
      </c>
      <c r="J34" s="54" t="s">
        <v>1755</v>
      </c>
    </row>
    <row r="35" spans="1:10">
      <c r="A35" t="s">
        <v>1532</v>
      </c>
      <c r="B35" t="s">
        <v>938</v>
      </c>
      <c r="I35" s="47" t="s">
        <v>1532</v>
      </c>
      <c r="J35" s="89" t="s">
        <v>938</v>
      </c>
    </row>
    <row r="36" spans="1:10">
      <c r="A36" t="s">
        <v>705</v>
      </c>
      <c r="B36" t="s">
        <v>613</v>
      </c>
      <c r="I36" s="47" t="s">
        <v>705</v>
      </c>
      <c r="J36" s="90" t="s">
        <v>613</v>
      </c>
    </row>
    <row r="37" spans="1:10">
      <c r="A37" t="s">
        <v>1533</v>
      </c>
      <c r="B37" t="s">
        <v>626</v>
      </c>
      <c r="I37" s="47" t="s">
        <v>1533</v>
      </c>
      <c r="J37" s="90" t="s">
        <v>626</v>
      </c>
    </row>
    <row r="38" spans="1:10">
      <c r="A38" t="s">
        <v>707</v>
      </c>
      <c r="B38" t="s">
        <v>627</v>
      </c>
      <c r="I38" s="47" t="s">
        <v>707</v>
      </c>
      <c r="J38" s="90" t="s">
        <v>627</v>
      </c>
    </row>
    <row r="39" spans="1:10">
      <c r="A39" t="s">
        <v>1534</v>
      </c>
      <c r="B39" t="s">
        <v>631</v>
      </c>
      <c r="I39" s="47" t="s">
        <v>1534</v>
      </c>
      <c r="J39" s="90" t="s">
        <v>631</v>
      </c>
    </row>
    <row r="40" spans="1:10">
      <c r="A40" t="s">
        <v>726</v>
      </c>
      <c r="B40" t="s">
        <v>942</v>
      </c>
      <c r="I40" s="47" t="s">
        <v>726</v>
      </c>
      <c r="J40" s="90" t="s">
        <v>942</v>
      </c>
    </row>
    <row r="41" spans="1:10">
      <c r="A41" t="s">
        <v>1535</v>
      </c>
      <c r="B41" t="s">
        <v>943</v>
      </c>
      <c r="I41" s="47" t="s">
        <v>1535</v>
      </c>
      <c r="J41" s="90" t="s">
        <v>943</v>
      </c>
    </row>
    <row r="42" spans="1:10">
      <c r="A42" t="s">
        <v>1536</v>
      </c>
      <c r="B42" t="s">
        <v>654</v>
      </c>
      <c r="I42" s="47" t="s">
        <v>728</v>
      </c>
      <c r="J42" s="90" t="s">
        <v>654</v>
      </c>
    </row>
    <row r="43" spans="1:10">
      <c r="A43" t="s">
        <v>1537</v>
      </c>
      <c r="B43" t="s">
        <v>667</v>
      </c>
      <c r="I43" s="47" t="s">
        <v>1413</v>
      </c>
      <c r="J43" s="90" t="s">
        <v>667</v>
      </c>
    </row>
    <row r="44" spans="1:10">
      <c r="A44" t="s">
        <v>1538</v>
      </c>
      <c r="B44" t="s">
        <v>721</v>
      </c>
      <c r="I44" s="47" t="s">
        <v>1538</v>
      </c>
      <c r="J44" s="90" t="s">
        <v>721</v>
      </c>
    </row>
    <row r="45" spans="1:10">
      <c r="A45" t="s">
        <v>1539</v>
      </c>
      <c r="B45" t="s">
        <v>726</v>
      </c>
      <c r="I45" s="47" t="s">
        <v>1539</v>
      </c>
      <c r="J45" s="90" t="s">
        <v>726</v>
      </c>
    </row>
    <row r="46" spans="1:10">
      <c r="A46" t="s">
        <v>1540</v>
      </c>
      <c r="B46" s="117" t="s">
        <v>728</v>
      </c>
      <c r="I46" s="47" t="s">
        <v>1540</v>
      </c>
      <c r="J46" s="117" t="s">
        <v>728</v>
      </c>
    </row>
    <row r="47" spans="1:10">
      <c r="A47" t="s">
        <v>1745</v>
      </c>
      <c r="I47" s="47" t="s">
        <v>1745</v>
      </c>
    </row>
    <row r="48" spans="1:10">
      <c r="A48" t="s">
        <v>1746</v>
      </c>
      <c r="I48" s="47" t="s">
        <v>1746</v>
      </c>
    </row>
    <row r="49" spans="1:9">
      <c r="A49" t="s">
        <v>1747</v>
      </c>
      <c r="I49" s="47" t="s">
        <v>1747</v>
      </c>
    </row>
    <row r="50" spans="1:9">
      <c r="A50" t="s">
        <v>1748</v>
      </c>
      <c r="I50" s="47" t="s">
        <v>1748</v>
      </c>
    </row>
    <row r="51" spans="1:9">
      <c r="A51" t="s">
        <v>1749</v>
      </c>
      <c r="I51" s="47" t="s">
        <v>1749</v>
      </c>
    </row>
    <row r="52" spans="1:9">
      <c r="A52" t="s">
        <v>1750</v>
      </c>
      <c r="I52" s="47" t="s">
        <v>1750</v>
      </c>
    </row>
    <row r="53" spans="1:9">
      <c r="A53" t="s">
        <v>1751</v>
      </c>
      <c r="I53" s="47" t="s">
        <v>1751</v>
      </c>
    </row>
    <row r="54" spans="1:9">
      <c r="A54" t="s">
        <v>1752</v>
      </c>
      <c r="I54" s="47" t="s">
        <v>1752</v>
      </c>
    </row>
    <row r="55" spans="1:9">
      <c r="A55" t="s">
        <v>1753</v>
      </c>
      <c r="I55" s="47" t="s">
        <v>1753</v>
      </c>
    </row>
    <row r="56" spans="1:9">
      <c r="A56" t="s">
        <v>1754</v>
      </c>
      <c r="I56" s="47" t="s">
        <v>1754</v>
      </c>
    </row>
    <row r="57" spans="1:9">
      <c r="A57" t="s">
        <v>1755</v>
      </c>
      <c r="I57" s="48" t="s">
        <v>1755</v>
      </c>
    </row>
  </sheetData>
  <conditionalFormatting sqref="A1:B1048576">
    <cfRule type="duplicateValues" dxfId="8" priority="2"/>
    <cfRule type="uniqueValues" dxfId="7" priority="3"/>
    <cfRule type="duplicateValues" dxfId="6" priority="4"/>
    <cfRule type="duplicateValues" dxfId="5" priority="8"/>
    <cfRule type="duplicateValues" dxfId="4" priority="9"/>
  </conditionalFormatting>
  <conditionalFormatting sqref="E1:F1048576">
    <cfRule type="duplicateValues" dxfId="3" priority="5"/>
  </conditionalFormatting>
  <conditionalFormatting sqref="F22">
    <cfRule type="duplicateValues" dxfId="2" priority="6"/>
    <cfRule type="duplicateValues" dxfId="1" priority="7"/>
  </conditionalFormatting>
  <conditionalFormatting sqref="I1:J1048576">
    <cfRule type="duplicateValues" dxfId="0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9F0C-CC3A-40D2-8BDD-048192AC0BF7}">
  <sheetPr>
    <tabColor theme="4"/>
  </sheetPr>
  <dimension ref="B1:F84"/>
  <sheetViews>
    <sheetView topLeftCell="A4" workbookViewId="0">
      <selection activeCell="D26" sqref="D26"/>
    </sheetView>
  </sheetViews>
  <sheetFormatPr defaultRowHeight="14.25"/>
  <cols>
    <col min="2" max="2" width="29.85546875" bestFit="1" customWidth="1"/>
    <col min="3" max="3" width="23.140625" customWidth="1"/>
    <col min="4" max="4" width="31.5703125" bestFit="1" customWidth="1"/>
    <col min="5" max="5" width="11.140625" bestFit="1" customWidth="1"/>
    <col min="6" max="6" width="28.5703125" bestFit="1" customWidth="1"/>
  </cols>
  <sheetData>
    <row r="1" spans="2:4">
      <c r="B1" s="78" t="s">
        <v>149</v>
      </c>
      <c r="C1" s="192" t="s">
        <v>296</v>
      </c>
    </row>
    <row r="3" spans="2:4">
      <c r="B3" s="89" t="s">
        <v>1955</v>
      </c>
      <c r="C3" s="232" t="s">
        <v>810</v>
      </c>
      <c r="D3" s="16"/>
    </row>
    <row r="4" spans="2:4">
      <c r="B4" s="90"/>
      <c r="C4" s="233" t="s">
        <v>805</v>
      </c>
      <c r="D4" s="45"/>
    </row>
    <row r="5" spans="2:4">
      <c r="B5" s="90"/>
      <c r="C5" s="233" t="s">
        <v>1956</v>
      </c>
      <c r="D5" s="45"/>
    </row>
    <row r="6" spans="2:4">
      <c r="B6" s="90"/>
      <c r="C6" s="233" t="s">
        <v>1957</v>
      </c>
      <c r="D6" s="45"/>
    </row>
    <row r="7" spans="2:4">
      <c r="B7" s="90"/>
      <c r="C7" s="233" t="s">
        <v>1958</v>
      </c>
      <c r="D7" s="45"/>
    </row>
    <row r="8" spans="2:4">
      <c r="B8" s="90"/>
      <c r="C8" s="233" t="s">
        <v>1959</v>
      </c>
      <c r="D8" s="45"/>
    </row>
    <row r="9" spans="2:4">
      <c r="B9" s="90"/>
      <c r="C9" s="233" t="s">
        <v>811</v>
      </c>
      <c r="D9" s="45"/>
    </row>
    <row r="10" spans="2:4">
      <c r="B10" s="90"/>
      <c r="C10" s="233" t="s">
        <v>806</v>
      </c>
      <c r="D10" s="45"/>
    </row>
    <row r="11" spans="2:4">
      <c r="B11" s="90"/>
      <c r="C11" s="233" t="s">
        <v>1960</v>
      </c>
      <c r="D11" s="45"/>
    </row>
    <row r="12" spans="2:4">
      <c r="B12" s="90"/>
      <c r="C12" s="233" t="s">
        <v>1961</v>
      </c>
      <c r="D12" s="45"/>
    </row>
    <row r="13" spans="2:4">
      <c r="B13" s="90"/>
      <c r="C13" s="233" t="s">
        <v>1962</v>
      </c>
      <c r="D13" s="45"/>
    </row>
    <row r="14" spans="2:4">
      <c r="B14" s="117"/>
      <c r="C14" s="234" t="s">
        <v>1963</v>
      </c>
      <c r="D14" s="46"/>
    </row>
    <row r="16" spans="2:4">
      <c r="B16" s="13" t="s">
        <v>1964</v>
      </c>
      <c r="C16" s="16" t="s">
        <v>1965</v>
      </c>
    </row>
    <row r="17" spans="2:3">
      <c r="B17" s="47"/>
      <c r="C17" s="45" t="s">
        <v>1966</v>
      </c>
    </row>
    <row r="18" spans="2:3">
      <c r="B18" s="47"/>
      <c r="C18" s="45" t="s">
        <v>1967</v>
      </c>
    </row>
    <row r="19" spans="2:3">
      <c r="B19" s="47"/>
      <c r="C19" s="45" t="s">
        <v>1968</v>
      </c>
    </row>
    <row r="20" spans="2:3">
      <c r="B20" s="47"/>
      <c r="C20" s="45" t="s">
        <v>1969</v>
      </c>
    </row>
    <row r="21" spans="2:3">
      <c r="B21" s="47"/>
      <c r="C21" s="45" t="s">
        <v>1970</v>
      </c>
    </row>
    <row r="22" spans="2:3">
      <c r="B22" s="47"/>
      <c r="C22" s="45" t="s">
        <v>1971</v>
      </c>
    </row>
    <row r="23" spans="2:3">
      <c r="B23" s="47"/>
      <c r="C23" s="45" t="s">
        <v>1972</v>
      </c>
    </row>
    <row r="24" spans="2:3">
      <c r="B24" s="47"/>
      <c r="C24" s="45" t="s">
        <v>1973</v>
      </c>
    </row>
    <row r="25" spans="2:3">
      <c r="B25" s="47"/>
      <c r="C25" s="45" t="s">
        <v>1974</v>
      </c>
    </row>
    <row r="26" spans="2:3">
      <c r="B26" s="47"/>
      <c r="C26" s="45" t="s">
        <v>1975</v>
      </c>
    </row>
    <row r="27" spans="2:3">
      <c r="B27" s="47"/>
      <c r="C27" s="45" t="s">
        <v>1976</v>
      </c>
    </row>
    <row r="28" spans="2:3">
      <c r="B28" s="47"/>
      <c r="C28" s="45" t="s">
        <v>1977</v>
      </c>
    </row>
    <row r="29" spans="2:3">
      <c r="B29" s="47"/>
      <c r="C29" s="45" t="s">
        <v>1978</v>
      </c>
    </row>
    <row r="30" spans="2:3">
      <c r="B30" s="47"/>
      <c r="C30" s="45" t="s">
        <v>1979</v>
      </c>
    </row>
    <row r="31" spans="2:3">
      <c r="B31" s="47"/>
      <c r="C31" s="45" t="s">
        <v>1980</v>
      </c>
    </row>
    <row r="32" spans="2:3">
      <c r="B32" s="47"/>
      <c r="C32" s="45" t="s">
        <v>1981</v>
      </c>
    </row>
    <row r="33" spans="2:4">
      <c r="B33" s="47"/>
      <c r="C33" s="45" t="s">
        <v>1982</v>
      </c>
    </row>
    <row r="34" spans="2:4">
      <c r="B34" s="47"/>
      <c r="C34" s="45" t="s">
        <v>1983</v>
      </c>
    </row>
    <row r="35" spans="2:4">
      <c r="B35" s="47"/>
      <c r="C35" s="45" t="s">
        <v>1984</v>
      </c>
    </row>
    <row r="36" spans="2:4">
      <c r="B36" s="47"/>
      <c r="C36" s="45" t="s">
        <v>1985</v>
      </c>
    </row>
    <row r="37" spans="2:4">
      <c r="B37" s="47"/>
      <c r="C37" s="45" t="s">
        <v>1986</v>
      </c>
    </row>
    <row r="38" spans="2:4">
      <c r="B38" s="47"/>
      <c r="C38" s="45" t="s">
        <v>1987</v>
      </c>
    </row>
    <row r="39" spans="2:4">
      <c r="B39" s="48"/>
      <c r="C39" s="46" t="s">
        <v>1988</v>
      </c>
    </row>
    <row r="44" spans="2:4">
      <c r="B44" t="s">
        <v>374</v>
      </c>
      <c r="C44" s="229" t="s">
        <v>1989</v>
      </c>
      <c r="D44" t="s">
        <v>375</v>
      </c>
    </row>
    <row r="45" spans="2:4">
      <c r="D45" s="230" t="s">
        <v>1699</v>
      </c>
    </row>
    <row r="46" spans="2:4">
      <c r="D46" s="230" t="s">
        <v>1990</v>
      </c>
    </row>
    <row r="47" spans="2:4">
      <c r="D47" s="230" t="s">
        <v>1991</v>
      </c>
    </row>
    <row r="48" spans="2:4">
      <c r="D48" s="230" t="s">
        <v>1992</v>
      </c>
    </row>
    <row r="49" spans="4:4">
      <c r="D49" s="230" t="s">
        <v>1993</v>
      </c>
    </row>
    <row r="50" spans="4:4">
      <c r="D50" t="s">
        <v>1994</v>
      </c>
    </row>
    <row r="51" spans="4:4">
      <c r="D51" t="s">
        <v>1995</v>
      </c>
    </row>
    <row r="52" spans="4:4">
      <c r="D52" s="230" t="s">
        <v>1996</v>
      </c>
    </row>
    <row r="53" spans="4:4">
      <c r="D53" s="230" t="s">
        <v>1997</v>
      </c>
    </row>
    <row r="54" spans="4:4">
      <c r="D54" s="230" t="s">
        <v>1998</v>
      </c>
    </row>
    <row r="55" spans="4:4">
      <c r="D55" s="230" t="s">
        <v>1999</v>
      </c>
    </row>
    <row r="56" spans="4:4">
      <c r="D56" t="s">
        <v>1739</v>
      </c>
    </row>
    <row r="57" spans="4:4">
      <c r="D57" t="s">
        <v>1740</v>
      </c>
    </row>
    <row r="58" spans="4:4">
      <c r="D58" s="230" t="s">
        <v>2000</v>
      </c>
    </row>
    <row r="59" spans="4:4">
      <c r="D59" s="230" t="s">
        <v>2001</v>
      </c>
    </row>
    <row r="60" spans="4:4">
      <c r="D60" s="230" t="s">
        <v>2002</v>
      </c>
    </row>
    <row r="61" spans="4:4">
      <c r="D61" s="230" t="s">
        <v>2003</v>
      </c>
    </row>
    <row r="62" spans="4:4">
      <c r="D62" t="s">
        <v>2004</v>
      </c>
    </row>
    <row r="63" spans="4:4">
      <c r="D63" t="s">
        <v>2005</v>
      </c>
    </row>
    <row r="64" spans="4:4">
      <c r="D64" s="230" t="s">
        <v>2006</v>
      </c>
    </row>
    <row r="65" spans="4:6">
      <c r="D65" s="230" t="s">
        <v>2007</v>
      </c>
    </row>
    <row r="66" spans="4:6">
      <c r="D66" s="230" t="s">
        <v>2008</v>
      </c>
    </row>
    <row r="67" spans="4:6">
      <c r="D67" s="230" t="s">
        <v>2009</v>
      </c>
    </row>
    <row r="68" spans="4:6">
      <c r="D68" s="230" t="s">
        <v>2010</v>
      </c>
    </row>
    <row r="69" spans="4:6">
      <c r="D69" s="230" t="s">
        <v>2011</v>
      </c>
    </row>
    <row r="70" spans="4:6">
      <c r="D70" s="230" t="s">
        <v>2012</v>
      </c>
    </row>
    <row r="71" spans="4:6">
      <c r="D71" s="230" t="s">
        <v>2013</v>
      </c>
    </row>
    <row r="72" spans="4:6">
      <c r="D72" t="s">
        <v>2014</v>
      </c>
    </row>
    <row r="73" spans="4:6">
      <c r="D73" t="s">
        <v>2015</v>
      </c>
    </row>
    <row r="74" spans="4:6">
      <c r="D74" s="231" t="s">
        <v>2016</v>
      </c>
      <c r="E74" s="229" t="s">
        <v>2017</v>
      </c>
      <c r="F74" s="16" t="s">
        <v>2018</v>
      </c>
    </row>
    <row r="75" spans="4:6">
      <c r="D75" s="231" t="s">
        <v>2019</v>
      </c>
      <c r="E75" s="229" t="s">
        <v>2017</v>
      </c>
      <c r="F75" s="45" t="s">
        <v>2020</v>
      </c>
    </row>
    <row r="76" spans="4:6">
      <c r="F76" s="45" t="s">
        <v>2021</v>
      </c>
    </row>
    <row r="77" spans="4:6">
      <c r="F77" s="45" t="s">
        <v>2022</v>
      </c>
    </row>
    <row r="78" spans="4:6">
      <c r="F78" s="45" t="s">
        <v>2023</v>
      </c>
    </row>
    <row r="79" spans="4:6">
      <c r="F79" s="45" t="s">
        <v>2024</v>
      </c>
    </row>
    <row r="80" spans="4:6">
      <c r="F80" s="45" t="s">
        <v>2025</v>
      </c>
    </row>
    <row r="81" spans="6:6">
      <c r="F81" s="45" t="s">
        <v>2026</v>
      </c>
    </row>
    <row r="82" spans="6:6">
      <c r="F82" s="45" t="s">
        <v>2027</v>
      </c>
    </row>
    <row r="83" spans="6:6">
      <c r="F83" s="45" t="s">
        <v>2028</v>
      </c>
    </row>
    <row r="84" spans="6:6">
      <c r="F84" s="46" t="s">
        <v>2029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FC25-980B-4AB0-BCFC-C7700F00AB8A}">
  <dimension ref="A1:P163"/>
  <sheetViews>
    <sheetView zoomScale="70" zoomScaleNormal="70" workbookViewId="0">
      <pane ySplit="1" topLeftCell="A124" activePane="bottomLeft" state="frozen"/>
      <selection pane="bottomLeft" activeCell="E90" sqref="E90:E114"/>
    </sheetView>
  </sheetViews>
  <sheetFormatPr defaultRowHeight="14.25"/>
  <cols>
    <col min="1" max="1" width="23.42578125" bestFit="1" customWidth="1"/>
    <col min="2" max="2" width="33.5703125" bestFit="1" customWidth="1"/>
    <col min="3" max="3" width="13.5703125" customWidth="1"/>
    <col min="4" max="4" width="33.5703125" customWidth="1"/>
    <col min="5" max="5" width="35.42578125" customWidth="1"/>
    <col min="6" max="6" width="42" customWidth="1"/>
    <col min="7" max="7" width="15.42578125" bestFit="1" customWidth="1"/>
    <col min="8" max="8" width="51.140625" customWidth="1"/>
    <col min="12" max="12" width="9.5703125" bestFit="1" customWidth="1"/>
    <col min="16" max="16" width="28" bestFit="1" customWidth="1"/>
  </cols>
  <sheetData>
    <row r="1" spans="1:16">
      <c r="A1" t="s">
        <v>149</v>
      </c>
      <c r="B1" t="s">
        <v>150</v>
      </c>
      <c r="F1" s="322" t="s">
        <v>4</v>
      </c>
      <c r="G1" s="323"/>
      <c r="H1" s="323"/>
      <c r="I1" s="323"/>
      <c r="J1" s="324"/>
    </row>
    <row r="2" spans="1:16">
      <c r="A2" s="294" t="s">
        <v>2030</v>
      </c>
      <c r="B2" s="17" t="s">
        <v>2031</v>
      </c>
      <c r="F2" s="319" t="s">
        <v>83</v>
      </c>
      <c r="G2" s="319" t="s">
        <v>76</v>
      </c>
      <c r="H2" s="319" t="s">
        <v>77</v>
      </c>
      <c r="I2" s="319" t="s">
        <v>79</v>
      </c>
      <c r="J2" s="319" t="s">
        <v>78</v>
      </c>
      <c r="P2" s="17" t="s">
        <v>362</v>
      </c>
    </row>
    <row r="3" spans="1:16">
      <c r="A3" s="294"/>
      <c r="F3" s="320"/>
      <c r="G3" s="320"/>
      <c r="H3" s="320"/>
      <c r="I3" s="320"/>
      <c r="J3" s="320"/>
      <c r="P3" s="17" t="s">
        <v>1608</v>
      </c>
    </row>
    <row r="4" spans="1:16">
      <c r="A4" s="294"/>
      <c r="B4" s="17" t="s">
        <v>2032</v>
      </c>
      <c r="F4" s="320"/>
      <c r="G4" s="320"/>
      <c r="H4" s="320"/>
      <c r="I4" s="320"/>
      <c r="J4" s="320"/>
      <c r="P4" s="17" t="s">
        <v>1609</v>
      </c>
    </row>
    <row r="5" spans="1:16">
      <c r="A5" s="294"/>
      <c r="B5" s="17" t="s">
        <v>2033</v>
      </c>
      <c r="F5" s="320"/>
      <c r="G5" s="320"/>
      <c r="H5" s="320"/>
      <c r="I5" s="320"/>
      <c r="J5" s="320"/>
      <c r="P5" s="17" t="s">
        <v>1611</v>
      </c>
    </row>
    <row r="6" spans="1:16">
      <c r="A6" s="294"/>
      <c r="B6" s="17" t="s">
        <v>2034</v>
      </c>
      <c r="F6" s="320"/>
      <c r="G6" s="320"/>
      <c r="H6" s="320"/>
      <c r="I6" s="320"/>
      <c r="J6" s="320"/>
      <c r="P6" s="17" t="s">
        <v>1612</v>
      </c>
    </row>
    <row r="7" spans="1:16">
      <c r="A7" s="294"/>
      <c r="B7" s="17" t="s">
        <v>2035</v>
      </c>
      <c r="F7" s="320"/>
      <c r="G7" s="320"/>
      <c r="H7" s="320"/>
      <c r="I7" s="320"/>
      <c r="J7" s="320"/>
      <c r="P7" s="17" t="s">
        <v>1614</v>
      </c>
    </row>
    <row r="8" spans="1:16">
      <c r="A8" s="294"/>
      <c r="B8" s="17" t="s">
        <v>2036</v>
      </c>
      <c r="F8" s="320"/>
      <c r="G8" s="320"/>
      <c r="H8" s="320"/>
      <c r="I8" s="320"/>
      <c r="J8" s="320"/>
      <c r="P8" s="17" t="s">
        <v>1615</v>
      </c>
    </row>
    <row r="9" spans="1:16">
      <c r="A9" s="294"/>
      <c r="B9" s="17" t="s">
        <v>2037</v>
      </c>
      <c r="F9" s="320"/>
      <c r="G9" s="320"/>
      <c r="H9" s="320"/>
      <c r="I9" s="320"/>
      <c r="J9" s="320"/>
      <c r="P9" s="17" t="s">
        <v>1618</v>
      </c>
    </row>
    <row r="10" spans="1:16">
      <c r="A10" s="294"/>
      <c r="B10" s="17"/>
      <c r="F10" s="320"/>
      <c r="G10" s="320"/>
      <c r="H10" s="320"/>
      <c r="I10" s="320"/>
      <c r="J10" s="320"/>
      <c r="P10" s="17" t="s">
        <v>1623</v>
      </c>
    </row>
    <row r="11" spans="1:16">
      <c r="A11" s="294"/>
      <c r="B11" s="17" t="s">
        <v>2038</v>
      </c>
      <c r="F11" s="320"/>
      <c r="G11" s="320"/>
      <c r="H11" s="320"/>
      <c r="I11" s="320"/>
      <c r="J11" s="320"/>
      <c r="P11" s="17" t="s">
        <v>1617</v>
      </c>
    </row>
    <row r="12" spans="1:16">
      <c r="A12" s="294"/>
      <c r="B12" s="17" t="s">
        <v>2039</v>
      </c>
      <c r="F12" s="320"/>
      <c r="G12" s="320"/>
      <c r="H12" s="320"/>
      <c r="I12" s="320"/>
      <c r="J12" s="320"/>
      <c r="P12" s="17" t="s">
        <v>1637</v>
      </c>
    </row>
    <row r="13" spans="1:16">
      <c r="A13" s="294"/>
      <c r="B13" s="17" t="s">
        <v>2040</v>
      </c>
      <c r="F13" s="320"/>
      <c r="G13" s="320"/>
      <c r="H13" s="320"/>
      <c r="I13" s="320"/>
      <c r="J13" s="320"/>
      <c r="P13" s="17" t="s">
        <v>1619</v>
      </c>
    </row>
    <row r="14" spans="1:16">
      <c r="A14" s="294"/>
      <c r="B14" s="17" t="s">
        <v>2041</v>
      </c>
      <c r="F14" s="320"/>
      <c r="G14" s="320"/>
      <c r="H14" s="320"/>
      <c r="I14" s="320"/>
      <c r="J14" s="320"/>
      <c r="P14" s="17" t="s">
        <v>1622</v>
      </c>
    </row>
    <row r="15" spans="1:16">
      <c r="A15" s="294"/>
      <c r="B15" s="17" t="s">
        <v>2042</v>
      </c>
      <c r="F15" s="320"/>
      <c r="G15" s="320"/>
      <c r="H15" s="320"/>
      <c r="I15" s="320"/>
      <c r="J15" s="320"/>
      <c r="P15" s="17" t="s">
        <v>1646</v>
      </c>
    </row>
    <row r="16" spans="1:16">
      <c r="A16" s="294"/>
      <c r="B16" s="17" t="s">
        <v>2043</v>
      </c>
      <c r="F16" s="320"/>
      <c r="G16" s="320"/>
      <c r="H16" s="320"/>
      <c r="I16" s="320"/>
      <c r="J16" s="320"/>
      <c r="P16" s="17" t="s">
        <v>1649</v>
      </c>
    </row>
    <row r="17" spans="1:16">
      <c r="A17" s="17" t="s">
        <v>1078</v>
      </c>
      <c r="B17" s="17" t="s">
        <v>1078</v>
      </c>
      <c r="F17" s="321"/>
      <c r="G17" s="321"/>
      <c r="H17" s="321"/>
      <c r="I17" s="321"/>
      <c r="J17" s="321"/>
      <c r="P17" s="17" t="s">
        <v>1684</v>
      </c>
    </row>
    <row r="19" spans="1:16">
      <c r="A19" t="s">
        <v>149</v>
      </c>
      <c r="B19" t="s">
        <v>150</v>
      </c>
      <c r="F19" s="322" t="s">
        <v>4</v>
      </c>
      <c r="G19" s="323"/>
      <c r="H19" s="323"/>
      <c r="I19" s="323"/>
      <c r="J19" s="324"/>
    </row>
    <row r="20" spans="1:16">
      <c r="A20" s="288" t="s">
        <v>2044</v>
      </c>
      <c r="B20" s="18" t="s">
        <v>2045</v>
      </c>
      <c r="F20" s="325" t="s">
        <v>83</v>
      </c>
      <c r="G20" s="325" t="s">
        <v>76</v>
      </c>
      <c r="H20" s="325" t="s">
        <v>77</v>
      </c>
      <c r="I20" s="325" t="s">
        <v>79</v>
      </c>
      <c r="J20" s="325" t="s">
        <v>78</v>
      </c>
    </row>
    <row r="21" spans="1:16">
      <c r="A21" s="292"/>
      <c r="F21" s="325"/>
      <c r="G21" s="325"/>
      <c r="H21" s="325"/>
      <c r="I21" s="325"/>
      <c r="J21" s="325"/>
    </row>
    <row r="22" spans="1:16">
      <c r="A22" s="292"/>
      <c r="B22" s="18" t="s">
        <v>2046</v>
      </c>
      <c r="F22" s="325"/>
      <c r="G22" s="325"/>
      <c r="H22" s="325"/>
      <c r="I22" s="325"/>
      <c r="J22" s="325"/>
    </row>
    <row r="23" spans="1:16">
      <c r="A23" s="292"/>
      <c r="B23" s="18" t="s">
        <v>2047</v>
      </c>
      <c r="F23" s="325"/>
      <c r="G23" s="325"/>
      <c r="H23" s="325"/>
      <c r="I23" s="325"/>
      <c r="J23" s="325"/>
    </row>
    <row r="24" spans="1:16">
      <c r="A24" s="292"/>
      <c r="B24" s="18" t="s">
        <v>2048</v>
      </c>
      <c r="F24" s="325"/>
      <c r="G24" s="325"/>
      <c r="H24" s="325"/>
      <c r="I24" s="325"/>
      <c r="J24" s="325"/>
    </row>
    <row r="25" spans="1:16">
      <c r="A25" s="292"/>
      <c r="B25" s="18" t="s">
        <v>2049</v>
      </c>
      <c r="F25" s="325"/>
      <c r="G25" s="325"/>
      <c r="H25" s="325"/>
      <c r="I25" s="325"/>
      <c r="J25" s="325"/>
    </row>
    <row r="26" spans="1:16">
      <c r="A26" s="292"/>
      <c r="B26" s="18" t="s">
        <v>2050</v>
      </c>
      <c r="F26" s="325"/>
      <c r="G26" s="325"/>
      <c r="H26" s="325"/>
      <c r="I26" s="325"/>
      <c r="J26" s="325"/>
    </row>
    <row r="27" spans="1:16">
      <c r="A27" s="292"/>
      <c r="B27" s="18" t="s">
        <v>2051</v>
      </c>
      <c r="F27" s="325"/>
      <c r="G27" s="325"/>
      <c r="H27" s="325"/>
      <c r="I27" s="325"/>
      <c r="J27" s="325"/>
    </row>
    <row r="28" spans="1:16">
      <c r="A28" s="292"/>
      <c r="B28" s="18" t="s">
        <v>2052</v>
      </c>
      <c r="F28" s="325"/>
      <c r="G28" s="325"/>
      <c r="H28" s="325"/>
      <c r="I28" s="325"/>
      <c r="J28" s="325"/>
    </row>
    <row r="29" spans="1:16">
      <c r="A29" s="292"/>
      <c r="B29" s="18" t="s">
        <v>2053</v>
      </c>
      <c r="F29" s="325"/>
      <c r="G29" s="325"/>
      <c r="H29" s="325"/>
      <c r="I29" s="325"/>
      <c r="J29" s="325"/>
    </row>
    <row r="30" spans="1:16">
      <c r="A30" s="292"/>
      <c r="B30" s="18"/>
      <c r="F30" s="325"/>
      <c r="G30" s="325"/>
      <c r="H30" s="325"/>
      <c r="I30" s="325"/>
      <c r="J30" s="325"/>
    </row>
    <row r="31" spans="1:16">
      <c r="A31" s="292"/>
      <c r="B31" s="18" t="s">
        <v>2054</v>
      </c>
      <c r="F31" s="325"/>
      <c r="G31" s="325"/>
      <c r="H31" s="325"/>
      <c r="I31" s="325"/>
      <c r="J31" s="325"/>
    </row>
    <row r="32" spans="1:16">
      <c r="A32" s="292"/>
      <c r="B32" s="18" t="s">
        <v>2055</v>
      </c>
      <c r="F32" s="325"/>
      <c r="G32" s="325"/>
      <c r="H32" s="325"/>
      <c r="I32" s="325"/>
      <c r="J32" s="325"/>
    </row>
    <row r="33" spans="1:10">
      <c r="A33" s="292"/>
      <c r="B33" s="18" t="s">
        <v>2056</v>
      </c>
      <c r="F33" s="325"/>
      <c r="G33" s="325"/>
      <c r="H33" s="325"/>
      <c r="I33" s="325"/>
      <c r="J33" s="325"/>
    </row>
    <row r="34" spans="1:10">
      <c r="A34" s="292"/>
      <c r="B34" s="18" t="s">
        <v>2057</v>
      </c>
      <c r="F34" s="325"/>
      <c r="G34" s="325"/>
      <c r="H34" s="325"/>
      <c r="I34" s="325"/>
      <c r="J34" s="325"/>
    </row>
    <row r="35" spans="1:10">
      <c r="A35" s="292"/>
      <c r="B35" s="18" t="s">
        <v>2058</v>
      </c>
      <c r="F35" s="325"/>
      <c r="G35" s="325"/>
      <c r="H35" s="325"/>
      <c r="I35" s="325"/>
      <c r="J35" s="325"/>
    </row>
    <row r="36" spans="1:10">
      <c r="A36" s="292"/>
      <c r="B36" s="18" t="s">
        <v>2059</v>
      </c>
      <c r="F36" s="325"/>
      <c r="G36" s="325"/>
      <c r="H36" s="325"/>
      <c r="I36" s="325"/>
      <c r="J36" s="325"/>
    </row>
    <row r="37" spans="1:10">
      <c r="A37" s="292"/>
      <c r="B37" s="18" t="s">
        <v>2060</v>
      </c>
      <c r="F37" s="325"/>
      <c r="G37" s="325"/>
      <c r="H37" s="325"/>
      <c r="I37" s="325"/>
      <c r="J37" s="325"/>
    </row>
    <row r="38" spans="1:10">
      <c r="A38" s="289"/>
      <c r="B38" s="18" t="s">
        <v>2061</v>
      </c>
      <c r="F38" s="325"/>
      <c r="G38" s="325"/>
      <c r="H38" s="325"/>
      <c r="I38" s="325"/>
      <c r="J38" s="325"/>
    </row>
    <row r="39" spans="1:10">
      <c r="A39" s="17" t="s">
        <v>1078</v>
      </c>
      <c r="B39" s="17" t="s">
        <v>1078</v>
      </c>
      <c r="F39" s="325"/>
      <c r="G39" s="325"/>
      <c r="H39" s="325"/>
      <c r="I39" s="325"/>
      <c r="J39" s="325"/>
    </row>
    <row r="40" spans="1:10">
      <c r="A40" s="17" t="s">
        <v>1082</v>
      </c>
      <c r="B40" s="17" t="s">
        <v>1082</v>
      </c>
      <c r="F40" s="325"/>
      <c r="G40" s="325"/>
      <c r="H40" s="325"/>
      <c r="I40" s="325"/>
      <c r="J40" s="325"/>
    </row>
    <row r="41" spans="1:10">
      <c r="A41" s="17" t="s">
        <v>1084</v>
      </c>
      <c r="B41" s="17" t="s">
        <v>1084</v>
      </c>
      <c r="F41" s="325"/>
      <c r="G41" s="325"/>
      <c r="H41" s="325"/>
      <c r="I41" s="325"/>
      <c r="J41" s="325"/>
    </row>
    <row r="44" spans="1:10">
      <c r="F44" s="322" t="s">
        <v>4</v>
      </c>
      <c r="G44" s="323"/>
      <c r="H44" s="323"/>
      <c r="I44" s="323"/>
      <c r="J44" s="324"/>
    </row>
    <row r="45" spans="1:10">
      <c r="A45" s="288" t="s">
        <v>2062</v>
      </c>
      <c r="B45" s="18" t="s">
        <v>2063</v>
      </c>
      <c r="F45" s="319" t="s">
        <v>83</v>
      </c>
      <c r="G45" s="319" t="s">
        <v>82</v>
      </c>
      <c r="H45" s="319" t="s">
        <v>84</v>
      </c>
      <c r="I45" s="319" t="s">
        <v>79</v>
      </c>
      <c r="J45" s="319" t="s">
        <v>78</v>
      </c>
    </row>
    <row r="46" spans="1:10">
      <c r="A46" s="292"/>
      <c r="F46" s="320"/>
      <c r="G46" s="320"/>
      <c r="H46" s="320"/>
      <c r="I46" s="320"/>
      <c r="J46" s="320"/>
    </row>
    <row r="47" spans="1:10">
      <c r="A47" s="292"/>
      <c r="B47" s="18" t="s">
        <v>2064</v>
      </c>
      <c r="F47" s="320"/>
      <c r="G47" s="320"/>
      <c r="H47" s="320"/>
      <c r="I47" s="320"/>
      <c r="J47" s="320"/>
    </row>
    <row r="48" spans="1:10">
      <c r="A48" s="292"/>
      <c r="B48" s="18" t="s">
        <v>2065</v>
      </c>
      <c r="F48" s="320"/>
      <c r="G48" s="320"/>
      <c r="H48" s="320"/>
      <c r="I48" s="320"/>
      <c r="J48" s="320"/>
    </row>
    <row r="49" spans="1:10">
      <c r="A49" s="292"/>
      <c r="B49" s="18" t="s">
        <v>2066</v>
      </c>
      <c r="F49" s="320"/>
      <c r="G49" s="320"/>
      <c r="H49" s="320"/>
      <c r="I49" s="320"/>
      <c r="J49" s="320"/>
    </row>
    <row r="50" spans="1:10">
      <c r="A50" s="292"/>
      <c r="B50" s="18" t="s">
        <v>2067</v>
      </c>
      <c r="F50" s="320"/>
      <c r="G50" s="320"/>
      <c r="H50" s="320"/>
      <c r="I50" s="320"/>
      <c r="J50" s="320"/>
    </row>
    <row r="51" spans="1:10">
      <c r="A51" s="292"/>
      <c r="B51" s="18" t="s">
        <v>2068</v>
      </c>
      <c r="F51" s="320"/>
      <c r="G51" s="320"/>
      <c r="H51" s="320"/>
      <c r="I51" s="320"/>
      <c r="J51" s="320"/>
    </row>
    <row r="52" spans="1:10">
      <c r="A52" s="292"/>
      <c r="B52" s="18" t="s">
        <v>2069</v>
      </c>
      <c r="F52" s="320"/>
      <c r="G52" s="320"/>
      <c r="H52" s="320"/>
      <c r="I52" s="320"/>
      <c r="J52" s="320"/>
    </row>
    <row r="53" spans="1:10">
      <c r="A53" s="292"/>
      <c r="B53" s="18" t="s">
        <v>2070</v>
      </c>
      <c r="F53" s="320"/>
      <c r="G53" s="320"/>
      <c r="H53" s="320"/>
      <c r="I53" s="320"/>
      <c r="J53" s="320"/>
    </row>
    <row r="54" spans="1:10">
      <c r="A54" s="292"/>
      <c r="B54" s="18" t="s">
        <v>2071</v>
      </c>
      <c r="F54" s="320"/>
      <c r="G54" s="320"/>
      <c r="H54" s="320"/>
      <c r="I54" s="320"/>
      <c r="J54" s="320"/>
    </row>
    <row r="55" spans="1:10">
      <c r="A55" s="292"/>
      <c r="B55" s="18"/>
      <c r="F55" s="320"/>
      <c r="G55" s="320"/>
      <c r="H55" s="320"/>
      <c r="I55" s="320"/>
      <c r="J55" s="320"/>
    </row>
    <row r="56" spans="1:10">
      <c r="A56" s="292"/>
      <c r="B56" s="18" t="s">
        <v>2072</v>
      </c>
      <c r="F56" s="320"/>
      <c r="G56" s="320"/>
      <c r="H56" s="320"/>
      <c r="I56" s="320"/>
      <c r="J56" s="320"/>
    </row>
    <row r="57" spans="1:10">
      <c r="A57" s="292"/>
      <c r="B57" s="18" t="s">
        <v>2073</v>
      </c>
      <c r="F57" s="320"/>
      <c r="G57" s="320"/>
      <c r="H57" s="320"/>
      <c r="I57" s="320"/>
      <c r="J57" s="320"/>
    </row>
    <row r="58" spans="1:10">
      <c r="A58" s="292"/>
      <c r="B58" s="18" t="s">
        <v>2074</v>
      </c>
      <c r="F58" s="320"/>
      <c r="G58" s="320"/>
      <c r="H58" s="320"/>
      <c r="I58" s="320"/>
      <c r="J58" s="320"/>
    </row>
    <row r="59" spans="1:10">
      <c r="A59" s="292"/>
      <c r="B59" s="18" t="s">
        <v>2075</v>
      </c>
      <c r="F59" s="320"/>
      <c r="G59" s="320"/>
      <c r="H59" s="320"/>
      <c r="I59" s="320"/>
      <c r="J59" s="320"/>
    </row>
    <row r="60" spans="1:10">
      <c r="A60" s="292"/>
      <c r="B60" s="18" t="s">
        <v>2076</v>
      </c>
      <c r="F60" s="320"/>
      <c r="G60" s="320"/>
      <c r="H60" s="320"/>
      <c r="I60" s="320"/>
      <c r="J60" s="320"/>
    </row>
    <row r="61" spans="1:10">
      <c r="A61" s="292"/>
      <c r="B61" s="18" t="s">
        <v>2077</v>
      </c>
      <c r="F61" s="320"/>
      <c r="G61" s="320"/>
      <c r="H61" s="320"/>
      <c r="I61" s="320"/>
      <c r="J61" s="320"/>
    </row>
    <row r="62" spans="1:10">
      <c r="A62" s="292"/>
      <c r="B62" s="18" t="s">
        <v>2078</v>
      </c>
      <c r="F62" s="320"/>
      <c r="G62" s="320"/>
      <c r="H62" s="320"/>
      <c r="I62" s="320"/>
      <c r="J62" s="320"/>
    </row>
    <row r="63" spans="1:10">
      <c r="A63" s="289"/>
      <c r="B63" s="18" t="s">
        <v>2079</v>
      </c>
      <c r="F63" s="321"/>
      <c r="G63" s="321"/>
      <c r="H63" s="321"/>
      <c r="I63" s="321"/>
      <c r="J63" s="321"/>
    </row>
    <row r="66" spans="1:16" ht="15" thickBot="1">
      <c r="B66" s="13" t="s">
        <v>2080</v>
      </c>
      <c r="C66" s="13" t="s">
        <v>2081</v>
      </c>
      <c r="D66" s="13" t="s">
        <v>2082</v>
      </c>
      <c r="E66" s="13" t="s">
        <v>2083</v>
      </c>
    </row>
    <row r="67" spans="1:16">
      <c r="A67" s="326" t="s">
        <v>360</v>
      </c>
      <c r="B67" s="150" t="s">
        <v>361</v>
      </c>
      <c r="C67" s="12">
        <v>1.1000000000000001</v>
      </c>
      <c r="D67" s="12" t="s">
        <v>361</v>
      </c>
      <c r="E67" s="9" t="s">
        <v>361</v>
      </c>
      <c r="K67" t="s">
        <v>82</v>
      </c>
    </row>
    <row r="68" spans="1:16">
      <c r="A68" s="327"/>
      <c r="D68" s="17" t="s">
        <v>559</v>
      </c>
      <c r="E68" s="147" t="s">
        <v>362</v>
      </c>
      <c r="K68" t="s">
        <v>2084</v>
      </c>
    </row>
    <row r="69" spans="1:16">
      <c r="A69" s="327"/>
      <c r="B69" s="17"/>
      <c r="C69" s="17"/>
      <c r="D69" s="17"/>
      <c r="E69" s="147"/>
      <c r="K69" t="s">
        <v>2085</v>
      </c>
    </row>
    <row r="70" spans="1:16">
      <c r="A70" s="327"/>
      <c r="B70" s="17" t="s">
        <v>1608</v>
      </c>
      <c r="C70" s="17">
        <v>0.45</v>
      </c>
      <c r="D70" s="17" t="s">
        <v>1608</v>
      </c>
      <c r="E70" s="147" t="s">
        <v>1608</v>
      </c>
      <c r="L70" t="s">
        <v>2086</v>
      </c>
    </row>
    <row r="71" spans="1:16">
      <c r="A71" s="327"/>
      <c r="B71" s="17" t="s">
        <v>1609</v>
      </c>
      <c r="C71" s="17">
        <v>0.05</v>
      </c>
      <c r="D71" s="17" t="s">
        <v>1609</v>
      </c>
      <c r="E71" s="147" t="s">
        <v>1609</v>
      </c>
      <c r="K71" t="s">
        <v>84</v>
      </c>
    </row>
    <row r="72" spans="1:16">
      <c r="A72" s="327"/>
      <c r="B72" s="17" t="s">
        <v>1611</v>
      </c>
      <c r="C72" s="17">
        <v>0.65</v>
      </c>
      <c r="D72" s="17" t="s">
        <v>1611</v>
      </c>
      <c r="E72" s="147" t="s">
        <v>1611</v>
      </c>
      <c r="K72" t="s">
        <v>2087</v>
      </c>
    </row>
    <row r="73" spans="1:16">
      <c r="A73" s="327"/>
      <c r="B73" s="17" t="s">
        <v>1612</v>
      </c>
      <c r="C73" s="151">
        <v>1.1000000000000001</v>
      </c>
      <c r="D73" s="17" t="s">
        <v>1612</v>
      </c>
      <c r="E73" s="147" t="s">
        <v>1612</v>
      </c>
      <c r="K73" t="s">
        <v>2088</v>
      </c>
    </row>
    <row r="74" spans="1:16">
      <c r="A74" s="327"/>
      <c r="B74" s="17" t="s">
        <v>1614</v>
      </c>
      <c r="C74" s="17">
        <v>0.05</v>
      </c>
      <c r="D74" s="17" t="s">
        <v>1614</v>
      </c>
      <c r="E74" s="147" t="s">
        <v>1614</v>
      </c>
      <c r="L74" t="s">
        <v>2089</v>
      </c>
      <c r="P74" t="s">
        <v>2090</v>
      </c>
    </row>
    <row r="75" spans="1:16">
      <c r="A75" s="327"/>
      <c r="B75" s="17" t="s">
        <v>1615</v>
      </c>
      <c r="C75" s="17">
        <v>0.45</v>
      </c>
      <c r="D75" s="17" t="s">
        <v>1615</v>
      </c>
      <c r="E75" s="147" t="s">
        <v>1615</v>
      </c>
      <c r="K75" t="s">
        <v>83</v>
      </c>
      <c r="P75" t="s">
        <v>2091</v>
      </c>
    </row>
    <row r="76" spans="1:16">
      <c r="A76" s="327"/>
      <c r="B76" s="17" t="s">
        <v>1618</v>
      </c>
      <c r="C76" s="17">
        <v>0.65</v>
      </c>
      <c r="D76" s="17" t="s">
        <v>1618</v>
      </c>
      <c r="E76" s="147" t="s">
        <v>1618</v>
      </c>
      <c r="K76" t="s">
        <v>2092</v>
      </c>
      <c r="P76" t="s">
        <v>2093</v>
      </c>
    </row>
    <row r="77" spans="1:16">
      <c r="A77" s="327"/>
      <c r="B77" s="17" t="s">
        <v>1620</v>
      </c>
      <c r="C77" s="17">
        <v>0.65</v>
      </c>
      <c r="D77" s="17"/>
      <c r="E77" s="147" t="s">
        <v>1620</v>
      </c>
    </row>
    <row r="78" spans="1:16">
      <c r="A78" s="327"/>
      <c r="B78" s="146" t="s">
        <v>1623</v>
      </c>
      <c r="C78" s="17">
        <v>0.65</v>
      </c>
      <c r="D78" s="146" t="s">
        <v>1623</v>
      </c>
      <c r="E78" s="147" t="s">
        <v>1617</v>
      </c>
      <c r="G78" t="s">
        <v>369</v>
      </c>
      <c r="H78" s="51" t="s">
        <v>1623</v>
      </c>
      <c r="K78" t="s">
        <v>2094</v>
      </c>
    </row>
    <row r="79" spans="1:16">
      <c r="A79" s="327"/>
      <c r="B79" s="146" t="s">
        <v>1624</v>
      </c>
      <c r="C79" s="17">
        <v>0.65</v>
      </c>
      <c r="D79" s="17"/>
      <c r="E79" s="147" t="s">
        <v>1619</v>
      </c>
      <c r="H79" s="51"/>
    </row>
    <row r="80" spans="1:16">
      <c r="A80" s="327"/>
      <c r="B80" s="17" t="s">
        <v>1617</v>
      </c>
      <c r="C80" s="17">
        <v>0.95</v>
      </c>
      <c r="D80" s="17" t="s">
        <v>1617</v>
      </c>
      <c r="E80" s="147" t="s">
        <v>1622</v>
      </c>
      <c r="H80" s="51" t="s">
        <v>1651</v>
      </c>
      <c r="L80" t="s">
        <v>2095</v>
      </c>
    </row>
    <row r="81" spans="1:12">
      <c r="A81" s="327"/>
      <c r="B81" s="146" t="s">
        <v>1637</v>
      </c>
      <c r="C81" s="17">
        <v>0.95</v>
      </c>
      <c r="D81" s="146" t="s">
        <v>1637</v>
      </c>
      <c r="E81" s="147" t="s">
        <v>1646</v>
      </c>
      <c r="K81" t="s">
        <v>79</v>
      </c>
    </row>
    <row r="82" spans="1:12">
      <c r="A82" s="327"/>
      <c r="B82" s="146" t="s">
        <v>1638</v>
      </c>
      <c r="C82" s="17">
        <v>0.95</v>
      </c>
      <c r="D82" s="17"/>
      <c r="E82" s="147" t="s">
        <v>1684</v>
      </c>
    </row>
    <row r="83" spans="1:12">
      <c r="A83" s="327"/>
      <c r="B83" s="17" t="s">
        <v>1619</v>
      </c>
      <c r="C83" s="17">
        <v>1.1000000000000001</v>
      </c>
      <c r="D83" s="17" t="s">
        <v>1619</v>
      </c>
      <c r="E83" s="147"/>
      <c r="G83" t="s">
        <v>1783</v>
      </c>
      <c r="H83" s="51" t="s">
        <v>1637</v>
      </c>
      <c r="K83" t="s">
        <v>116</v>
      </c>
    </row>
    <row r="84" spans="1:12">
      <c r="A84" s="327"/>
      <c r="B84" s="17" t="s">
        <v>1622</v>
      </c>
      <c r="C84" s="17">
        <v>1.1000000000000001</v>
      </c>
      <c r="D84" s="17" t="s">
        <v>1622</v>
      </c>
      <c r="E84" s="147"/>
      <c r="H84" s="51" t="s">
        <v>1669</v>
      </c>
      <c r="K84" t="s">
        <v>2096</v>
      </c>
    </row>
    <row r="85" spans="1:12">
      <c r="A85" s="327"/>
      <c r="B85" s="17" t="s">
        <v>1646</v>
      </c>
      <c r="C85" s="17">
        <v>1.1000000000000001</v>
      </c>
      <c r="D85" s="17" t="s">
        <v>1646</v>
      </c>
      <c r="E85" s="147"/>
      <c r="K85" t="s">
        <v>2097</v>
      </c>
    </row>
    <row r="86" spans="1:12">
      <c r="A86" s="327"/>
      <c r="B86" s="146" t="s">
        <v>1649</v>
      </c>
      <c r="C86" s="17">
        <v>1.1000000000000001</v>
      </c>
      <c r="D86" s="146" t="s">
        <v>1649</v>
      </c>
      <c r="E86" s="147"/>
      <c r="G86" t="s">
        <v>370</v>
      </c>
      <c r="H86" s="51" t="s">
        <v>1649</v>
      </c>
      <c r="L86" t="s">
        <v>2098</v>
      </c>
    </row>
    <row r="87" spans="1:12">
      <c r="A87" s="327"/>
      <c r="B87" s="146" t="s">
        <v>1650</v>
      </c>
      <c r="C87" s="17">
        <v>1.1000000000000001</v>
      </c>
      <c r="D87" s="17"/>
      <c r="E87" s="147"/>
      <c r="H87" s="51"/>
    </row>
    <row r="88" spans="1:12">
      <c r="A88" s="327"/>
      <c r="C88" s="17"/>
      <c r="D88" s="17" t="s">
        <v>1684</v>
      </c>
      <c r="E88" s="147"/>
      <c r="H88" s="51" t="s">
        <v>1679</v>
      </c>
      <c r="K88" t="s">
        <v>78</v>
      </c>
    </row>
    <row r="89" spans="1:12">
      <c r="A89" s="327"/>
      <c r="B89" s="17"/>
      <c r="C89" s="17"/>
      <c r="D89" s="17"/>
      <c r="E89" s="147"/>
      <c r="K89" t="s">
        <v>117</v>
      </c>
    </row>
    <row r="90" spans="1:12">
      <c r="A90" s="327"/>
      <c r="B90" s="17" t="s">
        <v>1610</v>
      </c>
      <c r="C90" s="17">
        <v>0.45</v>
      </c>
      <c r="D90" s="17" t="s">
        <v>2099</v>
      </c>
      <c r="E90" s="147" t="s">
        <v>1610</v>
      </c>
      <c r="K90" t="s">
        <v>2100</v>
      </c>
    </row>
    <row r="91" spans="1:12">
      <c r="A91" s="327"/>
      <c r="B91" s="17" t="s">
        <v>1613</v>
      </c>
      <c r="C91" s="17">
        <v>0.05</v>
      </c>
      <c r="D91" s="17" t="s">
        <v>2101</v>
      </c>
      <c r="E91" s="147" t="s">
        <v>1613</v>
      </c>
      <c r="K91" t="s">
        <v>2102</v>
      </c>
    </row>
    <row r="92" spans="1:12">
      <c r="A92" s="327"/>
      <c r="B92" s="17" t="s">
        <v>1616</v>
      </c>
      <c r="C92" s="17">
        <v>0.65</v>
      </c>
      <c r="D92" s="17" t="s">
        <v>2103</v>
      </c>
      <c r="E92" s="147" t="s">
        <v>1616</v>
      </c>
      <c r="L92" t="s">
        <v>2104</v>
      </c>
    </row>
    <row r="93" spans="1:12">
      <c r="A93" s="327"/>
      <c r="B93" s="17" t="s">
        <v>1621</v>
      </c>
      <c r="C93" s="151">
        <v>1.1000000000000001</v>
      </c>
      <c r="D93" s="17" t="s">
        <v>2105</v>
      </c>
      <c r="E93" s="147" t="s">
        <v>1621</v>
      </c>
    </row>
    <row r="94" spans="1:12">
      <c r="A94" s="327"/>
      <c r="B94" s="17" t="s">
        <v>1625</v>
      </c>
      <c r="C94" s="17">
        <v>0.05</v>
      </c>
      <c r="D94" s="17" t="s">
        <v>2106</v>
      </c>
      <c r="E94" s="147" t="s">
        <v>1625</v>
      </c>
      <c r="K94" t="s">
        <v>1509</v>
      </c>
    </row>
    <row r="95" spans="1:12">
      <c r="A95" s="327"/>
      <c r="B95" s="17" t="s">
        <v>1629</v>
      </c>
      <c r="C95" s="17">
        <v>0.45</v>
      </c>
      <c r="D95" s="17" t="s">
        <v>2107</v>
      </c>
      <c r="E95" s="147" t="s">
        <v>1629</v>
      </c>
      <c r="L95" t="s">
        <v>57</v>
      </c>
    </row>
    <row r="96" spans="1:12">
      <c r="A96" s="327"/>
      <c r="B96" s="17" t="s">
        <v>1639</v>
      </c>
      <c r="C96" s="17">
        <v>0.65</v>
      </c>
      <c r="D96" s="17" t="s">
        <v>2108</v>
      </c>
      <c r="E96" s="147" t="s">
        <v>1639</v>
      </c>
    </row>
    <row r="97" spans="1:5">
      <c r="A97" s="327"/>
      <c r="B97" s="17" t="s">
        <v>1642</v>
      </c>
      <c r="C97" s="17">
        <v>0.65</v>
      </c>
      <c r="D97" s="17"/>
      <c r="E97" s="147" t="s">
        <v>1642</v>
      </c>
    </row>
    <row r="98" spans="1:5">
      <c r="A98" s="327"/>
      <c r="B98" s="146" t="s">
        <v>1651</v>
      </c>
      <c r="C98" s="17">
        <v>0.65</v>
      </c>
      <c r="D98" s="146" t="s">
        <v>2109</v>
      </c>
      <c r="E98" s="147" t="s">
        <v>1667</v>
      </c>
    </row>
    <row r="99" spans="1:5">
      <c r="A99" s="327"/>
      <c r="B99" s="146" t="s">
        <v>1653</v>
      </c>
      <c r="C99" s="17">
        <v>0.65</v>
      </c>
      <c r="D99" s="17"/>
      <c r="E99" s="147" t="s">
        <v>1673</v>
      </c>
    </row>
    <row r="100" spans="1:5">
      <c r="A100" s="327"/>
      <c r="B100" s="17" t="s">
        <v>1667</v>
      </c>
      <c r="C100" s="17">
        <v>0.95</v>
      </c>
      <c r="D100" s="146" t="s">
        <v>2110</v>
      </c>
      <c r="E100" s="147" t="s">
        <v>1675</v>
      </c>
    </row>
    <row r="101" spans="1:5">
      <c r="A101" s="327"/>
      <c r="B101" s="146" t="s">
        <v>1669</v>
      </c>
      <c r="C101" s="17">
        <v>0.95</v>
      </c>
      <c r="D101" s="17" t="s">
        <v>2111</v>
      </c>
      <c r="E101" s="147" t="s">
        <v>1677</v>
      </c>
    </row>
    <row r="102" spans="1:5">
      <c r="A102" s="327"/>
      <c r="B102" s="146" t="s">
        <v>1671</v>
      </c>
      <c r="C102" s="17">
        <v>0.95</v>
      </c>
      <c r="D102" s="17"/>
      <c r="E102" s="147" t="s">
        <v>1687</v>
      </c>
    </row>
    <row r="103" spans="1:5">
      <c r="A103" s="327"/>
      <c r="B103" s="17" t="s">
        <v>1673</v>
      </c>
      <c r="C103" s="17">
        <v>1.1000000000000001</v>
      </c>
      <c r="D103" s="17" t="s">
        <v>2112</v>
      </c>
      <c r="E103" s="148" t="s">
        <v>1623</v>
      </c>
    </row>
    <row r="104" spans="1:5">
      <c r="A104" s="327"/>
      <c r="B104" s="17" t="s">
        <v>1675</v>
      </c>
      <c r="C104" s="17">
        <v>1.1000000000000001</v>
      </c>
      <c r="D104" s="17" t="s">
        <v>2113</v>
      </c>
      <c r="E104" s="148" t="s">
        <v>1651</v>
      </c>
    </row>
    <row r="105" spans="1:5">
      <c r="A105" s="327"/>
      <c r="B105" s="17" t="s">
        <v>1677</v>
      </c>
      <c r="C105" s="17">
        <v>1.1000000000000001</v>
      </c>
      <c r="D105" s="17" t="s">
        <v>2114</v>
      </c>
      <c r="E105" s="148" t="s">
        <v>1637</v>
      </c>
    </row>
    <row r="106" spans="1:5">
      <c r="A106" s="327"/>
      <c r="B106" s="146" t="s">
        <v>1679</v>
      </c>
      <c r="C106" s="17">
        <v>1.1000000000000001</v>
      </c>
      <c r="D106" s="146" t="s">
        <v>2115</v>
      </c>
      <c r="E106" s="148" t="s">
        <v>1669</v>
      </c>
    </row>
    <row r="107" spans="1:5">
      <c r="A107" s="327"/>
      <c r="B107" s="146" t="s">
        <v>1681</v>
      </c>
      <c r="C107" s="17">
        <v>1.1000000000000001</v>
      </c>
      <c r="D107" s="17"/>
      <c r="E107" s="148" t="s">
        <v>1649</v>
      </c>
    </row>
    <row r="108" spans="1:5">
      <c r="A108" s="327"/>
      <c r="B108" s="152" t="s">
        <v>362</v>
      </c>
      <c r="C108" s="151">
        <v>1.1000000000000001</v>
      </c>
      <c r="D108" s="17"/>
      <c r="E108" s="148" t="s">
        <v>1679</v>
      </c>
    </row>
    <row r="109" spans="1:5">
      <c r="A109" s="327"/>
      <c r="B109" s="17" t="s">
        <v>1684</v>
      </c>
      <c r="C109" s="17"/>
      <c r="D109" s="17"/>
      <c r="E109" s="148" t="s">
        <v>1624</v>
      </c>
    </row>
    <row r="110" spans="1:5">
      <c r="A110" s="327"/>
      <c r="B110" s="17" t="s">
        <v>1687</v>
      </c>
      <c r="C110" s="17"/>
      <c r="D110" s="17" t="s">
        <v>2116</v>
      </c>
      <c r="E110" s="148" t="s">
        <v>1653</v>
      </c>
    </row>
    <row r="111" spans="1:5">
      <c r="A111" s="327"/>
      <c r="B111" s="17"/>
      <c r="C111" s="17"/>
      <c r="D111" s="17"/>
      <c r="E111" s="148" t="s">
        <v>1638</v>
      </c>
    </row>
    <row r="112" spans="1:5">
      <c r="A112" s="327"/>
      <c r="B112" s="17"/>
      <c r="C112" s="17"/>
      <c r="D112" s="17"/>
      <c r="E112" s="148" t="s">
        <v>1671</v>
      </c>
    </row>
    <row r="113" spans="1:5">
      <c r="A113" s="327"/>
      <c r="B113" s="17"/>
      <c r="C113" s="17"/>
      <c r="D113" s="17"/>
      <c r="E113" s="148" t="s">
        <v>1650</v>
      </c>
    </row>
    <row r="114" spans="1:5" ht="15" thickBot="1">
      <c r="A114" s="327"/>
      <c r="B114" s="17"/>
      <c r="C114" s="17"/>
      <c r="D114" s="17"/>
      <c r="E114" s="149" t="s">
        <v>1681</v>
      </c>
    </row>
    <row r="115" spans="1:5">
      <c r="A115" s="327"/>
      <c r="B115" s="17"/>
      <c r="C115" s="17"/>
      <c r="D115" s="17"/>
    </row>
    <row r="116" spans="1:5" ht="15" thickBot="1">
      <c r="A116" s="328"/>
      <c r="B116" s="11"/>
      <c r="C116" s="11"/>
      <c r="D116" s="11"/>
    </row>
    <row r="118" spans="1:5" ht="15" thickBot="1"/>
    <row r="119" spans="1:5">
      <c r="A119" s="329" t="s">
        <v>374</v>
      </c>
      <c r="B119" s="12" t="s">
        <v>375</v>
      </c>
      <c r="C119" s="12">
        <v>1.1000000000000001</v>
      </c>
      <c r="D119" s="12" t="s">
        <v>375</v>
      </c>
      <c r="E119" s="9" t="s">
        <v>375</v>
      </c>
    </row>
    <row r="120" spans="1:5">
      <c r="A120" s="330"/>
      <c r="D120" s="17"/>
      <c r="E120" s="147" t="s">
        <v>1699</v>
      </c>
    </row>
    <row r="121" spans="1:5">
      <c r="A121" s="330"/>
      <c r="B121" s="17"/>
      <c r="C121" s="17"/>
      <c r="D121" s="17"/>
      <c r="E121" s="147"/>
    </row>
    <row r="122" spans="1:5">
      <c r="A122" s="330"/>
      <c r="B122" s="17" t="s">
        <v>2117</v>
      </c>
      <c r="C122" s="17">
        <v>0.05</v>
      </c>
      <c r="D122" s="17" t="s">
        <v>2117</v>
      </c>
      <c r="E122" s="147" t="s">
        <v>2117</v>
      </c>
    </row>
    <row r="123" spans="1:5">
      <c r="A123" s="330"/>
      <c r="B123" s="17"/>
      <c r="C123" s="17"/>
      <c r="D123" s="17" t="s">
        <v>1699</v>
      </c>
      <c r="E123" s="147"/>
    </row>
    <row r="124" spans="1:5">
      <c r="A124" s="330"/>
      <c r="B124" s="17" t="s">
        <v>1990</v>
      </c>
      <c r="C124" s="17">
        <v>0.05</v>
      </c>
      <c r="D124" s="17" t="s">
        <v>1990</v>
      </c>
      <c r="E124" s="147" t="s">
        <v>1990</v>
      </c>
    </row>
    <row r="125" spans="1:5">
      <c r="A125" s="330"/>
      <c r="B125" s="17" t="s">
        <v>2118</v>
      </c>
      <c r="C125" s="17">
        <v>0.65</v>
      </c>
      <c r="D125" s="17" t="s">
        <v>2118</v>
      </c>
      <c r="E125" s="147" t="s">
        <v>2118</v>
      </c>
    </row>
    <row r="126" spans="1:5">
      <c r="A126" s="330"/>
      <c r="B126" s="17" t="s">
        <v>1996</v>
      </c>
      <c r="C126" s="151">
        <v>1.1000000000000001</v>
      </c>
      <c r="D126" s="17" t="s">
        <v>1996</v>
      </c>
      <c r="E126" s="147" t="s">
        <v>1996</v>
      </c>
    </row>
    <row r="127" spans="1:5">
      <c r="A127" s="330"/>
      <c r="B127" s="17" t="s">
        <v>2000</v>
      </c>
      <c r="C127" s="17">
        <v>0.05</v>
      </c>
      <c r="D127" s="17" t="s">
        <v>2000</v>
      </c>
      <c r="E127" s="147" t="s">
        <v>2000</v>
      </c>
    </row>
    <row r="128" spans="1:5">
      <c r="A128" s="330"/>
      <c r="B128" s="17" t="s">
        <v>2002</v>
      </c>
      <c r="C128" s="17">
        <v>0.45</v>
      </c>
      <c r="D128" s="17" t="s">
        <v>2002</v>
      </c>
      <c r="E128" s="147" t="s">
        <v>2010</v>
      </c>
    </row>
    <row r="129" spans="1:5">
      <c r="A129" s="330"/>
      <c r="B129" s="146" t="s">
        <v>2119</v>
      </c>
      <c r="C129" s="146">
        <v>0.65</v>
      </c>
      <c r="D129" s="146" t="s">
        <v>2119</v>
      </c>
      <c r="E129" s="147" t="s">
        <v>2002</v>
      </c>
    </row>
    <row r="130" spans="1:5">
      <c r="A130" s="330"/>
      <c r="B130" s="146" t="s">
        <v>2120</v>
      </c>
      <c r="C130" s="146">
        <v>0.65</v>
      </c>
      <c r="D130" s="17"/>
      <c r="E130" s="147" t="s">
        <v>2008</v>
      </c>
    </row>
    <row r="131" spans="1:5">
      <c r="A131" s="330"/>
      <c r="B131" s="17" t="s">
        <v>2008</v>
      </c>
      <c r="C131" s="17">
        <v>0.95</v>
      </c>
      <c r="D131" s="17" t="s">
        <v>2008</v>
      </c>
      <c r="E131" s="147" t="s">
        <v>2016</v>
      </c>
    </row>
    <row r="132" spans="1:5">
      <c r="A132" s="330"/>
      <c r="B132" s="146" t="s">
        <v>2121</v>
      </c>
      <c r="C132" s="151">
        <v>1.1000000000000001</v>
      </c>
      <c r="D132" s="146" t="s">
        <v>2121</v>
      </c>
      <c r="E132" s="147"/>
    </row>
    <row r="133" spans="1:5">
      <c r="A133" s="330"/>
      <c r="B133" s="146" t="s">
        <v>2122</v>
      </c>
      <c r="C133" s="151">
        <v>1.1000000000000001</v>
      </c>
      <c r="D133" s="17"/>
      <c r="E133" s="147"/>
    </row>
    <row r="134" spans="1:5">
      <c r="A134" s="330"/>
      <c r="B134" s="17" t="s">
        <v>2010</v>
      </c>
      <c r="C134" s="17">
        <v>1.1000000000000001</v>
      </c>
      <c r="D134" s="17" t="s">
        <v>2010</v>
      </c>
      <c r="E134" s="147"/>
    </row>
    <row r="135" spans="1:5">
      <c r="A135" s="330"/>
      <c r="D135" s="17" t="s">
        <v>2016</v>
      </c>
      <c r="E135" s="147"/>
    </row>
    <row r="136" spans="1:5">
      <c r="A136" s="330"/>
      <c r="B136" s="146" t="s">
        <v>2123</v>
      </c>
      <c r="C136" s="146">
        <v>1.1000000000000001</v>
      </c>
      <c r="D136" s="146" t="s">
        <v>2123</v>
      </c>
      <c r="E136" s="147"/>
    </row>
    <row r="137" spans="1:5">
      <c r="A137" s="330"/>
      <c r="B137" s="146" t="s">
        <v>2124</v>
      </c>
      <c r="C137" s="146">
        <v>1.1000000000000001</v>
      </c>
      <c r="D137" s="17"/>
      <c r="E137" s="147"/>
    </row>
    <row r="138" spans="1:5">
      <c r="A138" s="330"/>
      <c r="B138" s="17"/>
      <c r="C138" s="17"/>
      <c r="D138" s="17"/>
      <c r="E138" s="147"/>
    </row>
    <row r="139" spans="1:5">
      <c r="A139" s="330"/>
      <c r="B139" s="17"/>
      <c r="C139" s="17"/>
      <c r="D139" s="17" t="s">
        <v>2125</v>
      </c>
      <c r="E139" s="147"/>
    </row>
    <row r="140" spans="1:5">
      <c r="A140" s="330"/>
      <c r="B140" s="17" t="s">
        <v>2126</v>
      </c>
      <c r="C140" s="17"/>
      <c r="D140" s="17" t="s">
        <v>2126</v>
      </c>
      <c r="E140" s="147" t="s">
        <v>2126</v>
      </c>
    </row>
    <row r="141" spans="1:5">
      <c r="A141" s="330"/>
      <c r="B141" s="17" t="s">
        <v>1991</v>
      </c>
      <c r="C141" s="17">
        <v>0.05</v>
      </c>
      <c r="D141" s="17" t="s">
        <v>1991</v>
      </c>
      <c r="E141" s="147" t="s">
        <v>1991</v>
      </c>
    </row>
    <row r="142" spans="1:5">
      <c r="A142" s="330"/>
      <c r="B142" s="17" t="s">
        <v>2127</v>
      </c>
      <c r="C142" s="17">
        <v>0.65</v>
      </c>
      <c r="D142" s="17" t="s">
        <v>2127</v>
      </c>
      <c r="E142" s="147" t="s">
        <v>2127</v>
      </c>
    </row>
    <row r="143" spans="1:5">
      <c r="A143" s="330"/>
      <c r="B143" s="17" t="s">
        <v>1997</v>
      </c>
      <c r="C143" s="151">
        <v>1.1000000000000001</v>
      </c>
      <c r="D143" s="17" t="s">
        <v>1997</v>
      </c>
      <c r="E143" s="147" t="s">
        <v>1997</v>
      </c>
    </row>
    <row r="144" spans="1:5">
      <c r="A144" s="330"/>
      <c r="B144" s="17" t="s">
        <v>2001</v>
      </c>
      <c r="C144" s="17">
        <v>0.05</v>
      </c>
      <c r="D144" s="17" t="s">
        <v>2001</v>
      </c>
      <c r="E144" s="147" t="s">
        <v>2001</v>
      </c>
    </row>
    <row r="145" spans="1:5">
      <c r="A145" s="330"/>
      <c r="B145" s="17" t="s">
        <v>2003</v>
      </c>
      <c r="C145" s="17">
        <v>0.45</v>
      </c>
      <c r="D145" s="17" t="s">
        <v>2003</v>
      </c>
      <c r="E145" s="147" t="s">
        <v>2011</v>
      </c>
    </row>
    <row r="146" spans="1:5">
      <c r="A146" s="330"/>
      <c r="B146" s="146" t="s">
        <v>2128</v>
      </c>
      <c r="C146" s="146">
        <v>1.1000000000000001</v>
      </c>
      <c r="D146" s="146" t="s">
        <v>2128</v>
      </c>
      <c r="E146" s="147" t="s">
        <v>2003</v>
      </c>
    </row>
    <row r="147" spans="1:5">
      <c r="A147" s="330"/>
      <c r="B147" s="146" t="s">
        <v>2129</v>
      </c>
      <c r="C147" s="146">
        <v>1.1000000000000001</v>
      </c>
      <c r="D147" s="17"/>
      <c r="E147" s="147" t="s">
        <v>2009</v>
      </c>
    </row>
    <row r="148" spans="1:5">
      <c r="A148" s="330"/>
      <c r="B148" s="17" t="s">
        <v>2009</v>
      </c>
      <c r="C148" s="17">
        <v>0.95</v>
      </c>
      <c r="D148" s="17" t="s">
        <v>2009</v>
      </c>
      <c r="E148" s="147" t="s">
        <v>2019</v>
      </c>
    </row>
    <row r="149" spans="1:5">
      <c r="A149" s="330"/>
      <c r="B149" s="146" t="s">
        <v>2130</v>
      </c>
      <c r="C149" s="151">
        <v>1.1000000000000001</v>
      </c>
      <c r="D149" s="146" t="s">
        <v>2130</v>
      </c>
      <c r="E149" s="147"/>
    </row>
    <row r="150" spans="1:5">
      <c r="A150" s="330"/>
      <c r="B150" s="146" t="s">
        <v>2131</v>
      </c>
      <c r="C150" s="151">
        <v>1.1000000000000001</v>
      </c>
      <c r="D150" s="17" t="s">
        <v>2011</v>
      </c>
      <c r="E150" s="148" t="s">
        <v>2119</v>
      </c>
    </row>
    <row r="151" spans="1:5">
      <c r="A151" s="330"/>
      <c r="B151" s="17" t="s">
        <v>2011</v>
      </c>
      <c r="C151" s="17">
        <v>1.1000000000000001</v>
      </c>
      <c r="D151" s="17"/>
      <c r="E151" s="148" t="s">
        <v>2128</v>
      </c>
    </row>
    <row r="152" spans="1:5">
      <c r="A152" s="330"/>
      <c r="B152" s="152" t="s">
        <v>1699</v>
      </c>
      <c r="C152" s="151">
        <v>1.1000000000000001</v>
      </c>
      <c r="D152" s="17"/>
      <c r="E152" s="148"/>
    </row>
    <row r="153" spans="1:5">
      <c r="A153" s="330"/>
      <c r="B153" s="17" t="s">
        <v>2016</v>
      </c>
      <c r="C153" s="17">
        <v>1.1000000000000001</v>
      </c>
      <c r="D153" s="17"/>
      <c r="E153" s="148"/>
    </row>
    <row r="154" spans="1:5">
      <c r="A154" s="330"/>
      <c r="B154" s="17" t="s">
        <v>2019</v>
      </c>
      <c r="C154" s="17">
        <v>1.1000000000000001</v>
      </c>
      <c r="D154" s="17" t="s">
        <v>2019</v>
      </c>
      <c r="E154" s="148" t="s">
        <v>2121</v>
      </c>
    </row>
    <row r="155" spans="1:5">
      <c r="A155" s="330"/>
      <c r="B155" s="146" t="s">
        <v>2132</v>
      </c>
      <c r="C155" s="146">
        <v>1.1000000000000001</v>
      </c>
      <c r="D155" s="146" t="s">
        <v>2132</v>
      </c>
      <c r="E155" s="148" t="s">
        <v>2130</v>
      </c>
    </row>
    <row r="156" spans="1:5">
      <c r="A156" s="330"/>
      <c r="B156" s="146" t="s">
        <v>2133</v>
      </c>
      <c r="C156" s="146">
        <v>1.1000000000000001</v>
      </c>
      <c r="D156" s="17"/>
      <c r="E156" s="148" t="s">
        <v>2123</v>
      </c>
    </row>
    <row r="157" spans="1:5">
      <c r="A157" s="330"/>
      <c r="B157" s="17"/>
      <c r="C157" s="17"/>
      <c r="D157" s="17"/>
      <c r="E157" s="148" t="s">
        <v>2132</v>
      </c>
    </row>
    <row r="158" spans="1:5">
      <c r="A158" s="330"/>
      <c r="B158" s="17"/>
      <c r="C158" s="17"/>
      <c r="D158" s="17"/>
      <c r="E158" s="148" t="s">
        <v>2120</v>
      </c>
    </row>
    <row r="159" spans="1:5">
      <c r="A159" s="330"/>
      <c r="B159" s="17"/>
      <c r="C159" s="17"/>
      <c r="D159" s="17"/>
      <c r="E159" s="148" t="s">
        <v>2129</v>
      </c>
    </row>
    <row r="160" spans="1:5">
      <c r="A160" s="330"/>
      <c r="B160" s="17"/>
      <c r="C160" s="17"/>
      <c r="D160" s="17"/>
      <c r="E160" s="148" t="s">
        <v>2122</v>
      </c>
    </row>
    <row r="161" spans="1:5">
      <c r="A161" s="330"/>
      <c r="B161" s="17"/>
      <c r="C161" s="17"/>
      <c r="D161" s="17"/>
      <c r="E161" s="148" t="s">
        <v>2131</v>
      </c>
    </row>
    <row r="162" spans="1:5">
      <c r="A162" s="330"/>
      <c r="B162" s="17"/>
      <c r="C162" s="17"/>
      <c r="D162" s="17"/>
      <c r="E162" s="148" t="s">
        <v>2124</v>
      </c>
    </row>
    <row r="163" spans="1:5" ht="15" thickBot="1">
      <c r="A163" s="331"/>
      <c r="B163" s="11"/>
      <c r="C163" s="11"/>
      <c r="D163" s="11"/>
      <c r="E163" s="149" t="s">
        <v>2133</v>
      </c>
    </row>
  </sheetData>
  <mergeCells count="23">
    <mergeCell ref="A67:A116"/>
    <mergeCell ref="A119:A163"/>
    <mergeCell ref="F1:J1"/>
    <mergeCell ref="A2:A16"/>
    <mergeCell ref="A45:A63"/>
    <mergeCell ref="A20:A38"/>
    <mergeCell ref="J2:J17"/>
    <mergeCell ref="I2:I17"/>
    <mergeCell ref="H2:H17"/>
    <mergeCell ref="G2:G17"/>
    <mergeCell ref="F2:F17"/>
    <mergeCell ref="F19:J19"/>
    <mergeCell ref="F20:F41"/>
    <mergeCell ref="J45:J63"/>
    <mergeCell ref="I45:I63"/>
    <mergeCell ref="H45:H63"/>
    <mergeCell ref="G45:G63"/>
    <mergeCell ref="F45:F63"/>
    <mergeCell ref="F44:J44"/>
    <mergeCell ref="J20:J41"/>
    <mergeCell ref="I20:I41"/>
    <mergeCell ref="H20:H41"/>
    <mergeCell ref="G20:G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16E5-FA88-4034-AFBB-231740519248}">
  <sheetPr codeName="Sheet8"/>
  <dimension ref="A1:P400"/>
  <sheetViews>
    <sheetView zoomScale="85" zoomScaleNormal="85" workbookViewId="0">
      <pane ySplit="2" topLeftCell="A153" activePane="bottomLeft" state="frozen"/>
      <selection pane="bottomLeft" activeCell="B389" sqref="B389"/>
    </sheetView>
  </sheetViews>
  <sheetFormatPr defaultRowHeight="14.25"/>
  <cols>
    <col min="1" max="1" width="21.42578125" bestFit="1" customWidth="1"/>
    <col min="2" max="2" width="32.42578125" customWidth="1"/>
    <col min="3" max="3" width="30.42578125" customWidth="1"/>
    <col min="4" max="4" width="12.85546875" customWidth="1"/>
    <col min="5" max="5" width="29.85546875" style="97" customWidth="1"/>
    <col min="6" max="6" width="5.5703125" style="3" bestFit="1" customWidth="1"/>
    <col min="7" max="7" width="4" style="3" bestFit="1" customWidth="1"/>
    <col min="8" max="8" width="5.5703125" style="3" bestFit="1" customWidth="1"/>
    <col min="9" max="9" width="4" style="56" bestFit="1" customWidth="1"/>
    <col min="10" max="10" width="29.140625" style="90" customWidth="1"/>
    <col min="11" max="11" width="5.5703125" bestFit="1" customWidth="1"/>
    <col min="12" max="12" width="4.42578125" bestFit="1" customWidth="1"/>
    <col min="13" max="13" width="3.85546875" bestFit="1" customWidth="1"/>
    <col min="14" max="14" width="4" style="45" bestFit="1" customWidth="1"/>
    <col min="15" max="15" width="4" customWidth="1"/>
    <col min="16" max="16" width="5.42578125" style="106" customWidth="1"/>
  </cols>
  <sheetData>
    <row r="1" spans="1:16">
      <c r="E1" s="303" t="s">
        <v>1344</v>
      </c>
      <c r="F1" s="304"/>
      <c r="G1" s="304"/>
      <c r="H1" s="304"/>
      <c r="I1" s="305"/>
      <c r="J1" s="303" t="s">
        <v>1345</v>
      </c>
      <c r="K1" s="304"/>
      <c r="L1" s="304"/>
      <c r="M1" s="304"/>
      <c r="N1" s="305"/>
      <c r="P1" s="104"/>
    </row>
    <row r="2" spans="1:16">
      <c r="A2" s="28" t="s">
        <v>371</v>
      </c>
      <c r="B2" s="78" t="s">
        <v>149</v>
      </c>
      <c r="C2" s="113" t="s">
        <v>296</v>
      </c>
      <c r="D2" s="79" t="s">
        <v>538</v>
      </c>
      <c r="E2" s="80" t="s">
        <v>83</v>
      </c>
      <c r="F2" s="80" t="s">
        <v>82</v>
      </c>
      <c r="G2" s="80" t="s">
        <v>84</v>
      </c>
      <c r="H2" s="80" t="s">
        <v>79</v>
      </c>
      <c r="I2" s="80" t="s">
        <v>78</v>
      </c>
      <c r="J2" s="80" t="s">
        <v>75</v>
      </c>
      <c r="K2" s="80" t="s">
        <v>372</v>
      </c>
      <c r="L2" s="80" t="s">
        <v>373</v>
      </c>
      <c r="M2" s="80" t="s">
        <v>81</v>
      </c>
      <c r="N2" s="80" t="s">
        <v>80</v>
      </c>
      <c r="P2" s="105" t="s">
        <v>57</v>
      </c>
    </row>
    <row r="3" spans="1:16">
      <c r="A3" s="63" t="s">
        <v>375</v>
      </c>
      <c r="B3" s="63" t="s">
        <v>375</v>
      </c>
      <c r="C3" s="81" t="s">
        <v>542</v>
      </c>
      <c r="D3" s="110" t="s">
        <v>543</v>
      </c>
      <c r="E3" s="108" t="s">
        <v>1346</v>
      </c>
      <c r="F3" s="88" t="s">
        <v>545</v>
      </c>
      <c r="G3" s="88" t="s">
        <v>546</v>
      </c>
      <c r="H3" s="88" t="s">
        <v>547</v>
      </c>
      <c r="I3" s="55" t="s">
        <v>546</v>
      </c>
      <c r="J3" s="89"/>
      <c r="K3" s="53"/>
      <c r="L3" s="53"/>
      <c r="M3" s="53"/>
      <c r="N3" s="16"/>
      <c r="O3" s="53"/>
      <c r="P3" s="92" t="s">
        <v>547</v>
      </c>
    </row>
    <row r="4" spans="1:16">
      <c r="A4" s="66"/>
      <c r="B4" s="66"/>
      <c r="C4" s="1" t="s">
        <v>548</v>
      </c>
      <c r="D4" s="111" t="s">
        <v>543</v>
      </c>
      <c r="E4" s="97" t="s">
        <v>1347</v>
      </c>
      <c r="F4" s="3" t="s">
        <v>550</v>
      </c>
      <c r="G4" s="3" t="s">
        <v>546</v>
      </c>
      <c r="H4" s="3" t="s">
        <v>547</v>
      </c>
      <c r="I4" s="56" t="s">
        <v>546</v>
      </c>
      <c r="P4" s="93" t="s">
        <v>547</v>
      </c>
    </row>
    <row r="5" spans="1:16">
      <c r="A5" s="66"/>
      <c r="B5" s="66"/>
      <c r="C5" s="1" t="s">
        <v>551</v>
      </c>
      <c r="D5" s="111" t="s">
        <v>543</v>
      </c>
      <c r="E5" s="97" t="s">
        <v>1347</v>
      </c>
      <c r="F5" s="3" t="s">
        <v>552</v>
      </c>
      <c r="G5" s="3" t="s">
        <v>546</v>
      </c>
      <c r="H5" s="3" t="s">
        <v>547</v>
      </c>
      <c r="I5" s="56" t="s">
        <v>546</v>
      </c>
      <c r="P5" s="93" t="s">
        <v>547</v>
      </c>
    </row>
    <row r="6" spans="1:16">
      <c r="A6" s="66"/>
      <c r="B6" s="66"/>
      <c r="C6" s="1" t="s">
        <v>553</v>
      </c>
      <c r="D6" s="111" t="s">
        <v>543</v>
      </c>
      <c r="E6" s="97" t="s">
        <v>1347</v>
      </c>
      <c r="F6" s="3" t="s">
        <v>554</v>
      </c>
      <c r="G6" s="3" t="s">
        <v>546</v>
      </c>
      <c r="H6" s="3" t="s">
        <v>547</v>
      </c>
      <c r="I6" s="56" t="s">
        <v>546</v>
      </c>
      <c r="P6" s="93" t="s">
        <v>547</v>
      </c>
    </row>
    <row r="7" spans="1:16">
      <c r="A7" s="66"/>
      <c r="B7" s="66"/>
      <c r="C7" s="1" t="s">
        <v>542</v>
      </c>
      <c r="D7" s="111" t="s">
        <v>543</v>
      </c>
      <c r="J7" s="97" t="s">
        <v>1346</v>
      </c>
      <c r="K7" s="3" t="s">
        <v>545</v>
      </c>
      <c r="L7" s="3" t="s">
        <v>546</v>
      </c>
      <c r="M7" s="3" t="s">
        <v>547</v>
      </c>
      <c r="N7" s="56" t="s">
        <v>546</v>
      </c>
      <c r="P7" s="93" t="s">
        <v>547</v>
      </c>
    </row>
    <row r="8" spans="1:16">
      <c r="A8" s="66"/>
      <c r="B8" s="66"/>
      <c r="C8" s="1" t="s">
        <v>548</v>
      </c>
      <c r="D8" s="111" t="s">
        <v>543</v>
      </c>
      <c r="J8" s="97" t="s">
        <v>1347</v>
      </c>
      <c r="K8" s="3" t="s">
        <v>550</v>
      </c>
      <c r="L8" s="3" t="s">
        <v>546</v>
      </c>
      <c r="M8" s="3" t="s">
        <v>547</v>
      </c>
      <c r="N8" s="56" t="s">
        <v>546</v>
      </c>
      <c r="P8" s="93" t="s">
        <v>547</v>
      </c>
    </row>
    <row r="9" spans="1:16">
      <c r="A9" s="66"/>
      <c r="B9" s="66"/>
      <c r="C9" s="1" t="s">
        <v>551</v>
      </c>
      <c r="D9" s="111" t="s">
        <v>543</v>
      </c>
      <c r="J9" s="97" t="s">
        <v>1347</v>
      </c>
      <c r="K9" s="3" t="s">
        <v>552</v>
      </c>
      <c r="L9" s="3" t="s">
        <v>546</v>
      </c>
      <c r="M9" s="3" t="s">
        <v>547</v>
      </c>
      <c r="N9" s="56" t="s">
        <v>546</v>
      </c>
      <c r="P9" s="93" t="s">
        <v>547</v>
      </c>
    </row>
    <row r="10" spans="1:16">
      <c r="A10" s="66"/>
      <c r="B10" s="64"/>
      <c r="C10" s="84" t="s">
        <v>553</v>
      </c>
      <c r="D10" s="112" t="s">
        <v>543</v>
      </c>
      <c r="E10" s="109"/>
      <c r="F10" s="91"/>
      <c r="G10" s="91"/>
      <c r="H10" s="91"/>
      <c r="I10" s="57"/>
      <c r="J10" s="109" t="s">
        <v>1347</v>
      </c>
      <c r="K10" s="91" t="s">
        <v>554</v>
      </c>
      <c r="L10" s="91" t="s">
        <v>546</v>
      </c>
      <c r="M10" s="91" t="s">
        <v>547</v>
      </c>
      <c r="N10" s="57" t="s">
        <v>546</v>
      </c>
      <c r="O10" s="54"/>
      <c r="P10" s="94" t="s">
        <v>547</v>
      </c>
    </row>
    <row r="11" spans="1:16">
      <c r="A11" s="63" t="s">
        <v>374</v>
      </c>
      <c r="B11" s="63" t="s">
        <v>2134</v>
      </c>
      <c r="C11" s="81" t="s">
        <v>542</v>
      </c>
      <c r="D11" s="81" t="s">
        <v>543</v>
      </c>
      <c r="E11" s="108" t="s">
        <v>1346</v>
      </c>
      <c r="F11" s="88" t="s">
        <v>545</v>
      </c>
      <c r="G11" s="88" t="s">
        <v>546</v>
      </c>
      <c r="H11" s="88" t="s">
        <v>547</v>
      </c>
      <c r="I11" s="55" t="s">
        <v>546</v>
      </c>
      <c r="J11" s="108" t="s">
        <v>1346</v>
      </c>
      <c r="K11" s="88" t="s">
        <v>545</v>
      </c>
      <c r="L11" s="88" t="s">
        <v>546</v>
      </c>
      <c r="M11" s="88" t="s">
        <v>547</v>
      </c>
      <c r="N11" s="55" t="s">
        <v>546</v>
      </c>
      <c r="O11" s="53"/>
      <c r="P11" s="92" t="s">
        <v>547</v>
      </c>
    </row>
    <row r="12" spans="1:16">
      <c r="A12" s="66"/>
      <c r="B12" s="64"/>
      <c r="C12" s="84" t="s">
        <v>557</v>
      </c>
      <c r="D12" s="84" t="s">
        <v>558</v>
      </c>
      <c r="E12" s="109" t="s">
        <v>1346</v>
      </c>
      <c r="F12" s="91" t="s">
        <v>545</v>
      </c>
      <c r="G12" s="91"/>
      <c r="H12" s="91" t="s">
        <v>547</v>
      </c>
      <c r="I12" s="57"/>
      <c r="J12" s="109" t="s">
        <v>1346</v>
      </c>
      <c r="K12" s="91" t="s">
        <v>545</v>
      </c>
      <c r="L12" s="91"/>
      <c r="M12" s="91" t="s">
        <v>547</v>
      </c>
      <c r="N12" s="57"/>
      <c r="O12" s="54"/>
      <c r="P12" s="94"/>
    </row>
    <row r="13" spans="1:16">
      <c r="A13" s="66"/>
      <c r="B13" s="63" t="s">
        <v>376</v>
      </c>
      <c r="C13" s="81" t="s">
        <v>560</v>
      </c>
      <c r="D13" s="81" t="s">
        <v>561</v>
      </c>
      <c r="E13" s="108"/>
      <c r="F13" s="88" t="s">
        <v>552</v>
      </c>
      <c r="G13" s="88" t="s">
        <v>547</v>
      </c>
      <c r="H13" s="88"/>
      <c r="I13" s="55"/>
      <c r="J13" s="108"/>
      <c r="K13" s="88" t="s">
        <v>552</v>
      </c>
      <c r="L13" s="88" t="s">
        <v>547</v>
      </c>
      <c r="M13" s="88"/>
      <c r="N13" s="55"/>
      <c r="O13" s="53"/>
      <c r="P13" s="104"/>
    </row>
    <row r="14" spans="1:16">
      <c r="A14" s="66"/>
      <c r="B14" s="66"/>
      <c r="C14" s="1" t="s">
        <v>562</v>
      </c>
      <c r="D14" s="1" t="s">
        <v>561</v>
      </c>
      <c r="H14" s="3" t="s">
        <v>552</v>
      </c>
      <c r="I14" s="56" t="s">
        <v>547</v>
      </c>
      <c r="J14" s="97"/>
      <c r="K14" s="3"/>
      <c r="L14" s="3"/>
      <c r="M14" s="3" t="s">
        <v>552</v>
      </c>
      <c r="N14" s="56" t="s">
        <v>547</v>
      </c>
    </row>
    <row r="15" spans="1:16">
      <c r="A15" s="66"/>
      <c r="B15" s="66"/>
      <c r="C15" s="1" t="s">
        <v>563</v>
      </c>
      <c r="D15" s="1" t="s">
        <v>561</v>
      </c>
      <c r="E15" s="97" t="s">
        <v>554</v>
      </c>
      <c r="H15" s="3" t="s">
        <v>547</v>
      </c>
      <c r="J15" s="97" t="s">
        <v>554</v>
      </c>
      <c r="K15" s="3"/>
      <c r="L15" s="3"/>
      <c r="M15" s="3" t="s">
        <v>547</v>
      </c>
      <c r="N15" s="56"/>
    </row>
    <row r="16" spans="1:16">
      <c r="A16" s="66"/>
      <c r="B16" s="66"/>
      <c r="C16" s="1" t="s">
        <v>564</v>
      </c>
      <c r="D16" s="1" t="s">
        <v>561</v>
      </c>
      <c r="E16" s="97" t="s">
        <v>554</v>
      </c>
      <c r="F16" s="3" t="s">
        <v>547</v>
      </c>
      <c r="J16" s="97" t="s">
        <v>554</v>
      </c>
      <c r="K16" s="3" t="s">
        <v>547</v>
      </c>
      <c r="L16" s="3"/>
      <c r="M16" s="3"/>
      <c r="N16" s="56"/>
    </row>
    <row r="17" spans="1:16">
      <c r="A17" s="66"/>
      <c r="B17" s="66"/>
      <c r="C17" s="1" t="s">
        <v>565</v>
      </c>
      <c r="D17" s="1" t="s">
        <v>561</v>
      </c>
      <c r="E17" s="97" t="s">
        <v>547</v>
      </c>
      <c r="F17" s="3" t="s">
        <v>554</v>
      </c>
      <c r="H17" s="3" t="s">
        <v>547</v>
      </c>
      <c r="J17" s="97" t="s">
        <v>547</v>
      </c>
      <c r="K17" s="3" t="s">
        <v>554</v>
      </c>
      <c r="L17" s="3"/>
      <c r="M17" s="3" t="s">
        <v>547</v>
      </c>
      <c r="N17" s="56"/>
    </row>
    <row r="18" spans="1:16">
      <c r="A18" s="66"/>
      <c r="B18" s="64"/>
      <c r="C18" s="125" t="s">
        <v>566</v>
      </c>
      <c r="D18" s="84" t="s">
        <v>561</v>
      </c>
      <c r="E18" s="109"/>
      <c r="F18" s="91" t="s">
        <v>554</v>
      </c>
      <c r="G18" s="91"/>
      <c r="H18" s="91" t="s">
        <v>547</v>
      </c>
      <c r="I18" s="57"/>
      <c r="J18" s="109"/>
      <c r="K18" s="91" t="s">
        <v>554</v>
      </c>
      <c r="L18" s="91"/>
      <c r="M18" s="91" t="s">
        <v>547</v>
      </c>
      <c r="N18" s="57"/>
      <c r="O18" s="54"/>
      <c r="P18" s="40"/>
    </row>
    <row r="19" spans="1:16">
      <c r="A19" s="66"/>
      <c r="B19" s="63" t="s">
        <v>377</v>
      </c>
      <c r="C19" s="81" t="s">
        <v>578</v>
      </c>
      <c r="D19" s="81" t="s">
        <v>543</v>
      </c>
      <c r="E19" s="108" t="s">
        <v>554</v>
      </c>
      <c r="F19" s="88" t="s">
        <v>545</v>
      </c>
      <c r="G19" s="88" t="s">
        <v>546</v>
      </c>
      <c r="H19" s="88" t="s">
        <v>547</v>
      </c>
      <c r="I19" s="55" t="s">
        <v>546</v>
      </c>
      <c r="J19" s="108" t="s">
        <v>554</v>
      </c>
      <c r="K19" s="88" t="s">
        <v>545</v>
      </c>
      <c r="L19" s="88" t="s">
        <v>546</v>
      </c>
      <c r="M19" s="88" t="s">
        <v>547</v>
      </c>
      <c r="N19" s="55" t="s">
        <v>546</v>
      </c>
      <c r="O19" s="53"/>
      <c r="P19" s="92" t="s">
        <v>547</v>
      </c>
    </row>
    <row r="20" spans="1:16">
      <c r="A20" s="66"/>
      <c r="B20" s="66"/>
      <c r="C20" s="1" t="s">
        <v>579</v>
      </c>
      <c r="D20" s="1" t="s">
        <v>1348</v>
      </c>
      <c r="E20" s="97" t="s">
        <v>554</v>
      </c>
      <c r="F20" s="3" t="s">
        <v>545</v>
      </c>
      <c r="H20" s="3" t="s">
        <v>547</v>
      </c>
      <c r="J20" s="97" t="s">
        <v>554</v>
      </c>
      <c r="K20" s="3" t="s">
        <v>545</v>
      </c>
      <c r="L20" s="3"/>
      <c r="M20" s="3" t="s">
        <v>547</v>
      </c>
      <c r="N20" s="56"/>
      <c r="P20" s="93" t="s">
        <v>547</v>
      </c>
    </row>
    <row r="21" spans="1:16">
      <c r="A21" s="66"/>
      <c r="B21" s="66"/>
      <c r="C21" s="1" t="s">
        <v>1349</v>
      </c>
      <c r="D21" s="1" t="s">
        <v>1348</v>
      </c>
      <c r="E21" s="97" t="s">
        <v>554</v>
      </c>
      <c r="F21" s="3" t="s">
        <v>545</v>
      </c>
      <c r="H21" s="3" t="s">
        <v>547</v>
      </c>
      <c r="J21" s="97" t="s">
        <v>554</v>
      </c>
      <c r="K21" s="3" t="s">
        <v>545</v>
      </c>
      <c r="L21" s="3"/>
      <c r="M21" s="3" t="s">
        <v>547</v>
      </c>
      <c r="N21" s="56"/>
      <c r="P21" s="93" t="s">
        <v>547</v>
      </c>
    </row>
    <row r="22" spans="1:16">
      <c r="A22" s="66"/>
      <c r="B22" s="66"/>
      <c r="C22" s="1" t="s">
        <v>580</v>
      </c>
      <c r="D22" s="1" t="s">
        <v>543</v>
      </c>
      <c r="E22" s="97" t="s">
        <v>554</v>
      </c>
      <c r="F22" s="3" t="s">
        <v>547</v>
      </c>
      <c r="H22" s="3" t="s">
        <v>547</v>
      </c>
      <c r="J22" s="97" t="s">
        <v>554</v>
      </c>
      <c r="K22" s="3" t="s">
        <v>547</v>
      </c>
      <c r="L22" s="3"/>
      <c r="M22" s="3" t="s">
        <v>547</v>
      </c>
      <c r="P22" s="93" t="s">
        <v>547</v>
      </c>
    </row>
    <row r="23" spans="1:16">
      <c r="A23" s="66"/>
      <c r="B23" s="66"/>
      <c r="C23" s="1" t="s">
        <v>581</v>
      </c>
      <c r="D23" s="1" t="s">
        <v>1348</v>
      </c>
      <c r="E23" s="97" t="s">
        <v>554</v>
      </c>
      <c r="F23" s="3" t="s">
        <v>547</v>
      </c>
      <c r="H23" s="3" t="s">
        <v>547</v>
      </c>
      <c r="J23" s="97" t="s">
        <v>554</v>
      </c>
      <c r="K23" s="3" t="s">
        <v>547</v>
      </c>
      <c r="L23" s="3"/>
      <c r="M23" s="3" t="s">
        <v>547</v>
      </c>
      <c r="P23" s="93" t="s">
        <v>547</v>
      </c>
    </row>
    <row r="24" spans="1:16">
      <c r="A24" s="66"/>
      <c r="B24" s="66"/>
      <c r="C24" s="1" t="s">
        <v>1350</v>
      </c>
      <c r="D24" s="1" t="s">
        <v>1348</v>
      </c>
      <c r="E24" s="97" t="s">
        <v>554</v>
      </c>
      <c r="F24" s="3" t="s">
        <v>547</v>
      </c>
      <c r="H24" s="3" t="s">
        <v>547</v>
      </c>
      <c r="J24" s="97" t="s">
        <v>554</v>
      </c>
      <c r="K24" s="3" t="s">
        <v>547</v>
      </c>
      <c r="L24" s="3"/>
      <c r="M24" s="3" t="s">
        <v>547</v>
      </c>
      <c r="P24" s="93" t="s">
        <v>547</v>
      </c>
    </row>
    <row r="25" spans="1:16">
      <c r="A25" s="66"/>
      <c r="B25" s="66"/>
      <c r="C25" s="1" t="s">
        <v>582</v>
      </c>
      <c r="D25" s="1" t="s">
        <v>543</v>
      </c>
      <c r="E25" s="97" t="s">
        <v>1351</v>
      </c>
      <c r="F25" s="3" t="s">
        <v>545</v>
      </c>
      <c r="G25" s="3" t="s">
        <v>546</v>
      </c>
      <c r="H25" s="3" t="s">
        <v>547</v>
      </c>
      <c r="I25" s="56" t="s">
        <v>546</v>
      </c>
      <c r="J25" s="97" t="s">
        <v>1351</v>
      </c>
      <c r="K25" s="3" t="s">
        <v>545</v>
      </c>
      <c r="L25" s="3" t="s">
        <v>546</v>
      </c>
      <c r="M25" s="3" t="s">
        <v>547</v>
      </c>
      <c r="N25" s="56" t="s">
        <v>546</v>
      </c>
      <c r="P25" s="93" t="s">
        <v>547</v>
      </c>
    </row>
    <row r="26" spans="1:16">
      <c r="A26" s="66"/>
      <c r="B26" s="66"/>
      <c r="C26" s="1" t="s">
        <v>584</v>
      </c>
      <c r="D26" s="1" t="s">
        <v>585</v>
      </c>
      <c r="E26" s="97" t="s">
        <v>1351</v>
      </c>
      <c r="F26" s="3" t="s">
        <v>545</v>
      </c>
      <c r="H26" s="3" t="s">
        <v>547</v>
      </c>
      <c r="J26" s="97" t="s">
        <v>1351</v>
      </c>
      <c r="K26" s="3" t="s">
        <v>545</v>
      </c>
      <c r="L26" s="3"/>
      <c r="M26" s="3" t="s">
        <v>547</v>
      </c>
      <c r="P26" s="93" t="s">
        <v>547</v>
      </c>
    </row>
    <row r="27" spans="1:16">
      <c r="A27" s="66"/>
      <c r="B27" s="66"/>
      <c r="C27" s="1" t="s">
        <v>586</v>
      </c>
      <c r="D27" s="1"/>
    </row>
    <row r="28" spans="1:16">
      <c r="A28" s="66"/>
      <c r="B28" s="66"/>
      <c r="C28" s="1" t="s">
        <v>587</v>
      </c>
      <c r="D28" s="1" t="s">
        <v>569</v>
      </c>
      <c r="E28" s="97" t="s">
        <v>586</v>
      </c>
      <c r="F28" s="3" t="s">
        <v>545</v>
      </c>
      <c r="H28" s="3" t="s">
        <v>547</v>
      </c>
      <c r="J28" s="97" t="s">
        <v>586</v>
      </c>
      <c r="K28" s="3" t="s">
        <v>545</v>
      </c>
      <c r="L28" s="3"/>
      <c r="M28" s="3" t="s">
        <v>547</v>
      </c>
      <c r="N28" s="56"/>
      <c r="P28" s="93" t="s">
        <v>547</v>
      </c>
    </row>
    <row r="29" spans="1:16">
      <c r="A29" s="66"/>
      <c r="B29" s="66"/>
      <c r="C29" s="1" t="s">
        <v>588</v>
      </c>
      <c r="D29" s="1" t="s">
        <v>569</v>
      </c>
      <c r="E29" s="97" t="s">
        <v>586</v>
      </c>
      <c r="F29" s="3" t="s">
        <v>545</v>
      </c>
      <c r="H29" s="3" t="s">
        <v>547</v>
      </c>
      <c r="J29" s="97" t="s">
        <v>586</v>
      </c>
      <c r="K29" s="3" t="s">
        <v>545</v>
      </c>
      <c r="L29" s="3"/>
      <c r="M29" s="3" t="s">
        <v>547</v>
      </c>
      <c r="N29" s="56"/>
      <c r="P29" s="93" t="s">
        <v>547</v>
      </c>
    </row>
    <row r="30" spans="1:16">
      <c r="A30" s="66"/>
      <c r="B30" s="63" t="s">
        <v>378</v>
      </c>
      <c r="C30" s="81" t="s">
        <v>589</v>
      </c>
      <c r="D30" s="81" t="s">
        <v>543</v>
      </c>
      <c r="E30" s="108" t="s">
        <v>583</v>
      </c>
      <c r="F30" s="88" t="s">
        <v>552</v>
      </c>
      <c r="G30" s="88" t="s">
        <v>546</v>
      </c>
      <c r="H30" s="88" t="s">
        <v>547</v>
      </c>
      <c r="I30" s="55" t="s">
        <v>546</v>
      </c>
      <c r="J30" s="108" t="s">
        <v>583</v>
      </c>
      <c r="K30" s="88" t="s">
        <v>552</v>
      </c>
      <c r="L30" s="88" t="s">
        <v>546</v>
      </c>
      <c r="M30" s="88" t="s">
        <v>547</v>
      </c>
      <c r="N30" s="55" t="s">
        <v>546</v>
      </c>
      <c r="O30" s="53"/>
      <c r="P30" s="92" t="s">
        <v>547</v>
      </c>
    </row>
    <row r="31" spans="1:16">
      <c r="A31" s="66"/>
      <c r="B31" s="66"/>
      <c r="C31" s="1" t="s">
        <v>590</v>
      </c>
      <c r="D31" s="1" t="s">
        <v>585</v>
      </c>
      <c r="E31" s="97" t="s">
        <v>583</v>
      </c>
      <c r="F31" s="3" t="s">
        <v>552</v>
      </c>
      <c r="H31" s="3" t="s">
        <v>547</v>
      </c>
      <c r="J31" s="97" t="s">
        <v>583</v>
      </c>
      <c r="K31" s="3" t="s">
        <v>552</v>
      </c>
      <c r="L31" s="3"/>
      <c r="M31" s="3" t="s">
        <v>547</v>
      </c>
      <c r="N31" s="56"/>
    </row>
    <row r="32" spans="1:16">
      <c r="A32" s="66"/>
      <c r="B32" s="66"/>
      <c r="C32" s="1" t="s">
        <v>591</v>
      </c>
      <c r="D32" s="1"/>
      <c r="J32" s="97"/>
      <c r="K32" s="3"/>
      <c r="L32" s="3"/>
      <c r="M32" s="3"/>
      <c r="N32" s="56"/>
    </row>
    <row r="33" spans="1:16">
      <c r="A33" s="66"/>
      <c r="B33" s="66"/>
      <c r="C33" s="1" t="s">
        <v>592</v>
      </c>
      <c r="D33" s="1" t="s">
        <v>569</v>
      </c>
      <c r="E33" s="97" t="s">
        <v>586</v>
      </c>
      <c r="F33" s="3" t="s">
        <v>552</v>
      </c>
      <c r="H33" s="3" t="s">
        <v>547</v>
      </c>
      <c r="J33" s="97" t="s">
        <v>586</v>
      </c>
      <c r="K33" s="3" t="s">
        <v>552</v>
      </c>
      <c r="L33" s="3"/>
      <c r="M33" s="3" t="s">
        <v>547</v>
      </c>
      <c r="N33" s="56"/>
      <c r="P33" s="93"/>
    </row>
    <row r="34" spans="1:16">
      <c r="A34" s="66"/>
      <c r="B34" s="64"/>
      <c r="C34" s="84" t="s">
        <v>1355</v>
      </c>
      <c r="D34" s="84" t="s">
        <v>569</v>
      </c>
      <c r="E34" s="109" t="s">
        <v>586</v>
      </c>
      <c r="F34" s="91" t="s">
        <v>552</v>
      </c>
      <c r="G34" s="91"/>
      <c r="H34" s="91" t="s">
        <v>547</v>
      </c>
      <c r="I34" s="57"/>
      <c r="J34" s="109" t="s">
        <v>586</v>
      </c>
      <c r="K34" s="91" t="s">
        <v>552</v>
      </c>
      <c r="L34" s="91"/>
      <c r="M34" s="91" t="s">
        <v>547</v>
      </c>
      <c r="N34" s="57"/>
      <c r="O34" s="54"/>
      <c r="P34" s="94"/>
    </row>
    <row r="35" spans="1:16">
      <c r="A35" s="66"/>
      <c r="B35" s="63" t="s">
        <v>379</v>
      </c>
      <c r="C35" s="81" t="s">
        <v>593</v>
      </c>
      <c r="D35" s="81" t="s">
        <v>561</v>
      </c>
      <c r="E35" s="108" t="s">
        <v>547</v>
      </c>
      <c r="F35" s="88" t="s">
        <v>552</v>
      </c>
      <c r="G35" s="88"/>
      <c r="H35" s="88" t="s">
        <v>547</v>
      </c>
      <c r="I35" s="55"/>
      <c r="J35" s="108" t="s">
        <v>547</v>
      </c>
      <c r="K35" s="88" t="s">
        <v>552</v>
      </c>
      <c r="L35" s="88"/>
      <c r="M35" s="88" t="s">
        <v>547</v>
      </c>
      <c r="N35" s="16"/>
      <c r="O35" s="53"/>
      <c r="P35" s="104"/>
    </row>
    <row r="36" spans="1:16">
      <c r="A36" s="66"/>
      <c r="B36" s="66"/>
      <c r="C36" s="1" t="s">
        <v>594</v>
      </c>
      <c r="D36" s="1"/>
      <c r="J36" s="97"/>
      <c r="K36" s="3"/>
      <c r="L36" s="3"/>
      <c r="M36" s="3"/>
    </row>
    <row r="37" spans="1:16">
      <c r="A37" s="66"/>
      <c r="B37" s="66"/>
      <c r="C37" s="1" t="s">
        <v>595</v>
      </c>
      <c r="D37" s="1"/>
      <c r="J37" s="97"/>
      <c r="K37" s="3"/>
      <c r="L37" s="3"/>
      <c r="M37" s="3"/>
    </row>
    <row r="38" spans="1:16">
      <c r="A38" s="66"/>
      <c r="B38" s="66"/>
      <c r="C38" s="1" t="s">
        <v>596</v>
      </c>
      <c r="D38" s="1" t="s">
        <v>561</v>
      </c>
      <c r="E38" s="97" t="s">
        <v>597</v>
      </c>
      <c r="F38" s="3" t="s">
        <v>552</v>
      </c>
      <c r="H38" s="3" t="s">
        <v>547</v>
      </c>
      <c r="J38" s="97" t="s">
        <v>597</v>
      </c>
      <c r="K38" s="3" t="s">
        <v>552</v>
      </c>
      <c r="L38" s="3"/>
      <c r="M38" s="3" t="s">
        <v>547</v>
      </c>
    </row>
    <row r="39" spans="1:16">
      <c r="A39" s="66"/>
      <c r="B39" s="66"/>
      <c r="C39" s="1" t="s">
        <v>1356</v>
      </c>
      <c r="J39" s="97"/>
      <c r="K39" s="3"/>
      <c r="L39" s="3"/>
      <c r="M39" s="3"/>
    </row>
    <row r="40" spans="1:16">
      <c r="A40" s="66"/>
      <c r="B40" s="66"/>
      <c r="C40" s="1" t="s">
        <v>598</v>
      </c>
      <c r="D40" s="1" t="s">
        <v>561</v>
      </c>
      <c r="E40" s="97" t="s">
        <v>599</v>
      </c>
      <c r="F40" s="3" t="s">
        <v>552</v>
      </c>
      <c r="H40" s="3" t="s">
        <v>547</v>
      </c>
      <c r="J40" s="97" t="s">
        <v>599</v>
      </c>
      <c r="K40" s="3" t="s">
        <v>552</v>
      </c>
      <c r="L40" s="3"/>
      <c r="M40" s="3" t="s">
        <v>547</v>
      </c>
    </row>
    <row r="41" spans="1:16">
      <c r="A41" s="66"/>
      <c r="B41" s="66"/>
      <c r="C41" s="1" t="s">
        <v>1357</v>
      </c>
      <c r="J41" s="97"/>
      <c r="K41" s="3"/>
      <c r="L41" s="3"/>
      <c r="M41" s="3"/>
    </row>
    <row r="42" spans="1:16">
      <c r="A42" s="66"/>
      <c r="B42" s="66"/>
      <c r="C42" s="1" t="s">
        <v>600</v>
      </c>
      <c r="D42" s="1" t="s">
        <v>561</v>
      </c>
      <c r="E42" s="98" t="s">
        <v>1358</v>
      </c>
      <c r="F42" s="3" t="s">
        <v>552</v>
      </c>
      <c r="H42" s="3" t="s">
        <v>547</v>
      </c>
      <c r="J42" s="98" t="s">
        <v>1358</v>
      </c>
      <c r="K42" s="3" t="s">
        <v>552</v>
      </c>
      <c r="L42" s="3"/>
      <c r="M42" s="3" t="s">
        <v>547</v>
      </c>
    </row>
    <row r="43" spans="1:16">
      <c r="A43" s="66"/>
      <c r="B43" s="66"/>
      <c r="C43" s="1" t="s">
        <v>1359</v>
      </c>
      <c r="D43" s="1"/>
    </row>
    <row r="44" spans="1:16">
      <c r="A44" s="66"/>
      <c r="B44" s="66"/>
      <c r="C44" s="1" t="s">
        <v>602</v>
      </c>
      <c r="D44" s="1" t="s">
        <v>561</v>
      </c>
      <c r="E44" s="98" t="s">
        <v>552</v>
      </c>
      <c r="F44" s="3" t="s">
        <v>547</v>
      </c>
      <c r="H44" s="3" t="s">
        <v>547</v>
      </c>
      <c r="J44" s="98" t="s">
        <v>552</v>
      </c>
      <c r="K44" s="3" t="s">
        <v>547</v>
      </c>
      <c r="L44" s="3"/>
      <c r="M44" s="3" t="s">
        <v>547</v>
      </c>
    </row>
    <row r="45" spans="1:16">
      <c r="A45" s="66"/>
      <c r="B45" s="66"/>
      <c r="C45" s="1" t="s">
        <v>603</v>
      </c>
      <c r="D45" s="1" t="s">
        <v>543</v>
      </c>
      <c r="E45" s="97" t="s">
        <v>604</v>
      </c>
      <c r="F45" s="3" t="s">
        <v>545</v>
      </c>
      <c r="G45" s="3" t="s">
        <v>546</v>
      </c>
      <c r="H45" s="3" t="s">
        <v>547</v>
      </c>
      <c r="I45" s="56" t="s">
        <v>546</v>
      </c>
      <c r="J45" s="97" t="s">
        <v>604</v>
      </c>
      <c r="K45" s="3" t="s">
        <v>545</v>
      </c>
      <c r="L45" s="3" t="s">
        <v>546</v>
      </c>
      <c r="M45" s="3" t="s">
        <v>547</v>
      </c>
      <c r="N45" s="56" t="s">
        <v>546</v>
      </c>
      <c r="P45" s="93" t="s">
        <v>547</v>
      </c>
    </row>
    <row r="46" spans="1:16">
      <c r="A46" s="66"/>
      <c r="B46" s="66"/>
      <c r="C46" s="1" t="s">
        <v>605</v>
      </c>
      <c r="D46" s="1" t="s">
        <v>569</v>
      </c>
      <c r="E46" s="97" t="s">
        <v>552</v>
      </c>
      <c r="F46" s="3" t="s">
        <v>545</v>
      </c>
      <c r="H46" s="3" t="s">
        <v>547</v>
      </c>
      <c r="J46" s="97" t="s">
        <v>552</v>
      </c>
      <c r="K46" s="3" t="s">
        <v>545</v>
      </c>
      <c r="L46" s="3"/>
      <c r="M46" s="3" t="s">
        <v>547</v>
      </c>
      <c r="N46" s="56"/>
      <c r="P46" s="93"/>
    </row>
    <row r="47" spans="1:16">
      <c r="A47" s="66"/>
      <c r="B47" s="66"/>
      <c r="C47" s="1" t="s">
        <v>1360</v>
      </c>
      <c r="D47" s="1" t="s">
        <v>569</v>
      </c>
      <c r="E47" s="97" t="s">
        <v>552</v>
      </c>
      <c r="F47" s="3" t="s">
        <v>545</v>
      </c>
      <c r="H47" s="3" t="s">
        <v>547</v>
      </c>
      <c r="J47" s="97" t="s">
        <v>552</v>
      </c>
      <c r="K47" s="3" t="s">
        <v>545</v>
      </c>
      <c r="L47" s="3"/>
      <c r="M47" s="3" t="s">
        <v>547</v>
      </c>
      <c r="N47" s="56"/>
      <c r="P47" s="93"/>
    </row>
    <row r="48" spans="1:16">
      <c r="A48" s="66"/>
      <c r="B48" s="66"/>
      <c r="C48" s="1" t="s">
        <v>606</v>
      </c>
      <c r="D48" s="1" t="s">
        <v>569</v>
      </c>
      <c r="E48" s="97" t="s">
        <v>607</v>
      </c>
      <c r="F48" s="3" t="s">
        <v>545</v>
      </c>
      <c r="H48" s="3" t="s">
        <v>547</v>
      </c>
      <c r="J48" s="97" t="s">
        <v>607</v>
      </c>
      <c r="K48" s="3" t="s">
        <v>545</v>
      </c>
      <c r="L48" s="3"/>
      <c r="M48" s="3" t="s">
        <v>547</v>
      </c>
      <c r="N48" s="56"/>
      <c r="P48" s="93"/>
    </row>
    <row r="49" spans="1:16">
      <c r="A49" s="66"/>
      <c r="B49" s="66"/>
      <c r="C49" s="1" t="s">
        <v>1361</v>
      </c>
      <c r="D49" s="1" t="s">
        <v>569</v>
      </c>
      <c r="E49" s="97" t="s">
        <v>607</v>
      </c>
      <c r="F49" s="3" t="s">
        <v>545</v>
      </c>
      <c r="H49" s="3" t="s">
        <v>547</v>
      </c>
      <c r="J49" s="97" t="s">
        <v>607</v>
      </c>
      <c r="K49" s="3" t="s">
        <v>545</v>
      </c>
      <c r="L49" s="3"/>
      <c r="M49" s="3" t="s">
        <v>547</v>
      </c>
      <c r="N49" s="56"/>
      <c r="P49" s="93"/>
    </row>
    <row r="50" spans="1:16">
      <c r="A50" s="66"/>
      <c r="B50" s="66"/>
      <c r="C50" s="1" t="s">
        <v>608</v>
      </c>
      <c r="D50" s="1" t="s">
        <v>569</v>
      </c>
      <c r="E50" s="97" t="s">
        <v>609</v>
      </c>
      <c r="F50" s="3" t="s">
        <v>545</v>
      </c>
      <c r="H50" s="3" t="s">
        <v>547</v>
      </c>
      <c r="J50" s="97" t="s">
        <v>609</v>
      </c>
      <c r="K50" s="3" t="s">
        <v>545</v>
      </c>
      <c r="L50" s="3"/>
      <c r="M50" s="3" t="s">
        <v>547</v>
      </c>
      <c r="N50" s="56"/>
      <c r="P50" s="93"/>
    </row>
    <row r="51" spans="1:16">
      <c r="A51" s="66"/>
      <c r="B51" s="66"/>
      <c r="C51" s="1" t="s">
        <v>836</v>
      </c>
      <c r="D51" s="1" t="s">
        <v>569</v>
      </c>
      <c r="E51" s="97" t="s">
        <v>609</v>
      </c>
      <c r="F51" s="3" t="s">
        <v>545</v>
      </c>
      <c r="H51" s="3" t="s">
        <v>547</v>
      </c>
      <c r="J51" s="97" t="s">
        <v>609</v>
      </c>
      <c r="K51" s="3" t="s">
        <v>545</v>
      </c>
      <c r="L51" s="3"/>
      <c r="M51" s="3" t="s">
        <v>547</v>
      </c>
      <c r="N51" s="56"/>
      <c r="P51" s="93"/>
    </row>
    <row r="52" spans="1:16">
      <c r="A52" s="66"/>
      <c r="B52" s="66"/>
      <c r="C52" s="1" t="s">
        <v>610</v>
      </c>
      <c r="D52" s="1" t="s">
        <v>569</v>
      </c>
      <c r="E52" s="97" t="s">
        <v>611</v>
      </c>
      <c r="F52" s="3" t="s">
        <v>545</v>
      </c>
      <c r="H52" s="3" t="s">
        <v>547</v>
      </c>
      <c r="J52" s="97" t="s">
        <v>611</v>
      </c>
      <c r="K52" s="3" t="s">
        <v>545</v>
      </c>
      <c r="L52" s="3"/>
      <c r="M52" s="3" t="s">
        <v>547</v>
      </c>
      <c r="N52" s="56"/>
      <c r="P52" s="93"/>
    </row>
    <row r="53" spans="1:16">
      <c r="A53" s="66"/>
      <c r="B53" s="66"/>
      <c r="C53" s="1" t="s">
        <v>1362</v>
      </c>
      <c r="D53" s="1" t="s">
        <v>569</v>
      </c>
      <c r="E53" s="97" t="s">
        <v>611</v>
      </c>
      <c r="F53" s="3" t="s">
        <v>545</v>
      </c>
      <c r="H53" s="3" t="s">
        <v>547</v>
      </c>
      <c r="J53" s="97" t="s">
        <v>611</v>
      </c>
      <c r="K53" s="3" t="s">
        <v>545</v>
      </c>
      <c r="L53" s="3"/>
      <c r="M53" s="3" t="s">
        <v>547</v>
      </c>
      <c r="N53" s="56"/>
      <c r="P53" s="93"/>
    </row>
    <row r="54" spans="1:16">
      <c r="A54" s="66"/>
      <c r="B54" s="66"/>
      <c r="C54" s="1" t="s">
        <v>2135</v>
      </c>
      <c r="D54" s="1" t="s">
        <v>543</v>
      </c>
      <c r="E54" s="97" t="s">
        <v>554</v>
      </c>
      <c r="F54" s="3" t="s">
        <v>545</v>
      </c>
      <c r="G54" s="3" t="s">
        <v>546</v>
      </c>
      <c r="H54" s="3" t="s">
        <v>547</v>
      </c>
      <c r="I54" s="56" t="s">
        <v>546</v>
      </c>
      <c r="J54" s="97" t="s">
        <v>554</v>
      </c>
      <c r="K54" s="3" t="s">
        <v>545</v>
      </c>
      <c r="L54" s="56" t="s">
        <v>546</v>
      </c>
      <c r="M54" s="3" t="s">
        <v>547</v>
      </c>
      <c r="N54" s="56" t="s">
        <v>546</v>
      </c>
      <c r="P54" s="93" t="s">
        <v>547</v>
      </c>
    </row>
    <row r="55" spans="1:16">
      <c r="A55" s="66"/>
      <c r="B55" s="66"/>
      <c r="C55" s="1" t="s">
        <v>2136</v>
      </c>
      <c r="D55" s="1" t="s">
        <v>569</v>
      </c>
      <c r="E55" s="97" t="s">
        <v>554</v>
      </c>
      <c r="F55" s="3" t="s">
        <v>545</v>
      </c>
      <c r="H55" s="3" t="s">
        <v>547</v>
      </c>
      <c r="J55" s="97" t="s">
        <v>554</v>
      </c>
      <c r="K55" s="3" t="s">
        <v>545</v>
      </c>
      <c r="L55" s="3"/>
      <c r="M55" s="3" t="s">
        <v>547</v>
      </c>
      <c r="N55" s="56"/>
      <c r="P55" s="93"/>
    </row>
    <row r="56" spans="1:16">
      <c r="A56" s="66"/>
      <c r="B56" s="66"/>
      <c r="C56" s="1" t="s">
        <v>2137</v>
      </c>
      <c r="D56" s="1" t="s">
        <v>569</v>
      </c>
      <c r="E56" s="97" t="s">
        <v>554</v>
      </c>
      <c r="F56" s="3" t="s">
        <v>545</v>
      </c>
      <c r="H56" s="3" t="s">
        <v>547</v>
      </c>
      <c r="J56" s="97" t="s">
        <v>554</v>
      </c>
      <c r="K56" s="3" t="s">
        <v>545</v>
      </c>
      <c r="L56" s="3"/>
      <c r="M56" s="3" t="s">
        <v>547</v>
      </c>
      <c r="N56" s="56"/>
      <c r="P56" s="93"/>
    </row>
    <row r="57" spans="1:16">
      <c r="A57" s="66"/>
      <c r="B57" s="66"/>
      <c r="C57" s="1" t="s">
        <v>612</v>
      </c>
      <c r="D57" s="1" t="s">
        <v>543</v>
      </c>
      <c r="E57" s="97" t="s">
        <v>604</v>
      </c>
      <c r="F57" s="3" t="s">
        <v>552</v>
      </c>
      <c r="G57" s="3" t="s">
        <v>546</v>
      </c>
      <c r="H57" s="3" t="s">
        <v>547</v>
      </c>
      <c r="I57" s="56" t="s">
        <v>546</v>
      </c>
      <c r="J57" s="97" t="s">
        <v>604</v>
      </c>
      <c r="K57" s="3" t="s">
        <v>552</v>
      </c>
      <c r="L57" s="3" t="s">
        <v>546</v>
      </c>
      <c r="M57" s="3" t="s">
        <v>547</v>
      </c>
      <c r="N57" s="56" t="s">
        <v>546</v>
      </c>
      <c r="P57" s="93" t="s">
        <v>547</v>
      </c>
    </row>
    <row r="58" spans="1:16">
      <c r="A58" s="66"/>
      <c r="B58" s="66"/>
      <c r="C58" s="1" t="s">
        <v>613</v>
      </c>
      <c r="D58" s="1" t="s">
        <v>569</v>
      </c>
      <c r="E58" s="97" t="s">
        <v>552</v>
      </c>
      <c r="F58" s="3" t="s">
        <v>552</v>
      </c>
      <c r="H58" s="3" t="s">
        <v>547</v>
      </c>
      <c r="J58" s="97" t="s">
        <v>552</v>
      </c>
      <c r="K58" s="3" t="s">
        <v>552</v>
      </c>
      <c r="L58" s="3"/>
      <c r="M58" s="3" t="s">
        <v>547</v>
      </c>
      <c r="N58" s="56"/>
      <c r="P58" s="93"/>
    </row>
    <row r="59" spans="1:16">
      <c r="A59" s="66"/>
      <c r="B59" s="66"/>
      <c r="C59" s="1" t="s">
        <v>1363</v>
      </c>
      <c r="D59" s="1" t="s">
        <v>569</v>
      </c>
      <c r="E59" s="97" t="s">
        <v>552</v>
      </c>
      <c r="F59" s="3" t="s">
        <v>552</v>
      </c>
      <c r="H59" s="3" t="s">
        <v>547</v>
      </c>
      <c r="J59" s="97" t="s">
        <v>552</v>
      </c>
      <c r="K59" s="3" t="s">
        <v>552</v>
      </c>
      <c r="L59" s="3"/>
      <c r="M59" s="3" t="s">
        <v>547</v>
      </c>
      <c r="N59" s="56"/>
      <c r="P59" s="93"/>
    </row>
    <row r="60" spans="1:16">
      <c r="A60" s="66"/>
      <c r="B60" s="66"/>
      <c r="C60" s="1" t="s">
        <v>614</v>
      </c>
      <c r="D60" s="1" t="s">
        <v>569</v>
      </c>
      <c r="E60" s="97" t="s">
        <v>607</v>
      </c>
      <c r="F60" s="3" t="s">
        <v>552</v>
      </c>
      <c r="H60" s="3" t="s">
        <v>547</v>
      </c>
      <c r="J60" s="97" t="s">
        <v>607</v>
      </c>
      <c r="K60" s="3" t="s">
        <v>552</v>
      </c>
      <c r="L60" s="3"/>
      <c r="M60" s="3" t="s">
        <v>547</v>
      </c>
      <c r="N60" s="56"/>
      <c r="P60" s="93"/>
    </row>
    <row r="61" spans="1:16">
      <c r="A61" s="66"/>
      <c r="B61" s="66"/>
      <c r="C61" s="1" t="s">
        <v>1364</v>
      </c>
      <c r="D61" s="1" t="s">
        <v>569</v>
      </c>
      <c r="E61" s="97" t="s">
        <v>607</v>
      </c>
      <c r="F61" s="3" t="s">
        <v>552</v>
      </c>
      <c r="H61" s="3" t="s">
        <v>547</v>
      </c>
      <c r="J61" s="97" t="s">
        <v>607</v>
      </c>
      <c r="K61" s="3" t="s">
        <v>552</v>
      </c>
      <c r="L61" s="3"/>
      <c r="M61" s="3" t="s">
        <v>547</v>
      </c>
      <c r="N61" s="56"/>
      <c r="P61" s="93"/>
    </row>
    <row r="62" spans="1:16">
      <c r="A62" s="66"/>
      <c r="B62" s="66"/>
      <c r="C62" s="1" t="s">
        <v>615</v>
      </c>
      <c r="D62" s="1" t="s">
        <v>569</v>
      </c>
      <c r="E62" s="97" t="s">
        <v>609</v>
      </c>
      <c r="F62" s="3" t="s">
        <v>552</v>
      </c>
      <c r="H62" s="3" t="s">
        <v>547</v>
      </c>
      <c r="J62" s="97" t="s">
        <v>609</v>
      </c>
      <c r="K62" s="3" t="s">
        <v>552</v>
      </c>
      <c r="L62" s="3"/>
      <c r="M62" s="3" t="s">
        <v>547</v>
      </c>
      <c r="N62" s="56"/>
      <c r="P62" s="93"/>
    </row>
    <row r="63" spans="1:16">
      <c r="A63" s="66"/>
      <c r="B63" s="66"/>
      <c r="C63" s="1" t="s">
        <v>1365</v>
      </c>
      <c r="D63" s="1" t="s">
        <v>569</v>
      </c>
      <c r="E63" s="97" t="s">
        <v>609</v>
      </c>
      <c r="F63" s="3" t="s">
        <v>552</v>
      </c>
      <c r="H63" s="3" t="s">
        <v>547</v>
      </c>
      <c r="J63" s="97" t="s">
        <v>609</v>
      </c>
      <c r="K63" s="3" t="s">
        <v>552</v>
      </c>
      <c r="L63" s="3"/>
      <c r="M63" s="3" t="s">
        <v>547</v>
      </c>
      <c r="N63" s="56"/>
      <c r="P63" s="93"/>
    </row>
    <row r="64" spans="1:16">
      <c r="A64" s="66"/>
      <c r="B64" s="66"/>
      <c r="C64" s="1" t="s">
        <v>616</v>
      </c>
      <c r="D64" s="1" t="s">
        <v>569</v>
      </c>
      <c r="E64" s="97" t="s">
        <v>611</v>
      </c>
      <c r="F64" s="3" t="s">
        <v>552</v>
      </c>
      <c r="H64" s="3" t="s">
        <v>547</v>
      </c>
      <c r="J64" s="97" t="s">
        <v>611</v>
      </c>
      <c r="K64" s="3" t="s">
        <v>552</v>
      </c>
      <c r="L64" s="3"/>
      <c r="M64" s="3" t="s">
        <v>547</v>
      </c>
      <c r="N64" s="56"/>
      <c r="P64" s="93"/>
    </row>
    <row r="65" spans="1:16">
      <c r="A65" s="66"/>
      <c r="B65" s="66"/>
      <c r="C65" s="1" t="s">
        <v>1366</v>
      </c>
      <c r="D65" s="1" t="s">
        <v>569</v>
      </c>
      <c r="E65" s="97" t="s">
        <v>611</v>
      </c>
      <c r="F65" s="3" t="s">
        <v>552</v>
      </c>
      <c r="H65" s="3" t="s">
        <v>547</v>
      </c>
      <c r="J65" s="97" t="s">
        <v>611</v>
      </c>
      <c r="K65" s="3" t="s">
        <v>552</v>
      </c>
      <c r="L65" s="3"/>
      <c r="M65" s="3" t="s">
        <v>547</v>
      </c>
      <c r="N65" s="56"/>
      <c r="P65" s="93"/>
    </row>
    <row r="66" spans="1:16">
      <c r="A66" s="66"/>
      <c r="B66" s="66"/>
      <c r="C66" s="1" t="s">
        <v>617</v>
      </c>
      <c r="D66" s="1" t="s">
        <v>543</v>
      </c>
      <c r="E66" s="97" t="s">
        <v>618</v>
      </c>
      <c r="F66" s="3" t="s">
        <v>552</v>
      </c>
      <c r="G66" s="3" t="s">
        <v>546</v>
      </c>
      <c r="H66" s="3" t="s">
        <v>547</v>
      </c>
      <c r="I66" s="56" t="s">
        <v>546</v>
      </c>
      <c r="J66" s="97" t="s">
        <v>618</v>
      </c>
      <c r="K66" s="3" t="s">
        <v>552</v>
      </c>
      <c r="L66" s="3" t="s">
        <v>546</v>
      </c>
      <c r="M66" s="3" t="s">
        <v>547</v>
      </c>
      <c r="N66" s="56" t="s">
        <v>546</v>
      </c>
      <c r="P66" s="93" t="s">
        <v>547</v>
      </c>
    </row>
    <row r="67" spans="1:16">
      <c r="A67" s="66"/>
      <c r="B67" s="66"/>
      <c r="C67" s="1" t="s">
        <v>619</v>
      </c>
      <c r="D67" s="1" t="s">
        <v>569</v>
      </c>
      <c r="E67" s="97" t="s">
        <v>620</v>
      </c>
      <c r="F67" s="3" t="s">
        <v>552</v>
      </c>
      <c r="H67" s="3" t="s">
        <v>547</v>
      </c>
      <c r="J67" s="97" t="s">
        <v>620</v>
      </c>
      <c r="K67" s="3" t="s">
        <v>552</v>
      </c>
      <c r="L67" s="3"/>
      <c r="M67" s="3" t="s">
        <v>547</v>
      </c>
      <c r="N67" s="56"/>
      <c r="P67" s="93"/>
    </row>
    <row r="68" spans="1:16">
      <c r="A68" s="66"/>
      <c r="B68" s="66"/>
      <c r="C68" s="1" t="s">
        <v>1367</v>
      </c>
      <c r="D68" s="1" t="s">
        <v>569</v>
      </c>
      <c r="E68" s="97" t="s">
        <v>620</v>
      </c>
      <c r="F68" s="3" t="s">
        <v>552</v>
      </c>
      <c r="H68" s="3" t="s">
        <v>547</v>
      </c>
      <c r="J68" s="97" t="s">
        <v>620</v>
      </c>
      <c r="K68" s="3" t="s">
        <v>552</v>
      </c>
      <c r="L68" s="3"/>
      <c r="M68" s="3" t="s">
        <v>547</v>
      </c>
      <c r="N68" s="56"/>
    </row>
    <row r="69" spans="1:16">
      <c r="A69" s="66"/>
      <c r="B69" s="66"/>
      <c r="C69" s="1" t="s">
        <v>621</v>
      </c>
      <c r="D69" s="1" t="s">
        <v>569</v>
      </c>
      <c r="E69" s="97" t="s">
        <v>622</v>
      </c>
      <c r="F69" s="3" t="s">
        <v>552</v>
      </c>
      <c r="H69" s="3" t="s">
        <v>547</v>
      </c>
      <c r="J69" s="97" t="s">
        <v>622</v>
      </c>
      <c r="K69" s="3" t="s">
        <v>552</v>
      </c>
      <c r="L69" s="3"/>
      <c r="M69" s="3" t="s">
        <v>547</v>
      </c>
      <c r="N69" s="56"/>
    </row>
    <row r="70" spans="1:16">
      <c r="A70" s="66"/>
      <c r="B70" s="66"/>
      <c r="C70" s="1" t="s">
        <v>1368</v>
      </c>
      <c r="D70" s="1" t="s">
        <v>569</v>
      </c>
      <c r="E70" s="97" t="s">
        <v>622</v>
      </c>
      <c r="F70" s="3" t="s">
        <v>552</v>
      </c>
      <c r="H70" s="3" t="s">
        <v>547</v>
      </c>
      <c r="J70" s="97" t="s">
        <v>622</v>
      </c>
      <c r="K70" s="3" t="s">
        <v>552</v>
      </c>
      <c r="L70" s="3"/>
      <c r="M70" s="3" t="s">
        <v>547</v>
      </c>
      <c r="N70" s="56"/>
    </row>
    <row r="71" spans="1:16">
      <c r="A71" s="66"/>
      <c r="B71" s="66"/>
      <c r="C71" s="1" t="s">
        <v>623</v>
      </c>
      <c r="D71" s="1" t="s">
        <v>569</v>
      </c>
      <c r="E71" s="97" t="s">
        <v>624</v>
      </c>
      <c r="F71" s="3" t="s">
        <v>552</v>
      </c>
      <c r="H71" s="3" t="s">
        <v>547</v>
      </c>
      <c r="J71" s="97" t="s">
        <v>624</v>
      </c>
      <c r="K71" s="3" t="s">
        <v>552</v>
      </c>
      <c r="L71" s="3"/>
      <c r="M71" s="3" t="s">
        <v>547</v>
      </c>
      <c r="N71" s="56"/>
    </row>
    <row r="72" spans="1:16">
      <c r="A72" s="66"/>
      <c r="B72" s="66"/>
      <c r="C72" s="1" t="s">
        <v>1369</v>
      </c>
      <c r="D72" s="1" t="s">
        <v>569</v>
      </c>
      <c r="E72" s="97" t="s">
        <v>624</v>
      </c>
      <c r="F72" s="3" t="s">
        <v>552</v>
      </c>
      <c r="H72" s="3" t="s">
        <v>547</v>
      </c>
      <c r="J72" s="97" t="s">
        <v>624</v>
      </c>
      <c r="K72" s="3" t="s">
        <v>552</v>
      </c>
      <c r="L72" s="3"/>
      <c r="M72" s="3" t="s">
        <v>547</v>
      </c>
      <c r="N72" s="56"/>
    </row>
    <row r="73" spans="1:16">
      <c r="A73" s="66"/>
      <c r="B73" s="66"/>
      <c r="C73" s="1" t="s">
        <v>625</v>
      </c>
      <c r="D73" s="1" t="s">
        <v>569</v>
      </c>
      <c r="E73" s="97" t="s">
        <v>550</v>
      </c>
      <c r="F73" s="3" t="s">
        <v>552</v>
      </c>
      <c r="H73" s="3" t="s">
        <v>547</v>
      </c>
      <c r="J73" s="97" t="s">
        <v>550</v>
      </c>
      <c r="K73" s="3" t="s">
        <v>552</v>
      </c>
      <c r="L73" s="3"/>
      <c r="M73" s="3" t="s">
        <v>547</v>
      </c>
      <c r="N73" s="56"/>
    </row>
    <row r="74" spans="1:16">
      <c r="A74" s="66"/>
      <c r="B74" s="66"/>
      <c r="C74" s="1" t="s">
        <v>1370</v>
      </c>
      <c r="D74" s="1" t="s">
        <v>569</v>
      </c>
      <c r="E74" s="97" t="s">
        <v>550</v>
      </c>
      <c r="F74" s="3" t="s">
        <v>552</v>
      </c>
      <c r="H74" s="3" t="s">
        <v>547</v>
      </c>
      <c r="J74" s="97" t="s">
        <v>550</v>
      </c>
      <c r="K74" s="3" t="s">
        <v>552</v>
      </c>
      <c r="L74" s="3"/>
      <c r="M74" s="3" t="s">
        <v>547</v>
      </c>
      <c r="N74" s="56"/>
    </row>
    <row r="75" spans="1:16">
      <c r="A75" s="66"/>
      <c r="B75" s="66"/>
      <c r="C75" s="1" t="s">
        <v>2138</v>
      </c>
      <c r="D75" s="1" t="s">
        <v>543</v>
      </c>
      <c r="E75" s="97" t="s">
        <v>554</v>
      </c>
      <c r="F75" s="3" t="s">
        <v>552</v>
      </c>
      <c r="G75" s="3" t="s">
        <v>546</v>
      </c>
      <c r="H75" s="3" t="s">
        <v>547</v>
      </c>
      <c r="I75" s="56" t="s">
        <v>546</v>
      </c>
      <c r="J75" s="97" t="s">
        <v>554</v>
      </c>
      <c r="K75" s="3" t="s">
        <v>552</v>
      </c>
      <c r="L75" s="3" t="s">
        <v>546</v>
      </c>
      <c r="M75" s="3" t="s">
        <v>547</v>
      </c>
      <c r="N75" s="56" t="s">
        <v>546</v>
      </c>
      <c r="P75" s="93" t="s">
        <v>547</v>
      </c>
    </row>
    <row r="76" spans="1:16">
      <c r="A76" s="66"/>
      <c r="B76" s="66"/>
      <c r="C76" s="1" t="s">
        <v>2139</v>
      </c>
      <c r="D76" s="1" t="s">
        <v>569</v>
      </c>
      <c r="E76" s="97" t="s">
        <v>554</v>
      </c>
      <c r="F76" s="3" t="s">
        <v>552</v>
      </c>
      <c r="H76" s="3" t="s">
        <v>547</v>
      </c>
      <c r="J76" s="97" t="s">
        <v>554</v>
      </c>
      <c r="K76" s="3" t="s">
        <v>552</v>
      </c>
      <c r="L76" s="3"/>
      <c r="M76" s="3" t="s">
        <v>547</v>
      </c>
      <c r="N76" s="56"/>
      <c r="P76" s="93"/>
    </row>
    <row r="77" spans="1:16">
      <c r="A77" s="66"/>
      <c r="B77" s="66"/>
      <c r="C77" s="1" t="s">
        <v>2140</v>
      </c>
      <c r="D77" s="1" t="s">
        <v>569</v>
      </c>
      <c r="E77" s="97" t="s">
        <v>554</v>
      </c>
      <c r="F77" s="3" t="s">
        <v>552</v>
      </c>
      <c r="H77" s="3" t="s">
        <v>547</v>
      </c>
      <c r="J77" s="97" t="s">
        <v>554</v>
      </c>
      <c r="K77" s="3" t="s">
        <v>552</v>
      </c>
      <c r="L77" s="3"/>
      <c r="M77" s="3" t="s">
        <v>547</v>
      </c>
      <c r="N77" s="56"/>
      <c r="P77" s="93"/>
    </row>
    <row r="78" spans="1:16">
      <c r="A78" s="66"/>
      <c r="B78" s="66"/>
      <c r="C78" s="1" t="s">
        <v>626</v>
      </c>
      <c r="D78" s="1" t="s">
        <v>543</v>
      </c>
      <c r="E78" s="97" t="s">
        <v>604</v>
      </c>
      <c r="F78" s="3" t="s">
        <v>620</v>
      </c>
      <c r="G78" s="3" t="s">
        <v>546</v>
      </c>
      <c r="H78" s="3" t="s">
        <v>547</v>
      </c>
      <c r="I78" s="56" t="s">
        <v>546</v>
      </c>
      <c r="J78" s="97" t="s">
        <v>604</v>
      </c>
      <c r="K78" s="3" t="s">
        <v>620</v>
      </c>
      <c r="L78" s="3" t="s">
        <v>546</v>
      </c>
      <c r="M78" s="3" t="s">
        <v>547</v>
      </c>
      <c r="N78" s="56" t="s">
        <v>546</v>
      </c>
      <c r="P78" s="106" t="s">
        <v>547</v>
      </c>
    </row>
    <row r="79" spans="1:16">
      <c r="A79" s="66"/>
      <c r="B79" s="66"/>
      <c r="C79" s="1" t="s">
        <v>627</v>
      </c>
      <c r="D79" s="1" t="s">
        <v>569</v>
      </c>
      <c r="E79" s="97" t="s">
        <v>552</v>
      </c>
      <c r="F79" s="3" t="s">
        <v>620</v>
      </c>
      <c r="H79" s="3" t="s">
        <v>547</v>
      </c>
      <c r="J79" s="97" t="s">
        <v>552</v>
      </c>
      <c r="K79" s="3" t="s">
        <v>620</v>
      </c>
      <c r="L79" s="3"/>
      <c r="M79" s="3" t="s">
        <v>547</v>
      </c>
      <c r="N79" s="56"/>
    </row>
    <row r="80" spans="1:16">
      <c r="A80" s="66"/>
      <c r="B80" s="66"/>
      <c r="C80" s="1" t="s">
        <v>1371</v>
      </c>
      <c r="D80" s="1" t="s">
        <v>569</v>
      </c>
      <c r="E80" s="97" t="s">
        <v>552</v>
      </c>
      <c r="F80" s="3" t="s">
        <v>620</v>
      </c>
      <c r="H80" s="3" t="s">
        <v>547</v>
      </c>
      <c r="J80" s="97" t="s">
        <v>552</v>
      </c>
      <c r="K80" s="3" t="s">
        <v>620</v>
      </c>
      <c r="L80" s="3"/>
      <c r="M80" s="3" t="s">
        <v>547</v>
      </c>
      <c r="N80" s="56"/>
    </row>
    <row r="81" spans="1:16">
      <c r="A81" s="66"/>
      <c r="B81" s="66"/>
      <c r="C81" s="1" t="s">
        <v>628</v>
      </c>
      <c r="D81" s="1" t="s">
        <v>569</v>
      </c>
      <c r="E81" s="97" t="s">
        <v>607</v>
      </c>
      <c r="F81" s="3" t="s">
        <v>620</v>
      </c>
      <c r="H81" s="3" t="s">
        <v>547</v>
      </c>
      <c r="J81" s="97" t="s">
        <v>607</v>
      </c>
      <c r="K81" s="3" t="s">
        <v>620</v>
      </c>
      <c r="L81" s="3"/>
      <c r="M81" s="3" t="s">
        <v>547</v>
      </c>
      <c r="N81" s="56"/>
    </row>
    <row r="82" spans="1:16">
      <c r="A82" s="66"/>
      <c r="B82" s="66"/>
      <c r="C82" s="1" t="s">
        <v>1372</v>
      </c>
      <c r="D82" s="1" t="s">
        <v>569</v>
      </c>
      <c r="E82" s="97" t="s">
        <v>607</v>
      </c>
      <c r="F82" s="3" t="s">
        <v>620</v>
      </c>
      <c r="H82" s="3" t="s">
        <v>547</v>
      </c>
      <c r="J82" s="97" t="s">
        <v>607</v>
      </c>
      <c r="K82" s="3" t="s">
        <v>620</v>
      </c>
      <c r="L82" s="3"/>
      <c r="M82" s="3" t="s">
        <v>547</v>
      </c>
      <c r="N82" s="56"/>
    </row>
    <row r="83" spans="1:16">
      <c r="A83" s="66"/>
      <c r="B83" s="66"/>
      <c r="C83" s="1" t="s">
        <v>629</v>
      </c>
      <c r="D83" s="1" t="s">
        <v>569</v>
      </c>
      <c r="E83" s="97" t="s">
        <v>609</v>
      </c>
      <c r="F83" s="3" t="s">
        <v>620</v>
      </c>
      <c r="H83" s="3" t="s">
        <v>547</v>
      </c>
      <c r="J83" s="97" t="s">
        <v>609</v>
      </c>
      <c r="K83" s="3" t="s">
        <v>620</v>
      </c>
      <c r="L83" s="3"/>
      <c r="M83" s="3" t="s">
        <v>547</v>
      </c>
      <c r="N83" s="56"/>
    </row>
    <row r="84" spans="1:16">
      <c r="A84" s="66"/>
      <c r="B84" s="66"/>
      <c r="C84" s="1" t="s">
        <v>1373</v>
      </c>
      <c r="D84" s="1" t="s">
        <v>569</v>
      </c>
      <c r="E84" s="97" t="s">
        <v>609</v>
      </c>
      <c r="F84" s="3" t="s">
        <v>620</v>
      </c>
      <c r="H84" s="3" t="s">
        <v>547</v>
      </c>
      <c r="J84" s="97" t="s">
        <v>609</v>
      </c>
      <c r="K84" s="3" t="s">
        <v>620</v>
      </c>
      <c r="L84" s="3"/>
      <c r="M84" s="3" t="s">
        <v>547</v>
      </c>
      <c r="N84" s="56"/>
    </row>
    <row r="85" spans="1:16">
      <c r="A85" s="66"/>
      <c r="B85" s="66"/>
      <c r="C85" s="1" t="s">
        <v>630</v>
      </c>
      <c r="D85" s="1" t="s">
        <v>569</v>
      </c>
      <c r="E85" s="97" t="s">
        <v>611</v>
      </c>
      <c r="F85" s="3" t="s">
        <v>620</v>
      </c>
      <c r="H85" s="3" t="s">
        <v>547</v>
      </c>
      <c r="J85" s="97" t="s">
        <v>611</v>
      </c>
      <c r="K85" s="3" t="s">
        <v>620</v>
      </c>
      <c r="L85" s="3"/>
      <c r="M85" s="3" t="s">
        <v>547</v>
      </c>
      <c r="N85" s="56"/>
    </row>
    <row r="86" spans="1:16">
      <c r="A86" s="66"/>
      <c r="B86" s="66"/>
      <c r="C86" s="1" t="s">
        <v>1374</v>
      </c>
      <c r="D86" s="1" t="s">
        <v>569</v>
      </c>
      <c r="E86" s="97" t="s">
        <v>611</v>
      </c>
      <c r="F86" s="3" t="s">
        <v>620</v>
      </c>
      <c r="H86" s="3" t="s">
        <v>547</v>
      </c>
      <c r="J86" s="97" t="s">
        <v>611</v>
      </c>
      <c r="K86" s="3" t="s">
        <v>620</v>
      </c>
      <c r="L86" s="3"/>
      <c r="M86" s="3" t="s">
        <v>547</v>
      </c>
      <c r="N86" s="56"/>
    </row>
    <row r="87" spans="1:16">
      <c r="A87" s="66"/>
      <c r="B87" s="66"/>
      <c r="C87" s="1" t="s">
        <v>631</v>
      </c>
      <c r="D87" s="1"/>
      <c r="P87" s="93"/>
    </row>
    <row r="88" spans="1:16">
      <c r="A88" s="66"/>
      <c r="B88" s="66"/>
      <c r="C88" s="1" t="s">
        <v>1375</v>
      </c>
      <c r="D88" s="1"/>
      <c r="P88" s="93"/>
    </row>
    <row r="89" spans="1:16">
      <c r="A89" s="66"/>
      <c r="B89" s="66"/>
      <c r="C89" s="1" t="s">
        <v>633</v>
      </c>
      <c r="D89" s="1"/>
      <c r="P89" s="93"/>
    </row>
    <row r="90" spans="1:16">
      <c r="A90" s="66"/>
      <c r="B90" s="66"/>
      <c r="C90" s="1" t="s">
        <v>1376</v>
      </c>
      <c r="D90" s="1"/>
      <c r="P90" s="93"/>
    </row>
    <row r="91" spans="1:16">
      <c r="A91" s="66"/>
      <c r="B91" s="66"/>
      <c r="C91" s="1" t="s">
        <v>634</v>
      </c>
      <c r="D91" s="1"/>
      <c r="P91" s="93"/>
    </row>
    <row r="92" spans="1:16">
      <c r="A92" s="66"/>
      <c r="B92" s="66"/>
      <c r="C92" s="1" t="s">
        <v>1377</v>
      </c>
      <c r="D92" s="1"/>
      <c r="P92" s="93"/>
    </row>
    <row r="93" spans="1:16">
      <c r="A93" s="66"/>
      <c r="B93" s="66"/>
      <c r="C93" s="1" t="s">
        <v>635</v>
      </c>
      <c r="D93" s="1"/>
      <c r="P93" s="93"/>
    </row>
    <row r="94" spans="1:16">
      <c r="A94" s="66"/>
      <c r="B94" s="66"/>
      <c r="C94" s="1" t="s">
        <v>1378</v>
      </c>
      <c r="D94" s="1"/>
      <c r="P94" s="93"/>
    </row>
    <row r="95" spans="1:16">
      <c r="A95" s="66"/>
      <c r="B95" s="66"/>
      <c r="C95" s="1" t="s">
        <v>636</v>
      </c>
      <c r="D95" s="1" t="s">
        <v>543</v>
      </c>
      <c r="E95" s="97" t="s">
        <v>557</v>
      </c>
      <c r="F95" s="3" t="s">
        <v>545</v>
      </c>
      <c r="G95" s="3" t="s">
        <v>546</v>
      </c>
      <c r="H95" s="3" t="s">
        <v>547</v>
      </c>
      <c r="I95" s="56" t="s">
        <v>546</v>
      </c>
      <c r="J95" s="97" t="s">
        <v>557</v>
      </c>
      <c r="K95" s="3" t="s">
        <v>545</v>
      </c>
      <c r="L95" s="3" t="s">
        <v>546</v>
      </c>
      <c r="M95" s="3" t="s">
        <v>547</v>
      </c>
      <c r="N95" s="56" t="s">
        <v>546</v>
      </c>
      <c r="P95" s="93" t="s">
        <v>547</v>
      </c>
    </row>
    <row r="96" spans="1:16">
      <c r="A96" s="66"/>
      <c r="B96" s="66"/>
      <c r="C96" s="1" t="s">
        <v>637</v>
      </c>
      <c r="D96" s="1" t="s">
        <v>569</v>
      </c>
      <c r="E96" s="97" t="s">
        <v>557</v>
      </c>
      <c r="F96" s="3" t="s">
        <v>545</v>
      </c>
      <c r="H96" s="3" t="s">
        <v>547</v>
      </c>
      <c r="J96" s="97" t="s">
        <v>557</v>
      </c>
      <c r="K96" s="3" t="s">
        <v>545</v>
      </c>
      <c r="L96" s="3"/>
      <c r="M96" s="3" t="s">
        <v>547</v>
      </c>
      <c r="N96" s="56"/>
      <c r="P96" s="93"/>
    </row>
    <row r="97" spans="1:16">
      <c r="A97" s="66"/>
      <c r="B97" s="66"/>
      <c r="C97" s="1" t="s">
        <v>1379</v>
      </c>
      <c r="D97" s="1" t="s">
        <v>569</v>
      </c>
      <c r="E97" s="97" t="s">
        <v>557</v>
      </c>
      <c r="F97" s="3" t="s">
        <v>545</v>
      </c>
      <c r="H97" s="3" t="s">
        <v>547</v>
      </c>
      <c r="J97" s="97" t="s">
        <v>557</v>
      </c>
      <c r="K97" s="3" t="s">
        <v>545</v>
      </c>
      <c r="L97" s="3"/>
      <c r="M97" s="3" t="s">
        <v>547</v>
      </c>
      <c r="N97" s="56"/>
      <c r="P97" s="93"/>
    </row>
    <row r="98" spans="1:16">
      <c r="A98" s="66"/>
      <c r="B98" s="66"/>
      <c r="C98" s="1"/>
      <c r="D98" s="1"/>
      <c r="J98" s="97"/>
      <c r="K98" s="3"/>
      <c r="L98" s="3"/>
      <c r="M98" s="3"/>
      <c r="N98" s="56"/>
      <c r="P98" s="93"/>
    </row>
    <row r="99" spans="1:16">
      <c r="A99" s="66"/>
      <c r="B99" s="66"/>
      <c r="C99" s="1" t="s">
        <v>638</v>
      </c>
      <c r="D99" s="1" t="s">
        <v>639</v>
      </c>
      <c r="E99" s="97" t="s">
        <v>583</v>
      </c>
      <c r="F99" s="3" t="s">
        <v>552</v>
      </c>
      <c r="H99" s="3" t="s">
        <v>547</v>
      </c>
      <c r="J99" s="97" t="s">
        <v>583</v>
      </c>
      <c r="K99" s="3" t="s">
        <v>552</v>
      </c>
      <c r="L99" s="3"/>
      <c r="M99" s="3" t="s">
        <v>547</v>
      </c>
      <c r="N99" s="56"/>
      <c r="P99" s="93"/>
    </row>
    <row r="100" spans="1:16">
      <c r="A100" s="66"/>
      <c r="B100" s="66"/>
      <c r="C100" s="1" t="s">
        <v>641</v>
      </c>
      <c r="D100" s="1" t="s">
        <v>639</v>
      </c>
    </row>
    <row r="101" spans="1:16">
      <c r="A101" s="66"/>
      <c r="B101" s="66"/>
      <c r="C101" s="1"/>
      <c r="D101" s="1"/>
    </row>
    <row r="102" spans="1:16">
      <c r="A102" s="66"/>
      <c r="B102" s="66"/>
      <c r="C102" s="1" t="s">
        <v>642</v>
      </c>
      <c r="D102" s="1" t="s">
        <v>639</v>
      </c>
    </row>
    <row r="103" spans="1:16">
      <c r="A103" s="66"/>
      <c r="B103" s="66"/>
      <c r="C103" s="1"/>
      <c r="D103" s="1"/>
    </row>
    <row r="104" spans="1:16">
      <c r="A104" s="66"/>
      <c r="B104" s="66"/>
      <c r="C104" s="1" t="s">
        <v>665</v>
      </c>
      <c r="D104" s="1"/>
    </row>
    <row r="105" spans="1:16">
      <c r="A105" s="66"/>
      <c r="B105" s="66"/>
      <c r="C105" s="1" t="s">
        <v>666</v>
      </c>
      <c r="D105" s="1"/>
    </row>
    <row r="106" spans="1:16">
      <c r="A106" s="66"/>
      <c r="B106" s="66"/>
      <c r="C106" s="1" t="s">
        <v>667</v>
      </c>
      <c r="D106" s="1"/>
    </row>
    <row r="107" spans="1:16">
      <c r="A107" s="66"/>
      <c r="B107" s="66"/>
      <c r="C107" s="1" t="s">
        <v>668</v>
      </c>
      <c r="D107" s="1" t="s">
        <v>561</v>
      </c>
      <c r="E107" s="97" t="s">
        <v>1383</v>
      </c>
      <c r="F107" s="3" t="s">
        <v>552</v>
      </c>
      <c r="H107" s="3" t="s">
        <v>547</v>
      </c>
      <c r="J107" s="97" t="s">
        <v>1383</v>
      </c>
      <c r="K107" s="3" t="s">
        <v>552</v>
      </c>
      <c r="L107" s="3"/>
      <c r="M107" s="3" t="s">
        <v>547</v>
      </c>
    </row>
    <row r="108" spans="1:16">
      <c r="A108" s="66"/>
      <c r="B108" s="66"/>
      <c r="C108" s="1" t="s">
        <v>2141</v>
      </c>
      <c r="D108" s="1" t="s">
        <v>543</v>
      </c>
      <c r="E108" s="97" t="s">
        <v>2142</v>
      </c>
      <c r="F108" s="3" t="s">
        <v>545</v>
      </c>
      <c r="G108" s="3" t="s">
        <v>546</v>
      </c>
      <c r="H108" s="3" t="s">
        <v>547</v>
      </c>
      <c r="I108" s="56" t="s">
        <v>546</v>
      </c>
      <c r="J108" s="97" t="s">
        <v>2142</v>
      </c>
      <c r="K108" s="3" t="s">
        <v>545</v>
      </c>
      <c r="L108" s="3" t="s">
        <v>546</v>
      </c>
      <c r="M108" s="3" t="s">
        <v>547</v>
      </c>
      <c r="N108" s="56" t="s">
        <v>546</v>
      </c>
      <c r="P108" s="106" t="s">
        <v>547</v>
      </c>
    </row>
    <row r="109" spans="1:16">
      <c r="A109" s="66"/>
      <c r="B109" s="66"/>
      <c r="C109" s="1" t="s">
        <v>2143</v>
      </c>
      <c r="D109" s="1" t="s">
        <v>543</v>
      </c>
      <c r="E109" s="97" t="s">
        <v>678</v>
      </c>
      <c r="F109" s="3" t="s">
        <v>545</v>
      </c>
      <c r="G109" s="3" t="s">
        <v>546</v>
      </c>
      <c r="H109" s="3" t="s">
        <v>547</v>
      </c>
      <c r="I109" s="56" t="s">
        <v>546</v>
      </c>
      <c r="J109" s="97" t="s">
        <v>678</v>
      </c>
      <c r="K109" s="3" t="s">
        <v>545</v>
      </c>
      <c r="L109" s="3" t="s">
        <v>546</v>
      </c>
      <c r="M109" s="3" t="s">
        <v>547</v>
      </c>
      <c r="N109" s="56" t="s">
        <v>546</v>
      </c>
      <c r="P109" s="106" t="s">
        <v>547</v>
      </c>
    </row>
    <row r="110" spans="1:16">
      <c r="A110" s="66"/>
      <c r="B110" s="66"/>
      <c r="C110" s="1" t="s">
        <v>673</v>
      </c>
      <c r="D110" s="1" t="s">
        <v>569</v>
      </c>
      <c r="E110" s="97" t="s">
        <v>674</v>
      </c>
      <c r="F110" s="3" t="s">
        <v>545</v>
      </c>
      <c r="H110" s="3" t="s">
        <v>547</v>
      </c>
      <c r="J110" s="97" t="s">
        <v>674</v>
      </c>
      <c r="K110" s="3" t="s">
        <v>545</v>
      </c>
      <c r="L110" s="3"/>
      <c r="M110" s="3" t="s">
        <v>547</v>
      </c>
      <c r="N110" s="56"/>
    </row>
    <row r="111" spans="1:16">
      <c r="A111" s="66"/>
      <c r="B111" s="66"/>
      <c r="C111" s="1" t="s">
        <v>1385</v>
      </c>
      <c r="D111" s="1" t="s">
        <v>569</v>
      </c>
      <c r="E111" s="97" t="s">
        <v>674</v>
      </c>
      <c r="F111" s="3" t="s">
        <v>545</v>
      </c>
      <c r="H111" s="3" t="s">
        <v>547</v>
      </c>
      <c r="J111" s="97" t="s">
        <v>674</v>
      </c>
      <c r="K111" s="3" t="s">
        <v>545</v>
      </c>
      <c r="L111" s="3"/>
      <c r="M111" s="3" t="s">
        <v>547</v>
      </c>
      <c r="N111" s="56"/>
    </row>
    <row r="112" spans="1:16">
      <c r="A112" s="66"/>
      <c r="B112" s="66"/>
      <c r="C112" s="1" t="s">
        <v>675</v>
      </c>
      <c r="D112" s="1" t="s">
        <v>569</v>
      </c>
      <c r="E112" s="97" t="s">
        <v>676</v>
      </c>
      <c r="F112" s="3" t="s">
        <v>545</v>
      </c>
      <c r="H112" s="3" t="s">
        <v>547</v>
      </c>
      <c r="J112" s="97" t="s">
        <v>676</v>
      </c>
      <c r="K112" s="3" t="s">
        <v>545</v>
      </c>
      <c r="L112" s="3"/>
      <c r="M112" s="3" t="s">
        <v>547</v>
      </c>
      <c r="N112" s="56"/>
    </row>
    <row r="113" spans="1:16">
      <c r="A113" s="66"/>
      <c r="B113" s="66"/>
      <c r="C113" s="1" t="s">
        <v>1386</v>
      </c>
      <c r="D113" s="1" t="s">
        <v>569</v>
      </c>
      <c r="E113" s="97" t="s">
        <v>676</v>
      </c>
      <c r="F113" s="3" t="s">
        <v>545</v>
      </c>
      <c r="H113" s="3" t="s">
        <v>547</v>
      </c>
      <c r="J113" s="97" t="s">
        <v>676</v>
      </c>
      <c r="K113" s="3" t="s">
        <v>545</v>
      </c>
      <c r="L113" s="3"/>
      <c r="M113" s="3" t="s">
        <v>547</v>
      </c>
      <c r="N113" s="56"/>
    </row>
    <row r="114" spans="1:16">
      <c r="A114" s="66"/>
      <c r="B114" s="66"/>
      <c r="C114" s="1" t="s">
        <v>677</v>
      </c>
      <c r="D114" s="1" t="s">
        <v>569</v>
      </c>
      <c r="E114" s="97" t="s">
        <v>678</v>
      </c>
      <c r="F114" s="3" t="s">
        <v>545</v>
      </c>
      <c r="H114" s="3" t="s">
        <v>547</v>
      </c>
      <c r="J114" s="97" t="s">
        <v>678</v>
      </c>
      <c r="K114" s="3" t="s">
        <v>545</v>
      </c>
      <c r="L114" s="3"/>
      <c r="M114" s="3" t="s">
        <v>547</v>
      </c>
      <c r="N114" s="56"/>
    </row>
    <row r="115" spans="1:16">
      <c r="A115" s="66"/>
      <c r="B115" s="66"/>
      <c r="C115" s="1" t="s">
        <v>1387</v>
      </c>
      <c r="D115" s="1" t="s">
        <v>569</v>
      </c>
      <c r="E115" s="97" t="s">
        <v>678</v>
      </c>
      <c r="F115" s="3" t="s">
        <v>545</v>
      </c>
      <c r="H115" s="3" t="s">
        <v>547</v>
      </c>
      <c r="J115" s="97" t="s">
        <v>678</v>
      </c>
      <c r="K115" s="3" t="s">
        <v>545</v>
      </c>
      <c r="L115" s="3"/>
      <c r="M115" s="3" t="s">
        <v>547</v>
      </c>
      <c r="N115" s="56"/>
    </row>
    <row r="116" spans="1:16">
      <c r="A116" s="66"/>
      <c r="B116" s="66"/>
      <c r="C116" s="1" t="s">
        <v>2144</v>
      </c>
      <c r="D116" s="1" t="s">
        <v>543</v>
      </c>
      <c r="E116" s="97" t="s">
        <v>2142</v>
      </c>
      <c r="F116" s="3" t="s">
        <v>552</v>
      </c>
      <c r="G116" s="3" t="s">
        <v>546</v>
      </c>
      <c r="H116" s="3" t="s">
        <v>547</v>
      </c>
      <c r="I116" s="56" t="s">
        <v>546</v>
      </c>
      <c r="J116" s="97" t="s">
        <v>2142</v>
      </c>
      <c r="K116" s="3" t="s">
        <v>552</v>
      </c>
      <c r="L116" s="3" t="s">
        <v>546</v>
      </c>
      <c r="M116" s="3" t="s">
        <v>547</v>
      </c>
      <c r="N116" s="56" t="s">
        <v>546</v>
      </c>
      <c r="P116" s="106" t="s">
        <v>547</v>
      </c>
    </row>
    <row r="117" spans="1:16">
      <c r="A117" s="66"/>
      <c r="B117" s="66"/>
      <c r="C117" s="1" t="s">
        <v>2145</v>
      </c>
      <c r="D117" s="1" t="s">
        <v>543</v>
      </c>
      <c r="E117" s="97" t="s">
        <v>678</v>
      </c>
      <c r="F117" s="3" t="s">
        <v>552</v>
      </c>
      <c r="G117" s="3" t="s">
        <v>546</v>
      </c>
      <c r="H117" s="3" t="s">
        <v>547</v>
      </c>
      <c r="I117" s="56" t="s">
        <v>546</v>
      </c>
      <c r="J117" s="97" t="s">
        <v>678</v>
      </c>
      <c r="K117" s="3" t="s">
        <v>552</v>
      </c>
      <c r="L117" s="3" t="s">
        <v>546</v>
      </c>
      <c r="M117" s="3" t="s">
        <v>547</v>
      </c>
      <c r="N117" s="56" t="s">
        <v>546</v>
      </c>
      <c r="P117" s="106" t="s">
        <v>547</v>
      </c>
    </row>
    <row r="118" spans="1:16">
      <c r="A118" s="66"/>
      <c r="B118" s="66"/>
      <c r="C118" s="1" t="s">
        <v>681</v>
      </c>
      <c r="D118" s="1" t="s">
        <v>569</v>
      </c>
      <c r="E118" s="97" t="s">
        <v>674</v>
      </c>
      <c r="F118" s="3" t="s">
        <v>552</v>
      </c>
      <c r="H118" s="3" t="s">
        <v>547</v>
      </c>
      <c r="J118" s="97" t="s">
        <v>674</v>
      </c>
      <c r="K118" s="3" t="s">
        <v>552</v>
      </c>
      <c r="L118" s="3"/>
      <c r="M118" s="3" t="s">
        <v>547</v>
      </c>
      <c r="N118" s="56"/>
    </row>
    <row r="119" spans="1:16">
      <c r="A119" s="66"/>
      <c r="B119" s="66"/>
      <c r="C119" s="1" t="s">
        <v>1388</v>
      </c>
      <c r="D119" s="1" t="s">
        <v>569</v>
      </c>
      <c r="E119" s="97" t="s">
        <v>674</v>
      </c>
      <c r="F119" s="3" t="s">
        <v>552</v>
      </c>
      <c r="H119" s="3" t="s">
        <v>547</v>
      </c>
      <c r="J119" s="97" t="s">
        <v>674</v>
      </c>
      <c r="K119" s="3" t="s">
        <v>552</v>
      </c>
      <c r="L119" s="3"/>
      <c r="M119" s="3" t="s">
        <v>547</v>
      </c>
      <c r="N119" s="56"/>
    </row>
    <row r="120" spans="1:16">
      <c r="A120" s="66"/>
      <c r="B120" s="66"/>
      <c r="C120" s="1" t="s">
        <v>683</v>
      </c>
      <c r="D120" s="1" t="s">
        <v>569</v>
      </c>
      <c r="E120" s="97" t="s">
        <v>676</v>
      </c>
      <c r="F120" s="3" t="s">
        <v>552</v>
      </c>
      <c r="H120" s="3" t="s">
        <v>547</v>
      </c>
      <c r="J120" s="97" t="s">
        <v>676</v>
      </c>
      <c r="K120" s="3" t="s">
        <v>552</v>
      </c>
      <c r="L120" s="3"/>
      <c r="M120" s="3" t="s">
        <v>547</v>
      </c>
      <c r="N120" s="56"/>
    </row>
    <row r="121" spans="1:16">
      <c r="A121" s="66"/>
      <c r="B121" s="66"/>
      <c r="C121" s="1" t="s">
        <v>1389</v>
      </c>
      <c r="D121" s="1" t="s">
        <v>569</v>
      </c>
      <c r="E121" s="97" t="s">
        <v>676</v>
      </c>
      <c r="F121" s="3" t="s">
        <v>552</v>
      </c>
      <c r="H121" s="3" t="s">
        <v>547</v>
      </c>
      <c r="J121" s="97" t="s">
        <v>676</v>
      </c>
      <c r="K121" s="3" t="s">
        <v>552</v>
      </c>
      <c r="L121" s="3"/>
      <c r="M121" s="3" t="s">
        <v>547</v>
      </c>
      <c r="N121" s="56"/>
    </row>
    <row r="122" spans="1:16">
      <c r="A122" s="66"/>
      <c r="B122" s="66"/>
      <c r="C122" s="1" t="s">
        <v>685</v>
      </c>
      <c r="D122" s="1" t="s">
        <v>569</v>
      </c>
      <c r="E122" s="97" t="s">
        <v>678</v>
      </c>
      <c r="F122" s="3" t="s">
        <v>552</v>
      </c>
      <c r="H122" s="3" t="s">
        <v>547</v>
      </c>
      <c r="J122" s="97" t="s">
        <v>678</v>
      </c>
      <c r="K122" s="3" t="s">
        <v>552</v>
      </c>
      <c r="L122" s="3"/>
      <c r="M122" s="3" t="s">
        <v>547</v>
      </c>
      <c r="N122" s="56"/>
    </row>
    <row r="123" spans="1:16">
      <c r="A123" s="66"/>
      <c r="B123" s="66"/>
      <c r="C123" s="1" t="s">
        <v>1390</v>
      </c>
      <c r="D123" s="1" t="s">
        <v>569</v>
      </c>
      <c r="E123" s="97" t="s">
        <v>678</v>
      </c>
      <c r="F123" s="3" t="s">
        <v>552</v>
      </c>
      <c r="H123" s="3" t="s">
        <v>547</v>
      </c>
      <c r="J123" s="97" t="s">
        <v>678</v>
      </c>
      <c r="K123" s="3" t="s">
        <v>552</v>
      </c>
      <c r="L123" s="3"/>
      <c r="M123" s="3" t="s">
        <v>547</v>
      </c>
      <c r="N123" s="56"/>
    </row>
    <row r="124" spans="1:16">
      <c r="A124" s="66"/>
      <c r="B124" s="66"/>
      <c r="C124" s="1" t="s">
        <v>687</v>
      </c>
      <c r="D124" s="1" t="s">
        <v>543</v>
      </c>
      <c r="E124" s="97" t="s">
        <v>1391</v>
      </c>
      <c r="F124" s="3" t="s">
        <v>545</v>
      </c>
      <c r="G124" s="3" t="s">
        <v>546</v>
      </c>
      <c r="H124" s="3" t="s">
        <v>547</v>
      </c>
      <c r="I124" s="56" t="s">
        <v>546</v>
      </c>
      <c r="J124" s="97" t="s">
        <v>1391</v>
      </c>
      <c r="K124" s="3" t="s">
        <v>545</v>
      </c>
      <c r="L124" s="3" t="s">
        <v>546</v>
      </c>
      <c r="M124" s="3" t="s">
        <v>547</v>
      </c>
      <c r="N124" s="56" t="s">
        <v>546</v>
      </c>
      <c r="P124" s="106" t="s">
        <v>547</v>
      </c>
    </row>
    <row r="125" spans="1:16">
      <c r="A125" s="66"/>
      <c r="B125" s="66"/>
      <c r="C125" s="1" t="s">
        <v>689</v>
      </c>
      <c r="D125" s="1" t="s">
        <v>543</v>
      </c>
      <c r="E125" s="97" t="s">
        <v>1392</v>
      </c>
      <c r="F125" s="3" t="s">
        <v>545</v>
      </c>
      <c r="G125" s="3" t="s">
        <v>546</v>
      </c>
      <c r="H125" s="3" t="s">
        <v>547</v>
      </c>
      <c r="I125" s="56" t="s">
        <v>546</v>
      </c>
      <c r="J125" s="97" t="s">
        <v>1392</v>
      </c>
      <c r="K125" s="3" t="s">
        <v>545</v>
      </c>
      <c r="L125" s="3" t="s">
        <v>546</v>
      </c>
      <c r="M125" s="3" t="s">
        <v>547</v>
      </c>
      <c r="N125" s="56" t="s">
        <v>546</v>
      </c>
      <c r="P125" s="106" t="s">
        <v>547</v>
      </c>
    </row>
    <row r="126" spans="1:16">
      <c r="A126" s="66"/>
      <c r="B126" s="66"/>
      <c r="C126" s="1" t="s">
        <v>691</v>
      </c>
      <c r="D126" s="1" t="s">
        <v>569</v>
      </c>
      <c r="E126" s="97" t="s">
        <v>1393</v>
      </c>
      <c r="F126" s="3" t="s">
        <v>545</v>
      </c>
      <c r="H126" s="3" t="s">
        <v>547</v>
      </c>
      <c r="J126" s="97" t="s">
        <v>1393</v>
      </c>
      <c r="K126" s="3" t="s">
        <v>545</v>
      </c>
      <c r="L126" s="3"/>
      <c r="M126" s="3" t="s">
        <v>547</v>
      </c>
    </row>
    <row r="127" spans="1:16">
      <c r="A127" s="66"/>
      <c r="B127" s="66"/>
      <c r="C127" s="1" t="s">
        <v>1394</v>
      </c>
      <c r="D127" s="1" t="s">
        <v>569</v>
      </c>
      <c r="E127" s="97" t="s">
        <v>1393</v>
      </c>
      <c r="F127" s="3" t="s">
        <v>545</v>
      </c>
      <c r="H127" s="3" t="s">
        <v>547</v>
      </c>
      <c r="J127" s="97" t="s">
        <v>1393</v>
      </c>
      <c r="K127" s="3" t="s">
        <v>545</v>
      </c>
      <c r="L127" s="3"/>
      <c r="M127" s="3" t="s">
        <v>547</v>
      </c>
    </row>
    <row r="128" spans="1:16">
      <c r="A128" s="66"/>
      <c r="B128" s="66"/>
      <c r="C128" s="1" t="s">
        <v>693</v>
      </c>
      <c r="D128" s="1" t="s">
        <v>569</v>
      </c>
      <c r="E128" s="97" t="s">
        <v>1395</v>
      </c>
      <c r="F128" s="3" t="s">
        <v>545</v>
      </c>
      <c r="H128" s="3" t="s">
        <v>547</v>
      </c>
      <c r="J128" s="97" t="s">
        <v>1395</v>
      </c>
      <c r="K128" s="3" t="s">
        <v>545</v>
      </c>
      <c r="L128" s="3"/>
      <c r="M128" s="3" t="s">
        <v>547</v>
      </c>
    </row>
    <row r="129" spans="1:16">
      <c r="A129" s="66"/>
      <c r="B129" s="66"/>
      <c r="C129" s="1" t="s">
        <v>1396</v>
      </c>
      <c r="D129" s="1" t="s">
        <v>569</v>
      </c>
      <c r="E129" s="97" t="s">
        <v>1395</v>
      </c>
      <c r="F129" s="3" t="s">
        <v>545</v>
      </c>
      <c r="H129" s="3" t="s">
        <v>547</v>
      </c>
      <c r="J129" s="97" t="s">
        <v>1395</v>
      </c>
      <c r="K129" s="3" t="s">
        <v>545</v>
      </c>
      <c r="L129" s="3"/>
      <c r="M129" s="3" t="s">
        <v>547</v>
      </c>
    </row>
    <row r="130" spans="1:16">
      <c r="A130" s="66"/>
      <c r="B130" s="66"/>
      <c r="C130" s="1" t="s">
        <v>695</v>
      </c>
      <c r="D130" s="1" t="s">
        <v>569</v>
      </c>
      <c r="E130" s="97" t="s">
        <v>1397</v>
      </c>
      <c r="F130" s="3" t="s">
        <v>545</v>
      </c>
      <c r="H130" s="3" t="s">
        <v>547</v>
      </c>
      <c r="J130" s="97" t="s">
        <v>1397</v>
      </c>
      <c r="K130" s="3" t="s">
        <v>545</v>
      </c>
      <c r="L130" s="3"/>
      <c r="M130" s="3" t="s">
        <v>547</v>
      </c>
    </row>
    <row r="131" spans="1:16">
      <c r="A131" s="66"/>
      <c r="B131" s="66"/>
      <c r="C131" s="1" t="s">
        <v>1398</v>
      </c>
      <c r="D131" s="1" t="s">
        <v>569</v>
      </c>
      <c r="E131" s="97" t="s">
        <v>1397</v>
      </c>
      <c r="F131" s="3" t="s">
        <v>545</v>
      </c>
      <c r="H131" s="3" t="s">
        <v>547</v>
      </c>
      <c r="J131" s="97" t="s">
        <v>1397</v>
      </c>
      <c r="K131" s="3" t="s">
        <v>545</v>
      </c>
      <c r="L131" s="3"/>
      <c r="M131" s="3" t="s">
        <v>547</v>
      </c>
    </row>
    <row r="132" spans="1:16">
      <c r="A132" s="66"/>
      <c r="B132" s="66"/>
      <c r="C132" s="1" t="s">
        <v>697</v>
      </c>
      <c r="D132" s="1" t="s">
        <v>569</v>
      </c>
      <c r="E132" s="97" t="s">
        <v>1399</v>
      </c>
      <c r="F132" s="3" t="s">
        <v>545</v>
      </c>
      <c r="H132" s="3" t="s">
        <v>547</v>
      </c>
      <c r="J132" s="97" t="s">
        <v>1399</v>
      </c>
      <c r="K132" s="3" t="s">
        <v>545</v>
      </c>
      <c r="L132" s="3"/>
      <c r="M132" s="3" t="s">
        <v>547</v>
      </c>
    </row>
    <row r="133" spans="1:16">
      <c r="A133" s="66"/>
      <c r="B133" s="66"/>
      <c r="C133" s="1" t="s">
        <v>1400</v>
      </c>
      <c r="D133" s="1" t="s">
        <v>569</v>
      </c>
      <c r="E133" s="97" t="s">
        <v>1399</v>
      </c>
      <c r="F133" s="3" t="s">
        <v>545</v>
      </c>
      <c r="H133" s="3" t="s">
        <v>547</v>
      </c>
      <c r="J133" s="97" t="s">
        <v>1399</v>
      </c>
      <c r="K133" s="3" t="s">
        <v>545</v>
      </c>
      <c r="L133" s="3"/>
      <c r="M133" s="3" t="s">
        <v>547</v>
      </c>
    </row>
    <row r="134" spans="1:16">
      <c r="A134" s="66"/>
      <c r="B134" s="66"/>
      <c r="C134" s="1" t="s">
        <v>709</v>
      </c>
      <c r="D134" s="1" t="s">
        <v>543</v>
      </c>
      <c r="E134" s="97" t="s">
        <v>1401</v>
      </c>
      <c r="F134" s="3" t="s">
        <v>545</v>
      </c>
      <c r="G134" s="3" t="s">
        <v>546</v>
      </c>
      <c r="H134" s="3" t="s">
        <v>547</v>
      </c>
      <c r="I134" s="56" t="s">
        <v>546</v>
      </c>
      <c r="J134" s="97" t="s">
        <v>1401</v>
      </c>
      <c r="K134" s="3" t="s">
        <v>545</v>
      </c>
      <c r="L134" s="3" t="s">
        <v>546</v>
      </c>
      <c r="M134" s="3" t="s">
        <v>547</v>
      </c>
      <c r="N134" s="56" t="s">
        <v>546</v>
      </c>
      <c r="P134" s="106" t="s">
        <v>547</v>
      </c>
    </row>
    <row r="135" spans="1:16">
      <c r="A135" s="66"/>
      <c r="B135" s="66"/>
      <c r="C135" s="1" t="s">
        <v>711</v>
      </c>
      <c r="D135" s="1" t="s">
        <v>543</v>
      </c>
      <c r="E135" s="97" t="s">
        <v>1402</v>
      </c>
      <c r="F135" s="3" t="s">
        <v>545</v>
      </c>
      <c r="G135" s="3" t="s">
        <v>546</v>
      </c>
      <c r="H135" s="3" t="s">
        <v>547</v>
      </c>
      <c r="I135" s="56" t="s">
        <v>546</v>
      </c>
      <c r="J135" s="97" t="s">
        <v>1402</v>
      </c>
      <c r="K135" s="3" t="s">
        <v>545</v>
      </c>
      <c r="L135" s="3" t="s">
        <v>546</v>
      </c>
      <c r="M135" s="3" t="s">
        <v>547</v>
      </c>
      <c r="N135" s="56" t="s">
        <v>546</v>
      </c>
      <c r="P135" s="106" t="s">
        <v>547</v>
      </c>
    </row>
    <row r="136" spans="1:16">
      <c r="A136" s="66"/>
      <c r="B136" s="66"/>
      <c r="C136" s="1" t="s">
        <v>713</v>
      </c>
      <c r="D136" s="1" t="s">
        <v>569</v>
      </c>
      <c r="E136" s="97" t="s">
        <v>1403</v>
      </c>
      <c r="F136" s="3" t="s">
        <v>545</v>
      </c>
      <c r="H136" s="3" t="s">
        <v>547</v>
      </c>
      <c r="J136" s="97" t="s">
        <v>1403</v>
      </c>
      <c r="K136" s="3" t="s">
        <v>545</v>
      </c>
      <c r="L136" s="3"/>
      <c r="M136" s="3" t="s">
        <v>547</v>
      </c>
      <c r="N136" s="56"/>
    </row>
    <row r="137" spans="1:16">
      <c r="A137" s="66"/>
      <c r="B137" s="66"/>
      <c r="C137" s="1" t="s">
        <v>1404</v>
      </c>
      <c r="D137" s="1" t="s">
        <v>569</v>
      </c>
      <c r="E137" s="97" t="s">
        <v>1403</v>
      </c>
      <c r="F137" s="3" t="s">
        <v>545</v>
      </c>
      <c r="H137" s="3" t="s">
        <v>547</v>
      </c>
      <c r="J137" s="97" t="s">
        <v>1403</v>
      </c>
      <c r="K137" s="3" t="s">
        <v>545</v>
      </c>
      <c r="L137" s="3"/>
      <c r="M137" s="3" t="s">
        <v>547</v>
      </c>
      <c r="N137" s="56"/>
    </row>
    <row r="138" spans="1:16">
      <c r="A138" s="66"/>
      <c r="B138" s="66"/>
      <c r="C138" s="1" t="s">
        <v>715</v>
      </c>
      <c r="D138" s="1" t="s">
        <v>569</v>
      </c>
      <c r="E138" s="97" t="s">
        <v>1405</v>
      </c>
      <c r="F138" s="3" t="s">
        <v>545</v>
      </c>
      <c r="H138" s="3" t="s">
        <v>547</v>
      </c>
      <c r="J138" s="97" t="s">
        <v>1405</v>
      </c>
      <c r="K138" s="3" t="s">
        <v>545</v>
      </c>
      <c r="L138" s="3"/>
      <c r="M138" s="3" t="s">
        <v>547</v>
      </c>
      <c r="N138" s="56"/>
    </row>
    <row r="139" spans="1:16">
      <c r="A139" s="66"/>
      <c r="B139" s="66"/>
      <c r="C139" s="1" t="s">
        <v>1406</v>
      </c>
      <c r="D139" s="1" t="s">
        <v>569</v>
      </c>
      <c r="E139" s="97" t="s">
        <v>1405</v>
      </c>
      <c r="F139" s="3" t="s">
        <v>545</v>
      </c>
      <c r="H139" s="3" t="s">
        <v>547</v>
      </c>
      <c r="J139" s="97" t="s">
        <v>1405</v>
      </c>
      <c r="K139" s="3" t="s">
        <v>545</v>
      </c>
      <c r="L139" s="3"/>
      <c r="M139" s="3" t="s">
        <v>547</v>
      </c>
      <c r="N139" s="56"/>
    </row>
    <row r="140" spans="1:16">
      <c r="A140" s="66"/>
      <c r="B140" s="66"/>
      <c r="C140" s="1" t="s">
        <v>717</v>
      </c>
      <c r="D140" s="1" t="s">
        <v>569</v>
      </c>
      <c r="E140" s="97" t="s">
        <v>1407</v>
      </c>
      <c r="F140" s="3" t="s">
        <v>545</v>
      </c>
      <c r="H140" s="3" t="s">
        <v>547</v>
      </c>
      <c r="J140" s="97" t="s">
        <v>1407</v>
      </c>
      <c r="K140" s="3" t="s">
        <v>545</v>
      </c>
      <c r="L140" s="3"/>
      <c r="M140" s="3" t="s">
        <v>547</v>
      </c>
      <c r="N140" s="56"/>
    </row>
    <row r="141" spans="1:16">
      <c r="A141" s="66"/>
      <c r="B141" s="66"/>
      <c r="C141" s="1" t="s">
        <v>1408</v>
      </c>
      <c r="D141" s="1" t="s">
        <v>569</v>
      </c>
      <c r="E141" s="97" t="s">
        <v>1407</v>
      </c>
      <c r="F141" s="3" t="s">
        <v>545</v>
      </c>
      <c r="H141" s="3" t="s">
        <v>547</v>
      </c>
      <c r="J141" s="97" t="s">
        <v>1407</v>
      </c>
      <c r="K141" s="3" t="s">
        <v>545</v>
      </c>
      <c r="L141" s="3"/>
      <c r="M141" s="3" t="s">
        <v>547</v>
      </c>
      <c r="N141" s="56"/>
    </row>
    <row r="142" spans="1:16">
      <c r="A142" s="66"/>
      <c r="B142" s="66"/>
      <c r="C142" s="1" t="s">
        <v>719</v>
      </c>
      <c r="D142" s="1" t="s">
        <v>569</v>
      </c>
      <c r="E142" s="97" t="s">
        <v>1409</v>
      </c>
      <c r="F142" s="3" t="s">
        <v>545</v>
      </c>
      <c r="H142" s="3" t="s">
        <v>547</v>
      </c>
      <c r="J142" s="97" t="s">
        <v>1409</v>
      </c>
      <c r="K142" s="3" t="s">
        <v>545</v>
      </c>
      <c r="L142" s="3"/>
      <c r="M142" s="3" t="s">
        <v>547</v>
      </c>
      <c r="N142" s="56"/>
    </row>
    <row r="143" spans="1:16">
      <c r="A143" s="66"/>
      <c r="B143" s="66"/>
      <c r="C143" s="1" t="s">
        <v>1410</v>
      </c>
      <c r="D143" s="1" t="s">
        <v>569</v>
      </c>
      <c r="E143" s="97" t="s">
        <v>1409</v>
      </c>
      <c r="F143" s="3" t="s">
        <v>545</v>
      </c>
      <c r="H143" s="3" t="s">
        <v>547</v>
      </c>
      <c r="J143" s="97" t="s">
        <v>1409</v>
      </c>
      <c r="K143" s="3" t="s">
        <v>545</v>
      </c>
      <c r="L143" s="3"/>
      <c r="M143" s="3" t="s">
        <v>547</v>
      </c>
      <c r="N143" s="56"/>
    </row>
    <row r="144" spans="1:16">
      <c r="A144" s="66"/>
      <c r="B144" s="66"/>
      <c r="C144" s="1" t="s">
        <v>721</v>
      </c>
      <c r="D144" s="1" t="s">
        <v>543</v>
      </c>
      <c r="E144" s="97" t="s">
        <v>1401</v>
      </c>
      <c r="F144" s="3" t="s">
        <v>552</v>
      </c>
      <c r="G144" s="3" t="s">
        <v>546</v>
      </c>
      <c r="H144" s="3" t="s">
        <v>547</v>
      </c>
      <c r="I144" s="56" t="s">
        <v>546</v>
      </c>
      <c r="J144" s="97" t="s">
        <v>1401</v>
      </c>
      <c r="K144" s="3" t="s">
        <v>552</v>
      </c>
      <c r="L144" s="3" t="s">
        <v>546</v>
      </c>
      <c r="M144" s="3" t="s">
        <v>547</v>
      </c>
      <c r="N144" s="56" t="s">
        <v>546</v>
      </c>
      <c r="P144" s="106" t="s">
        <v>547</v>
      </c>
    </row>
    <row r="145" spans="1:16">
      <c r="A145" s="66"/>
      <c r="B145" s="66"/>
      <c r="C145" s="1" t="s">
        <v>723</v>
      </c>
      <c r="D145" s="1" t="s">
        <v>543</v>
      </c>
      <c r="E145" s="97" t="s">
        <v>1407</v>
      </c>
      <c r="F145" s="3" t="s">
        <v>552</v>
      </c>
      <c r="G145" s="3" t="s">
        <v>546</v>
      </c>
      <c r="H145" s="3" t="s">
        <v>547</v>
      </c>
      <c r="I145" s="56" t="s">
        <v>546</v>
      </c>
      <c r="J145" s="97" t="s">
        <v>1407</v>
      </c>
      <c r="K145" s="3" t="s">
        <v>552</v>
      </c>
      <c r="L145" s="3" t="s">
        <v>546</v>
      </c>
      <c r="M145" s="3" t="s">
        <v>547</v>
      </c>
      <c r="N145" s="56" t="s">
        <v>546</v>
      </c>
      <c r="P145" s="106" t="s">
        <v>547</v>
      </c>
    </row>
    <row r="146" spans="1:16">
      <c r="A146" s="66"/>
      <c r="B146" s="66"/>
      <c r="C146" s="1" t="s">
        <v>724</v>
      </c>
      <c r="D146" s="1" t="s">
        <v>569</v>
      </c>
      <c r="E146" s="97" t="s">
        <v>1403</v>
      </c>
      <c r="F146" s="3" t="s">
        <v>552</v>
      </c>
      <c r="H146" s="3" t="s">
        <v>547</v>
      </c>
      <c r="J146" s="97" t="s">
        <v>1403</v>
      </c>
      <c r="K146" s="3" t="s">
        <v>552</v>
      </c>
      <c r="L146" s="3"/>
      <c r="M146" s="3" t="s">
        <v>547</v>
      </c>
      <c r="N146" s="56"/>
    </row>
    <row r="147" spans="1:16">
      <c r="A147" s="66"/>
      <c r="B147" s="66"/>
      <c r="C147" s="1" t="s">
        <v>1411</v>
      </c>
      <c r="D147" s="1" t="s">
        <v>569</v>
      </c>
      <c r="E147" s="97" t="s">
        <v>1403</v>
      </c>
      <c r="F147" s="3" t="s">
        <v>552</v>
      </c>
      <c r="H147" s="3" t="s">
        <v>547</v>
      </c>
      <c r="J147" s="97" t="s">
        <v>1403</v>
      </c>
      <c r="K147" s="3" t="s">
        <v>552</v>
      </c>
      <c r="L147" s="3"/>
      <c r="M147" s="3" t="s">
        <v>547</v>
      </c>
      <c r="N147" s="56"/>
    </row>
    <row r="148" spans="1:16">
      <c r="A148" s="66"/>
      <c r="B148" s="66"/>
      <c r="C148" s="1" t="s">
        <v>726</v>
      </c>
      <c r="D148" s="1" t="s">
        <v>569</v>
      </c>
      <c r="E148" s="97" t="s">
        <v>1405</v>
      </c>
      <c r="F148" s="3" t="s">
        <v>552</v>
      </c>
      <c r="H148" s="3" t="s">
        <v>547</v>
      </c>
      <c r="J148" s="97" t="s">
        <v>1405</v>
      </c>
      <c r="K148" s="3" t="s">
        <v>552</v>
      </c>
      <c r="L148" s="3"/>
      <c r="M148" s="3" t="s">
        <v>547</v>
      </c>
      <c r="N148" s="56"/>
    </row>
    <row r="149" spans="1:16">
      <c r="A149" s="66"/>
      <c r="B149" s="66"/>
      <c r="C149" s="1" t="s">
        <v>1412</v>
      </c>
      <c r="D149" s="1" t="s">
        <v>569</v>
      </c>
      <c r="E149" s="97" t="s">
        <v>1405</v>
      </c>
      <c r="F149" s="3" t="s">
        <v>552</v>
      </c>
      <c r="H149" s="3" t="s">
        <v>547</v>
      </c>
      <c r="J149" s="97" t="s">
        <v>1405</v>
      </c>
      <c r="K149" s="3" t="s">
        <v>552</v>
      </c>
      <c r="L149" s="3"/>
      <c r="M149" s="3" t="s">
        <v>547</v>
      </c>
      <c r="N149" s="56"/>
    </row>
    <row r="150" spans="1:16">
      <c r="A150" s="66"/>
      <c r="B150" s="66"/>
      <c r="C150" s="1" t="s">
        <v>728</v>
      </c>
      <c r="D150" s="1" t="s">
        <v>569</v>
      </c>
      <c r="E150" s="97" t="s">
        <v>1407</v>
      </c>
      <c r="F150" s="3" t="s">
        <v>552</v>
      </c>
      <c r="H150" s="3" t="s">
        <v>547</v>
      </c>
      <c r="J150" s="97" t="s">
        <v>1407</v>
      </c>
      <c r="K150" s="3" t="s">
        <v>552</v>
      </c>
      <c r="L150" s="3"/>
      <c r="M150" s="3" t="s">
        <v>547</v>
      </c>
      <c r="N150" s="56"/>
    </row>
    <row r="151" spans="1:16">
      <c r="A151" s="66"/>
      <c r="B151" s="66"/>
      <c r="C151" s="1" t="s">
        <v>1413</v>
      </c>
      <c r="D151" s="1" t="s">
        <v>569</v>
      </c>
      <c r="E151" s="97" t="s">
        <v>1407</v>
      </c>
      <c r="F151" s="3" t="s">
        <v>552</v>
      </c>
      <c r="H151" s="3" t="s">
        <v>547</v>
      </c>
      <c r="J151" s="97" t="s">
        <v>1407</v>
      </c>
      <c r="K151" s="3" t="s">
        <v>552</v>
      </c>
      <c r="L151" s="3"/>
      <c r="M151" s="3" t="s">
        <v>547</v>
      </c>
      <c r="N151" s="56"/>
    </row>
    <row r="152" spans="1:16">
      <c r="A152" s="66"/>
      <c r="B152" s="66"/>
      <c r="C152" s="1"/>
      <c r="D152" s="1"/>
    </row>
    <row r="153" spans="1:16">
      <c r="A153" s="66"/>
      <c r="B153" s="66"/>
      <c r="C153" t="s">
        <v>1419</v>
      </c>
    </row>
    <row r="154" spans="1:16">
      <c r="A154" s="66"/>
      <c r="B154" s="66"/>
      <c r="C154" t="s">
        <v>1420</v>
      </c>
    </row>
    <row r="155" spans="1:16">
      <c r="A155" s="66"/>
      <c r="B155" s="66"/>
      <c r="C155" t="s">
        <v>1421</v>
      </c>
    </row>
    <row r="156" spans="1:16">
      <c r="A156" s="66"/>
      <c r="B156" s="66"/>
      <c r="C156" t="s">
        <v>1422</v>
      </c>
    </row>
    <row r="157" spans="1:16">
      <c r="A157" s="66"/>
      <c r="B157" s="66"/>
      <c r="C157" t="s">
        <v>1423</v>
      </c>
    </row>
    <row r="158" spans="1:16">
      <c r="A158" s="66"/>
      <c r="B158" s="66"/>
      <c r="C158" t="s">
        <v>1424</v>
      </c>
    </row>
    <row r="159" spans="1:16">
      <c r="A159" s="66"/>
      <c r="B159" s="64"/>
      <c r="C159" s="54" t="s">
        <v>1425</v>
      </c>
      <c r="D159" s="54"/>
      <c r="E159" s="109"/>
      <c r="F159" s="91"/>
      <c r="G159" s="91"/>
      <c r="H159" s="91"/>
      <c r="I159" s="57"/>
      <c r="J159" s="117"/>
      <c r="K159" s="54"/>
      <c r="L159" s="54"/>
      <c r="M159" s="54"/>
      <c r="N159" s="46"/>
      <c r="O159" s="54"/>
      <c r="P159" s="40"/>
    </row>
    <row r="160" spans="1:16">
      <c r="A160" s="66"/>
      <c r="B160" s="63" t="s">
        <v>380</v>
      </c>
      <c r="C160" s="53" t="s">
        <v>734</v>
      </c>
      <c r="D160" s="53" t="s">
        <v>543</v>
      </c>
      <c r="E160" s="108" t="s">
        <v>1426</v>
      </c>
      <c r="F160" s="88" t="s">
        <v>545</v>
      </c>
      <c r="G160" s="88" t="s">
        <v>546</v>
      </c>
      <c r="H160" s="88" t="s">
        <v>547</v>
      </c>
      <c r="I160" s="55" t="s">
        <v>546</v>
      </c>
      <c r="J160" s="108" t="s">
        <v>1426</v>
      </c>
      <c r="K160" s="88" t="s">
        <v>545</v>
      </c>
      <c r="L160" s="88" t="s">
        <v>546</v>
      </c>
      <c r="M160" s="88" t="s">
        <v>547</v>
      </c>
      <c r="N160" s="55" t="s">
        <v>546</v>
      </c>
      <c r="O160" s="53"/>
      <c r="P160" s="104" t="s">
        <v>547</v>
      </c>
    </row>
    <row r="161" spans="1:16">
      <c r="A161" s="66"/>
      <c r="B161" s="66"/>
      <c r="C161" t="s">
        <v>736</v>
      </c>
      <c r="D161" t="s">
        <v>737</v>
      </c>
      <c r="E161" s="97" t="s">
        <v>1426</v>
      </c>
      <c r="F161" s="3" t="s">
        <v>545</v>
      </c>
      <c r="H161" s="3" t="s">
        <v>547</v>
      </c>
      <c r="J161" s="97" t="s">
        <v>1426</v>
      </c>
      <c r="K161" s="3" t="s">
        <v>545</v>
      </c>
      <c r="L161" s="3"/>
      <c r="M161" s="3" t="s">
        <v>547</v>
      </c>
      <c r="N161" s="56"/>
    </row>
    <row r="162" spans="1:16">
      <c r="A162" s="66"/>
      <c r="B162" s="66"/>
      <c r="C162" t="s">
        <v>738</v>
      </c>
    </row>
    <row r="163" spans="1:16">
      <c r="A163" s="66"/>
      <c r="B163" s="64"/>
      <c r="C163" s="54" t="s">
        <v>739</v>
      </c>
      <c r="D163" s="54"/>
      <c r="E163" s="109"/>
      <c r="F163" s="91"/>
      <c r="G163" s="91"/>
      <c r="H163" s="91"/>
      <c r="I163" s="57"/>
      <c r="J163" s="117"/>
      <c r="K163" s="54"/>
      <c r="L163" s="54"/>
      <c r="M163" s="54"/>
      <c r="N163" s="46"/>
      <c r="O163" s="54"/>
      <c r="P163" s="40"/>
    </row>
    <row r="164" spans="1:16">
      <c r="A164" s="52"/>
      <c r="B164" s="63" t="s">
        <v>2146</v>
      </c>
      <c r="C164" s="53" t="s">
        <v>741</v>
      </c>
      <c r="D164" s="53" t="s">
        <v>543</v>
      </c>
      <c r="E164" s="108" t="s">
        <v>1484</v>
      </c>
      <c r="F164" s="88" t="s">
        <v>571</v>
      </c>
      <c r="G164" s="88" t="s">
        <v>546</v>
      </c>
      <c r="H164" s="88" t="s">
        <v>547</v>
      </c>
      <c r="I164" s="55" t="s">
        <v>546</v>
      </c>
      <c r="J164" s="108" t="s">
        <v>1484</v>
      </c>
      <c r="K164" s="88" t="s">
        <v>571</v>
      </c>
      <c r="L164" s="88" t="s">
        <v>546</v>
      </c>
      <c r="M164" s="88" t="s">
        <v>547</v>
      </c>
      <c r="N164" s="55" t="s">
        <v>546</v>
      </c>
      <c r="O164" s="53"/>
      <c r="P164" s="104" t="s">
        <v>547</v>
      </c>
    </row>
    <row r="165" spans="1:16">
      <c r="A165" s="52"/>
      <c r="B165" s="66"/>
      <c r="C165" t="s">
        <v>743</v>
      </c>
      <c r="D165" t="s">
        <v>543</v>
      </c>
      <c r="E165" s="97" t="s">
        <v>1484</v>
      </c>
      <c r="F165" s="3" t="s">
        <v>599</v>
      </c>
      <c r="G165" s="3" t="s">
        <v>546</v>
      </c>
      <c r="H165" s="3" t="s">
        <v>547</v>
      </c>
      <c r="I165" s="56" t="s">
        <v>546</v>
      </c>
      <c r="J165" s="97" t="s">
        <v>1484</v>
      </c>
      <c r="K165" s="3" t="s">
        <v>599</v>
      </c>
      <c r="L165" s="3" t="s">
        <v>546</v>
      </c>
      <c r="M165" s="3" t="s">
        <v>547</v>
      </c>
      <c r="N165" s="56" t="s">
        <v>546</v>
      </c>
      <c r="P165" s="106" t="s">
        <v>547</v>
      </c>
    </row>
    <row r="166" spans="1:16">
      <c r="A166" s="52"/>
      <c r="B166" s="66"/>
      <c r="C166" t="s">
        <v>744</v>
      </c>
      <c r="D166" t="s">
        <v>543</v>
      </c>
      <c r="E166" s="97" t="s">
        <v>1484</v>
      </c>
      <c r="F166" s="3" t="s">
        <v>745</v>
      </c>
      <c r="G166" s="3" t="s">
        <v>546</v>
      </c>
      <c r="H166" s="3" t="s">
        <v>547</v>
      </c>
      <c r="I166" s="56" t="s">
        <v>546</v>
      </c>
      <c r="J166" s="97" t="s">
        <v>1484</v>
      </c>
      <c r="K166" s="3" t="s">
        <v>745</v>
      </c>
      <c r="L166" s="3" t="s">
        <v>546</v>
      </c>
      <c r="M166" s="3" t="s">
        <v>547</v>
      </c>
      <c r="N166" s="56" t="s">
        <v>546</v>
      </c>
      <c r="P166" s="106" t="s">
        <v>547</v>
      </c>
    </row>
    <row r="167" spans="1:16">
      <c r="A167" s="52"/>
      <c r="B167" s="66"/>
      <c r="C167" t="s">
        <v>746</v>
      </c>
      <c r="D167" t="s">
        <v>543</v>
      </c>
      <c r="E167" s="97" t="s">
        <v>1484</v>
      </c>
      <c r="F167" s="3" t="s">
        <v>550</v>
      </c>
      <c r="G167" s="3" t="s">
        <v>546</v>
      </c>
      <c r="H167" s="3" t="s">
        <v>547</v>
      </c>
      <c r="I167" s="56" t="s">
        <v>546</v>
      </c>
      <c r="J167" s="97" t="s">
        <v>1484</v>
      </c>
      <c r="K167" s="3" t="s">
        <v>550</v>
      </c>
      <c r="L167" s="3" t="s">
        <v>546</v>
      </c>
      <c r="M167" s="3" t="s">
        <v>547</v>
      </c>
      <c r="N167" s="56" t="s">
        <v>546</v>
      </c>
      <c r="P167" s="106" t="s">
        <v>547</v>
      </c>
    </row>
    <row r="168" spans="1:16">
      <c r="A168" s="52"/>
      <c r="B168" s="66"/>
      <c r="C168" t="s">
        <v>747</v>
      </c>
      <c r="D168" t="s">
        <v>543</v>
      </c>
      <c r="E168" s="97" t="s">
        <v>1484</v>
      </c>
      <c r="F168" s="3" t="s">
        <v>748</v>
      </c>
      <c r="G168" s="3" t="s">
        <v>546</v>
      </c>
      <c r="H168" s="3" t="s">
        <v>547</v>
      </c>
      <c r="I168" s="56" t="s">
        <v>546</v>
      </c>
      <c r="J168" s="97" t="s">
        <v>1484</v>
      </c>
      <c r="K168" s="3" t="s">
        <v>748</v>
      </c>
      <c r="L168" s="3" t="s">
        <v>546</v>
      </c>
      <c r="M168" s="3" t="s">
        <v>547</v>
      </c>
      <c r="N168" s="56" t="s">
        <v>546</v>
      </c>
      <c r="P168" s="106" t="s">
        <v>547</v>
      </c>
    </row>
    <row r="169" spans="1:16">
      <c r="A169" s="52"/>
      <c r="B169" s="66"/>
      <c r="C169" t="s">
        <v>749</v>
      </c>
      <c r="D169" t="s">
        <v>543</v>
      </c>
      <c r="E169" s="97" t="s">
        <v>1484</v>
      </c>
      <c r="F169" s="3" t="s">
        <v>620</v>
      </c>
      <c r="G169" s="3" t="s">
        <v>546</v>
      </c>
      <c r="H169" s="3" t="s">
        <v>547</v>
      </c>
      <c r="I169" s="56" t="s">
        <v>546</v>
      </c>
      <c r="J169" s="97" t="s">
        <v>1484</v>
      </c>
      <c r="K169" s="3" t="s">
        <v>620</v>
      </c>
      <c r="L169" s="3" t="s">
        <v>546</v>
      </c>
      <c r="M169" s="3" t="s">
        <v>547</v>
      </c>
      <c r="N169" s="56" t="s">
        <v>546</v>
      </c>
      <c r="P169" s="106" t="s">
        <v>547</v>
      </c>
    </row>
    <row r="170" spans="1:16">
      <c r="A170" s="52"/>
      <c r="B170" s="66"/>
      <c r="C170" t="s">
        <v>750</v>
      </c>
      <c r="D170" t="s">
        <v>543</v>
      </c>
      <c r="E170" s="97" t="s">
        <v>1484</v>
      </c>
      <c r="F170" s="3" t="s">
        <v>576</v>
      </c>
      <c r="G170" s="3" t="s">
        <v>546</v>
      </c>
      <c r="H170" s="3" t="s">
        <v>547</v>
      </c>
      <c r="I170" s="56" t="s">
        <v>546</v>
      </c>
      <c r="J170" s="97" t="s">
        <v>1484</v>
      </c>
      <c r="K170" s="3" t="s">
        <v>576</v>
      </c>
      <c r="L170" s="3" t="s">
        <v>546</v>
      </c>
      <c r="M170" s="3" t="s">
        <v>547</v>
      </c>
      <c r="N170" s="56" t="s">
        <v>546</v>
      </c>
      <c r="P170" s="106" t="s">
        <v>547</v>
      </c>
    </row>
    <row r="171" spans="1:16">
      <c r="A171" s="52"/>
      <c r="B171" s="66"/>
      <c r="C171" t="s">
        <v>751</v>
      </c>
      <c r="D171" t="s">
        <v>569</v>
      </c>
      <c r="E171" s="97" t="s">
        <v>1485</v>
      </c>
      <c r="F171" s="3" t="s">
        <v>571</v>
      </c>
      <c r="H171" s="3" t="s">
        <v>547</v>
      </c>
      <c r="J171" s="97" t="s">
        <v>1485</v>
      </c>
      <c r="K171" s="3" t="s">
        <v>571</v>
      </c>
      <c r="L171" s="3"/>
      <c r="M171" s="3" t="s">
        <v>547</v>
      </c>
    </row>
    <row r="172" spans="1:16">
      <c r="A172" s="52"/>
      <c r="B172" s="66"/>
      <c r="C172" t="s">
        <v>753</v>
      </c>
      <c r="D172" t="s">
        <v>569</v>
      </c>
      <c r="E172" s="97" t="s">
        <v>1486</v>
      </c>
      <c r="F172" s="3" t="s">
        <v>571</v>
      </c>
      <c r="H172" s="3" t="s">
        <v>547</v>
      </c>
      <c r="J172" s="97" t="s">
        <v>1486</v>
      </c>
      <c r="K172" s="3" t="s">
        <v>571</v>
      </c>
      <c r="L172" s="3"/>
      <c r="M172" s="3" t="s">
        <v>547</v>
      </c>
    </row>
    <row r="173" spans="1:16">
      <c r="A173" s="52"/>
      <c r="B173" s="66"/>
      <c r="C173" t="s">
        <v>755</v>
      </c>
      <c r="D173" t="s">
        <v>569</v>
      </c>
      <c r="E173" s="97" t="s">
        <v>674</v>
      </c>
      <c r="F173" s="3" t="s">
        <v>571</v>
      </c>
      <c r="H173" s="3" t="s">
        <v>547</v>
      </c>
      <c r="J173" s="97" t="s">
        <v>674</v>
      </c>
      <c r="K173" s="3" t="s">
        <v>571</v>
      </c>
      <c r="L173" s="3"/>
      <c r="M173" s="3" t="s">
        <v>547</v>
      </c>
    </row>
    <row r="174" spans="1:16">
      <c r="A174" s="52"/>
      <c r="B174" s="66"/>
      <c r="C174" t="s">
        <v>756</v>
      </c>
      <c r="D174" t="s">
        <v>569</v>
      </c>
      <c r="E174" s="97" t="s">
        <v>1487</v>
      </c>
      <c r="F174" s="3" t="s">
        <v>571</v>
      </c>
      <c r="H174" s="3" t="s">
        <v>547</v>
      </c>
      <c r="J174" s="97" t="s">
        <v>1487</v>
      </c>
      <c r="K174" s="3" t="s">
        <v>571</v>
      </c>
      <c r="L174" s="3"/>
      <c r="M174" s="3" t="s">
        <v>547</v>
      </c>
    </row>
    <row r="175" spans="1:16">
      <c r="A175" s="52"/>
      <c r="B175" s="66"/>
      <c r="C175" t="s">
        <v>758</v>
      </c>
      <c r="D175" t="s">
        <v>569</v>
      </c>
      <c r="E175" s="97" t="s">
        <v>1488</v>
      </c>
      <c r="F175" s="3" t="s">
        <v>571</v>
      </c>
      <c r="H175" s="3" t="s">
        <v>547</v>
      </c>
      <c r="J175" s="97" t="s">
        <v>1488</v>
      </c>
      <c r="K175" s="3" t="s">
        <v>571</v>
      </c>
      <c r="L175" s="3"/>
      <c r="M175" s="3" t="s">
        <v>547</v>
      </c>
    </row>
    <row r="176" spans="1:16">
      <c r="A176" s="52"/>
      <c r="B176" s="66"/>
      <c r="C176" t="s">
        <v>760</v>
      </c>
      <c r="D176" t="s">
        <v>569</v>
      </c>
      <c r="E176" s="97" t="s">
        <v>1485</v>
      </c>
      <c r="F176" s="3" t="s">
        <v>599</v>
      </c>
      <c r="H176" s="3" t="s">
        <v>547</v>
      </c>
      <c r="J176" s="97" t="s">
        <v>1485</v>
      </c>
      <c r="K176" s="3" t="s">
        <v>599</v>
      </c>
      <c r="L176" s="3"/>
      <c r="M176" s="3" t="s">
        <v>547</v>
      </c>
    </row>
    <row r="177" spans="1:13">
      <c r="A177" s="52"/>
      <c r="B177" s="66"/>
      <c r="C177" t="s">
        <v>761</v>
      </c>
      <c r="D177" t="s">
        <v>569</v>
      </c>
      <c r="E177" s="97" t="s">
        <v>1486</v>
      </c>
      <c r="F177" s="3" t="s">
        <v>599</v>
      </c>
      <c r="H177" s="3" t="s">
        <v>547</v>
      </c>
      <c r="J177" s="97" t="s">
        <v>1486</v>
      </c>
      <c r="K177" s="3" t="s">
        <v>599</v>
      </c>
      <c r="L177" s="3"/>
      <c r="M177" s="3" t="s">
        <v>547</v>
      </c>
    </row>
    <row r="178" spans="1:13">
      <c r="A178" s="52"/>
      <c r="B178" s="66"/>
      <c r="C178" t="s">
        <v>762</v>
      </c>
      <c r="D178" t="s">
        <v>569</v>
      </c>
      <c r="E178" s="97" t="s">
        <v>674</v>
      </c>
      <c r="F178" s="3" t="s">
        <v>599</v>
      </c>
      <c r="H178" s="3" t="s">
        <v>547</v>
      </c>
      <c r="J178" s="97" t="s">
        <v>674</v>
      </c>
      <c r="K178" s="3" t="s">
        <v>599</v>
      </c>
      <c r="L178" s="3"/>
      <c r="M178" s="3" t="s">
        <v>547</v>
      </c>
    </row>
    <row r="179" spans="1:13">
      <c r="A179" s="52"/>
      <c r="B179" s="66"/>
      <c r="C179" t="s">
        <v>763</v>
      </c>
      <c r="D179" t="s">
        <v>569</v>
      </c>
      <c r="E179" s="97" t="s">
        <v>1487</v>
      </c>
      <c r="F179" s="3" t="s">
        <v>599</v>
      </c>
      <c r="H179" s="3" t="s">
        <v>547</v>
      </c>
      <c r="J179" s="97" t="s">
        <v>1487</v>
      </c>
      <c r="K179" s="3" t="s">
        <v>599</v>
      </c>
      <c r="L179" s="3"/>
      <c r="M179" s="3" t="s">
        <v>547</v>
      </c>
    </row>
    <row r="180" spans="1:13">
      <c r="A180" s="52"/>
      <c r="B180" s="66"/>
      <c r="C180" t="s">
        <v>764</v>
      </c>
      <c r="D180" t="s">
        <v>569</v>
      </c>
      <c r="E180" s="97" t="s">
        <v>1488</v>
      </c>
      <c r="F180" s="3" t="s">
        <v>599</v>
      </c>
      <c r="H180" s="3" t="s">
        <v>547</v>
      </c>
      <c r="J180" s="97" t="s">
        <v>1488</v>
      </c>
      <c r="K180" s="3" t="s">
        <v>599</v>
      </c>
      <c r="L180" s="3"/>
      <c r="M180" s="3" t="s">
        <v>547</v>
      </c>
    </row>
    <row r="181" spans="1:13">
      <c r="A181" s="52"/>
      <c r="B181" s="66"/>
      <c r="C181" t="s">
        <v>765</v>
      </c>
      <c r="D181" t="s">
        <v>569</v>
      </c>
      <c r="E181" s="97" t="s">
        <v>1485</v>
      </c>
      <c r="F181" s="3" t="s">
        <v>745</v>
      </c>
      <c r="H181" s="3" t="s">
        <v>547</v>
      </c>
      <c r="J181" s="97" t="s">
        <v>1485</v>
      </c>
      <c r="K181" s="3" t="s">
        <v>745</v>
      </c>
      <c r="L181" s="3"/>
      <c r="M181" s="3" t="s">
        <v>547</v>
      </c>
    </row>
    <row r="182" spans="1:13">
      <c r="A182" s="52"/>
      <c r="B182" s="66"/>
      <c r="C182" t="s">
        <v>766</v>
      </c>
      <c r="D182" t="s">
        <v>569</v>
      </c>
      <c r="E182" s="97" t="s">
        <v>1486</v>
      </c>
      <c r="F182" s="3" t="s">
        <v>745</v>
      </c>
      <c r="H182" s="3" t="s">
        <v>547</v>
      </c>
      <c r="J182" s="97" t="s">
        <v>1486</v>
      </c>
      <c r="K182" s="3" t="s">
        <v>745</v>
      </c>
      <c r="L182" s="3"/>
      <c r="M182" s="3" t="s">
        <v>547</v>
      </c>
    </row>
    <row r="183" spans="1:13">
      <c r="A183" s="52"/>
      <c r="B183" s="66"/>
      <c r="C183" t="s">
        <v>767</v>
      </c>
      <c r="D183" t="s">
        <v>569</v>
      </c>
      <c r="E183" s="97" t="s">
        <v>674</v>
      </c>
      <c r="F183" s="3" t="s">
        <v>745</v>
      </c>
      <c r="H183" s="3" t="s">
        <v>547</v>
      </c>
      <c r="J183" s="97" t="s">
        <v>674</v>
      </c>
      <c r="K183" s="3" t="s">
        <v>745</v>
      </c>
      <c r="L183" s="3"/>
      <c r="M183" s="3" t="s">
        <v>547</v>
      </c>
    </row>
    <row r="184" spans="1:13">
      <c r="A184" s="52"/>
      <c r="B184" s="66"/>
      <c r="C184" t="s">
        <v>768</v>
      </c>
      <c r="D184" t="s">
        <v>569</v>
      </c>
      <c r="E184" s="97" t="s">
        <v>1487</v>
      </c>
      <c r="F184" s="3" t="s">
        <v>745</v>
      </c>
      <c r="H184" s="3" t="s">
        <v>547</v>
      </c>
      <c r="J184" s="97" t="s">
        <v>1487</v>
      </c>
      <c r="K184" s="3" t="s">
        <v>745</v>
      </c>
      <c r="L184" s="3"/>
      <c r="M184" s="3" t="s">
        <v>547</v>
      </c>
    </row>
    <row r="185" spans="1:13">
      <c r="A185" s="52"/>
      <c r="B185" s="66"/>
      <c r="C185" t="s">
        <v>769</v>
      </c>
      <c r="D185" t="s">
        <v>569</v>
      </c>
      <c r="E185" s="97" t="s">
        <v>1488</v>
      </c>
      <c r="F185" s="3" t="s">
        <v>745</v>
      </c>
      <c r="H185" s="3" t="s">
        <v>547</v>
      </c>
      <c r="J185" s="97" t="s">
        <v>1488</v>
      </c>
      <c r="K185" s="3" t="s">
        <v>745</v>
      </c>
      <c r="L185" s="3"/>
      <c r="M185" s="3" t="s">
        <v>547</v>
      </c>
    </row>
    <row r="186" spans="1:13">
      <c r="A186" s="52"/>
      <c r="B186" s="66"/>
      <c r="C186" t="s">
        <v>770</v>
      </c>
      <c r="D186" t="s">
        <v>569</v>
      </c>
      <c r="E186" s="97" t="s">
        <v>1485</v>
      </c>
      <c r="F186" s="3" t="s">
        <v>550</v>
      </c>
      <c r="H186" s="3" t="s">
        <v>547</v>
      </c>
      <c r="J186" s="97" t="s">
        <v>1485</v>
      </c>
      <c r="K186" s="3" t="s">
        <v>550</v>
      </c>
      <c r="L186" s="3"/>
      <c r="M186" s="3" t="s">
        <v>547</v>
      </c>
    </row>
    <row r="187" spans="1:13">
      <c r="A187" s="52"/>
      <c r="B187" s="66"/>
      <c r="C187" t="s">
        <v>771</v>
      </c>
      <c r="D187" t="s">
        <v>569</v>
      </c>
      <c r="E187" s="97" t="s">
        <v>1486</v>
      </c>
      <c r="F187" s="3" t="s">
        <v>550</v>
      </c>
      <c r="H187" s="3" t="s">
        <v>547</v>
      </c>
      <c r="J187" s="97" t="s">
        <v>1486</v>
      </c>
      <c r="K187" s="3" t="s">
        <v>550</v>
      </c>
      <c r="L187" s="3"/>
      <c r="M187" s="3" t="s">
        <v>547</v>
      </c>
    </row>
    <row r="188" spans="1:13">
      <c r="A188" s="52"/>
      <c r="B188" s="66"/>
      <c r="C188" t="s">
        <v>772</v>
      </c>
      <c r="D188" t="s">
        <v>569</v>
      </c>
      <c r="E188" s="97" t="s">
        <v>674</v>
      </c>
      <c r="F188" s="3" t="s">
        <v>550</v>
      </c>
      <c r="H188" s="3" t="s">
        <v>547</v>
      </c>
      <c r="J188" s="97" t="s">
        <v>674</v>
      </c>
      <c r="K188" s="3" t="s">
        <v>550</v>
      </c>
      <c r="L188" s="3"/>
      <c r="M188" s="3" t="s">
        <v>547</v>
      </c>
    </row>
    <row r="189" spans="1:13">
      <c r="A189" s="52"/>
      <c r="B189" s="66"/>
      <c r="C189" t="s">
        <v>773</v>
      </c>
      <c r="D189" t="s">
        <v>569</v>
      </c>
      <c r="E189" s="97" t="s">
        <v>1487</v>
      </c>
      <c r="F189" s="3" t="s">
        <v>550</v>
      </c>
      <c r="H189" s="3" t="s">
        <v>547</v>
      </c>
      <c r="J189" s="97" t="s">
        <v>1487</v>
      </c>
      <c r="K189" s="3" t="s">
        <v>550</v>
      </c>
      <c r="L189" s="3"/>
      <c r="M189" s="3" t="s">
        <v>547</v>
      </c>
    </row>
    <row r="190" spans="1:13">
      <c r="A190" s="52"/>
      <c r="B190" s="66"/>
      <c r="C190" t="s">
        <v>774</v>
      </c>
      <c r="D190" t="s">
        <v>569</v>
      </c>
      <c r="E190" s="97" t="s">
        <v>1488</v>
      </c>
      <c r="F190" s="3" t="s">
        <v>550</v>
      </c>
      <c r="H190" s="3" t="s">
        <v>547</v>
      </c>
      <c r="J190" s="97" t="s">
        <v>1488</v>
      </c>
      <c r="K190" s="3" t="s">
        <v>550</v>
      </c>
      <c r="L190" s="3"/>
      <c r="M190" s="3" t="s">
        <v>547</v>
      </c>
    </row>
    <row r="191" spans="1:13">
      <c r="A191" s="52"/>
      <c r="B191" s="66"/>
      <c r="C191" t="s">
        <v>775</v>
      </c>
      <c r="D191" t="s">
        <v>569</v>
      </c>
      <c r="E191" s="97" t="s">
        <v>1485</v>
      </c>
      <c r="F191" s="3" t="s">
        <v>748</v>
      </c>
      <c r="H191" s="3" t="s">
        <v>547</v>
      </c>
      <c r="J191" s="97" t="s">
        <v>1485</v>
      </c>
      <c r="K191" s="3" t="s">
        <v>748</v>
      </c>
      <c r="L191" s="3"/>
      <c r="M191" s="3" t="s">
        <v>547</v>
      </c>
    </row>
    <row r="192" spans="1:13">
      <c r="A192" s="52"/>
      <c r="B192" s="66"/>
      <c r="C192" t="s">
        <v>776</v>
      </c>
      <c r="D192" t="s">
        <v>569</v>
      </c>
      <c r="E192" s="97" t="s">
        <v>1486</v>
      </c>
      <c r="F192" s="3" t="s">
        <v>748</v>
      </c>
      <c r="H192" s="3" t="s">
        <v>547</v>
      </c>
      <c r="J192" s="97" t="s">
        <v>1486</v>
      </c>
      <c r="K192" s="3" t="s">
        <v>748</v>
      </c>
      <c r="L192" s="3"/>
      <c r="M192" s="3" t="s">
        <v>547</v>
      </c>
    </row>
    <row r="193" spans="1:13">
      <c r="A193" s="52"/>
      <c r="B193" s="66"/>
      <c r="C193" t="s">
        <v>777</v>
      </c>
      <c r="D193" t="s">
        <v>569</v>
      </c>
      <c r="E193" s="97" t="s">
        <v>674</v>
      </c>
      <c r="F193" s="3" t="s">
        <v>748</v>
      </c>
      <c r="H193" s="3" t="s">
        <v>547</v>
      </c>
      <c r="J193" s="97" t="s">
        <v>674</v>
      </c>
      <c r="K193" s="3" t="s">
        <v>748</v>
      </c>
      <c r="L193" s="3"/>
      <c r="M193" s="3" t="s">
        <v>547</v>
      </c>
    </row>
    <row r="194" spans="1:13">
      <c r="A194" s="52"/>
      <c r="B194" s="66"/>
      <c r="C194" t="s">
        <v>778</v>
      </c>
      <c r="D194" t="s">
        <v>569</v>
      </c>
      <c r="E194" s="97" t="s">
        <v>1487</v>
      </c>
      <c r="F194" s="3" t="s">
        <v>748</v>
      </c>
      <c r="H194" s="3" t="s">
        <v>547</v>
      </c>
      <c r="J194" s="97" t="s">
        <v>1487</v>
      </c>
      <c r="K194" s="3" t="s">
        <v>748</v>
      </c>
      <c r="L194" s="3"/>
      <c r="M194" s="3" t="s">
        <v>547</v>
      </c>
    </row>
    <row r="195" spans="1:13">
      <c r="A195" s="52"/>
      <c r="B195" s="66"/>
      <c r="C195" t="s">
        <v>779</v>
      </c>
      <c r="D195" t="s">
        <v>569</v>
      </c>
      <c r="E195" s="97" t="s">
        <v>1488</v>
      </c>
      <c r="F195" s="3" t="s">
        <v>748</v>
      </c>
      <c r="H195" s="3" t="s">
        <v>547</v>
      </c>
      <c r="J195" s="97" t="s">
        <v>1488</v>
      </c>
      <c r="K195" s="3" t="s">
        <v>748</v>
      </c>
      <c r="L195" s="3"/>
      <c r="M195" s="3" t="s">
        <v>547</v>
      </c>
    </row>
    <row r="196" spans="1:13">
      <c r="A196" s="52"/>
      <c r="B196" s="66"/>
      <c r="C196" t="s">
        <v>780</v>
      </c>
      <c r="D196" t="s">
        <v>569</v>
      </c>
      <c r="E196" s="97" t="s">
        <v>1485</v>
      </c>
      <c r="F196" s="3" t="s">
        <v>620</v>
      </c>
      <c r="H196" s="3" t="s">
        <v>547</v>
      </c>
      <c r="J196" s="97" t="s">
        <v>1485</v>
      </c>
      <c r="K196" s="3" t="s">
        <v>620</v>
      </c>
      <c r="L196" s="3"/>
      <c r="M196" s="3" t="s">
        <v>547</v>
      </c>
    </row>
    <row r="197" spans="1:13">
      <c r="A197" s="52"/>
      <c r="B197" s="66"/>
      <c r="C197" t="s">
        <v>781</v>
      </c>
      <c r="D197" t="s">
        <v>569</v>
      </c>
      <c r="E197" s="97" t="s">
        <v>1486</v>
      </c>
      <c r="F197" s="3" t="s">
        <v>620</v>
      </c>
      <c r="H197" s="3" t="s">
        <v>547</v>
      </c>
      <c r="J197" s="97" t="s">
        <v>1486</v>
      </c>
      <c r="K197" s="3" t="s">
        <v>620</v>
      </c>
      <c r="L197" s="3"/>
      <c r="M197" s="3" t="s">
        <v>547</v>
      </c>
    </row>
    <row r="198" spans="1:13">
      <c r="A198" s="52"/>
      <c r="B198" s="66"/>
      <c r="C198" t="s">
        <v>782</v>
      </c>
      <c r="D198" t="s">
        <v>569</v>
      </c>
      <c r="E198" s="97" t="s">
        <v>674</v>
      </c>
      <c r="F198" s="3" t="s">
        <v>620</v>
      </c>
      <c r="H198" s="3" t="s">
        <v>547</v>
      </c>
      <c r="J198" s="97" t="s">
        <v>674</v>
      </c>
      <c r="K198" s="3" t="s">
        <v>620</v>
      </c>
      <c r="L198" s="3"/>
      <c r="M198" s="3" t="s">
        <v>547</v>
      </c>
    </row>
    <row r="199" spans="1:13">
      <c r="A199" s="52"/>
      <c r="B199" s="66"/>
      <c r="C199" t="s">
        <v>783</v>
      </c>
      <c r="D199" t="s">
        <v>569</v>
      </c>
      <c r="E199" s="97" t="s">
        <v>1487</v>
      </c>
      <c r="F199" s="3" t="s">
        <v>620</v>
      </c>
      <c r="H199" s="3" t="s">
        <v>547</v>
      </c>
      <c r="J199" s="97" t="s">
        <v>1487</v>
      </c>
      <c r="K199" s="3" t="s">
        <v>620</v>
      </c>
      <c r="L199" s="3"/>
      <c r="M199" s="3" t="s">
        <v>547</v>
      </c>
    </row>
    <row r="200" spans="1:13">
      <c r="A200" s="52"/>
      <c r="B200" s="66"/>
      <c r="C200" t="s">
        <v>784</v>
      </c>
      <c r="D200" t="s">
        <v>569</v>
      </c>
      <c r="E200" s="97" t="s">
        <v>1488</v>
      </c>
      <c r="F200" s="3" t="s">
        <v>620</v>
      </c>
      <c r="H200" s="3" t="s">
        <v>547</v>
      </c>
      <c r="J200" s="97" t="s">
        <v>1488</v>
      </c>
      <c r="K200" s="3" t="s">
        <v>620</v>
      </c>
      <c r="L200" s="3"/>
      <c r="M200" s="3" t="s">
        <v>547</v>
      </c>
    </row>
    <row r="201" spans="1:13">
      <c r="A201" s="52"/>
      <c r="B201" s="66"/>
      <c r="C201" t="s">
        <v>785</v>
      </c>
      <c r="D201" t="s">
        <v>569</v>
      </c>
      <c r="E201" s="97" t="s">
        <v>1485</v>
      </c>
      <c r="F201" s="3" t="s">
        <v>576</v>
      </c>
      <c r="H201" s="3" t="s">
        <v>547</v>
      </c>
      <c r="J201" s="97" t="s">
        <v>1485</v>
      </c>
      <c r="K201" s="3" t="s">
        <v>576</v>
      </c>
      <c r="L201" s="3"/>
      <c r="M201" s="3" t="s">
        <v>547</v>
      </c>
    </row>
    <row r="202" spans="1:13">
      <c r="A202" s="52"/>
      <c r="B202" s="66"/>
      <c r="C202" t="s">
        <v>786</v>
      </c>
      <c r="D202" t="s">
        <v>569</v>
      </c>
      <c r="E202" s="97" t="s">
        <v>1486</v>
      </c>
      <c r="F202" s="3" t="s">
        <v>576</v>
      </c>
      <c r="H202" s="3" t="s">
        <v>547</v>
      </c>
      <c r="J202" s="97" t="s">
        <v>1486</v>
      </c>
      <c r="K202" s="3" t="s">
        <v>576</v>
      </c>
      <c r="L202" s="3"/>
      <c r="M202" s="3" t="s">
        <v>547</v>
      </c>
    </row>
    <row r="203" spans="1:13">
      <c r="A203" s="52"/>
      <c r="B203" s="66"/>
      <c r="C203" t="s">
        <v>787</v>
      </c>
      <c r="D203" t="s">
        <v>569</v>
      </c>
      <c r="E203" s="97" t="s">
        <v>674</v>
      </c>
      <c r="F203" s="3" t="s">
        <v>576</v>
      </c>
      <c r="H203" s="3" t="s">
        <v>547</v>
      </c>
      <c r="J203" s="97" t="s">
        <v>674</v>
      </c>
      <c r="K203" s="3" t="s">
        <v>576</v>
      </c>
      <c r="L203" s="3"/>
      <c r="M203" s="3" t="s">
        <v>547</v>
      </c>
    </row>
    <row r="204" spans="1:13">
      <c r="A204" s="52"/>
      <c r="B204" s="66"/>
      <c r="C204" t="s">
        <v>788</v>
      </c>
      <c r="D204" t="s">
        <v>569</v>
      </c>
      <c r="E204" s="97" t="s">
        <v>1487</v>
      </c>
      <c r="F204" s="3" t="s">
        <v>576</v>
      </c>
      <c r="H204" s="3" t="s">
        <v>547</v>
      </c>
      <c r="J204" s="97" t="s">
        <v>1487</v>
      </c>
      <c r="K204" s="3" t="s">
        <v>576</v>
      </c>
      <c r="L204" s="3"/>
      <c r="M204" s="3" t="s">
        <v>547</v>
      </c>
    </row>
    <row r="205" spans="1:13">
      <c r="A205" s="52"/>
      <c r="B205" s="66"/>
      <c r="C205" t="s">
        <v>789</v>
      </c>
      <c r="D205" t="s">
        <v>569</v>
      </c>
      <c r="E205" s="97" t="s">
        <v>1488</v>
      </c>
      <c r="F205" s="3" t="s">
        <v>576</v>
      </c>
      <c r="H205" s="3" t="s">
        <v>547</v>
      </c>
      <c r="J205" s="97" t="s">
        <v>1488</v>
      </c>
      <c r="K205" s="3" t="s">
        <v>576</v>
      </c>
      <c r="L205" s="3"/>
      <c r="M205" s="3" t="s">
        <v>547</v>
      </c>
    </row>
    <row r="206" spans="1:13">
      <c r="A206" s="52"/>
      <c r="B206" s="66"/>
      <c r="C206" t="s">
        <v>790</v>
      </c>
    </row>
    <row r="207" spans="1:13">
      <c r="A207" s="52"/>
      <c r="B207" s="66"/>
      <c r="C207" t="s">
        <v>791</v>
      </c>
    </row>
    <row r="208" spans="1:13">
      <c r="A208" s="52"/>
      <c r="B208" s="66"/>
      <c r="C208" t="s">
        <v>792</v>
      </c>
    </row>
    <row r="209" spans="1:3">
      <c r="A209" s="52"/>
      <c r="B209" s="66"/>
      <c r="C209" t="s">
        <v>793</v>
      </c>
    </row>
    <row r="210" spans="1:3">
      <c r="A210" s="52"/>
      <c r="B210" s="66"/>
      <c r="C210" t="s">
        <v>794</v>
      </c>
    </row>
    <row r="211" spans="1:3">
      <c r="A211" s="52"/>
      <c r="B211" s="66"/>
      <c r="C211" t="s">
        <v>795</v>
      </c>
    </row>
    <row r="212" spans="1:3">
      <c r="A212" s="52"/>
      <c r="B212" s="66"/>
      <c r="C212" t="s">
        <v>796</v>
      </c>
    </row>
    <row r="213" spans="1:3">
      <c r="A213" s="52"/>
      <c r="B213" s="66"/>
      <c r="C213" t="s">
        <v>797</v>
      </c>
    </row>
    <row r="214" spans="1:3">
      <c r="A214" s="52"/>
      <c r="B214" s="66"/>
      <c r="C214" t="s">
        <v>798</v>
      </c>
    </row>
    <row r="215" spans="1:3">
      <c r="A215" s="52"/>
      <c r="B215" s="66"/>
      <c r="C215" t="s">
        <v>799</v>
      </c>
    </row>
    <row r="216" spans="1:3">
      <c r="A216" s="52"/>
      <c r="B216" s="66"/>
      <c r="C216" t="s">
        <v>800</v>
      </c>
    </row>
    <row r="217" spans="1:3">
      <c r="A217" s="52"/>
      <c r="B217" s="66"/>
      <c r="C217" t="s">
        <v>801</v>
      </c>
    </row>
    <row r="218" spans="1:3">
      <c r="A218" s="52"/>
      <c r="B218" s="66"/>
      <c r="C218" t="s">
        <v>802</v>
      </c>
    </row>
    <row r="219" spans="1:3">
      <c r="A219" s="52"/>
      <c r="B219" s="66"/>
      <c r="C219" t="s">
        <v>803</v>
      </c>
    </row>
    <row r="220" spans="1:3">
      <c r="A220" s="52"/>
      <c r="B220" s="66"/>
      <c r="C220" t="s">
        <v>804</v>
      </c>
    </row>
    <row r="221" spans="1:3">
      <c r="A221" s="52"/>
      <c r="B221" s="66"/>
      <c r="C221" t="s">
        <v>805</v>
      </c>
    </row>
    <row r="222" spans="1:3">
      <c r="A222" s="52"/>
      <c r="B222" s="66"/>
      <c r="C222" t="s">
        <v>806</v>
      </c>
    </row>
    <row r="223" spans="1:3">
      <c r="A223" s="52"/>
      <c r="B223" s="66"/>
      <c r="C223" t="s">
        <v>807</v>
      </c>
    </row>
    <row r="224" spans="1:3">
      <c r="A224" s="52"/>
      <c r="B224" s="66"/>
      <c r="C224" t="s">
        <v>808</v>
      </c>
    </row>
    <row r="225" spans="1:3">
      <c r="A225" s="52"/>
      <c r="B225" s="66"/>
      <c r="C225" t="s">
        <v>809</v>
      </c>
    </row>
    <row r="226" spans="1:3">
      <c r="A226" s="52"/>
      <c r="B226" s="66"/>
      <c r="C226" t="s">
        <v>810</v>
      </c>
    </row>
    <row r="227" spans="1:3">
      <c r="A227" s="52"/>
      <c r="B227" s="66"/>
      <c r="C227" t="s">
        <v>811</v>
      </c>
    </row>
    <row r="228" spans="1:3">
      <c r="A228" s="52"/>
      <c r="B228" s="66"/>
      <c r="C228" t="s">
        <v>812</v>
      </c>
    </row>
    <row r="229" spans="1:3">
      <c r="A229" s="52"/>
      <c r="B229" s="66"/>
      <c r="C229" t="s">
        <v>813</v>
      </c>
    </row>
    <row r="230" spans="1:3">
      <c r="A230" s="52"/>
      <c r="B230" s="66"/>
      <c r="C230" t="s">
        <v>814</v>
      </c>
    </row>
    <row r="231" spans="1:3">
      <c r="A231" s="52"/>
      <c r="B231" s="66"/>
      <c r="C231" t="s">
        <v>815</v>
      </c>
    </row>
    <row r="232" spans="1:3">
      <c r="A232" s="52"/>
      <c r="B232" s="66"/>
      <c r="C232" t="s">
        <v>816</v>
      </c>
    </row>
    <row r="233" spans="1:3">
      <c r="A233" s="52"/>
      <c r="B233" s="66"/>
      <c r="C233" t="s">
        <v>817</v>
      </c>
    </row>
    <row r="234" spans="1:3">
      <c r="A234" s="52"/>
      <c r="B234" s="66"/>
      <c r="C234" t="s">
        <v>818</v>
      </c>
    </row>
    <row r="235" spans="1:3">
      <c r="A235" s="52"/>
      <c r="B235" s="66"/>
      <c r="C235" t="s">
        <v>819</v>
      </c>
    </row>
    <row r="236" spans="1:3">
      <c r="A236" s="52"/>
      <c r="B236" s="66"/>
      <c r="C236" t="s">
        <v>820</v>
      </c>
    </row>
    <row r="237" spans="1:3">
      <c r="A237" s="52"/>
      <c r="B237" s="66"/>
      <c r="C237" t="s">
        <v>821</v>
      </c>
    </row>
    <row r="238" spans="1:3">
      <c r="A238" s="52"/>
      <c r="B238" s="66"/>
      <c r="C238" t="s">
        <v>822</v>
      </c>
    </row>
    <row r="239" spans="1:3">
      <c r="A239" s="52"/>
      <c r="B239" s="66"/>
      <c r="C239" t="s">
        <v>823</v>
      </c>
    </row>
    <row r="240" spans="1:3">
      <c r="A240" s="52"/>
      <c r="B240" s="66"/>
      <c r="C240" t="s">
        <v>824</v>
      </c>
    </row>
    <row r="241" spans="1:16">
      <c r="A241" s="52"/>
      <c r="B241" s="66"/>
      <c r="C241" t="s">
        <v>825</v>
      </c>
    </row>
    <row r="242" spans="1:16">
      <c r="A242" s="52"/>
      <c r="B242" s="66"/>
      <c r="C242" t="s">
        <v>826</v>
      </c>
    </row>
    <row r="243" spans="1:16">
      <c r="A243" s="52"/>
      <c r="B243" s="66"/>
      <c r="C243" t="s">
        <v>827</v>
      </c>
    </row>
    <row r="244" spans="1:16">
      <c r="A244" s="52"/>
      <c r="B244" s="66"/>
      <c r="C244" t="s">
        <v>828</v>
      </c>
    </row>
    <row r="245" spans="1:16">
      <c r="A245" s="52"/>
      <c r="B245" s="66"/>
      <c r="C245" t="s">
        <v>829</v>
      </c>
    </row>
    <row r="246" spans="1:16">
      <c r="A246" s="52"/>
      <c r="B246" s="66"/>
      <c r="C246" t="s">
        <v>830</v>
      </c>
    </row>
    <row r="247" spans="1:16">
      <c r="A247" s="52"/>
      <c r="B247" s="66"/>
      <c r="C247" t="s">
        <v>831</v>
      </c>
    </row>
    <row r="248" spans="1:16">
      <c r="A248" s="52"/>
      <c r="B248" s="66"/>
      <c r="C248" t="s">
        <v>832</v>
      </c>
    </row>
    <row r="249" spans="1:16">
      <c r="A249" s="52"/>
      <c r="B249" s="66"/>
      <c r="C249" t="s">
        <v>833</v>
      </c>
    </row>
    <row r="250" spans="1:16">
      <c r="A250" s="52"/>
      <c r="B250" s="66"/>
      <c r="C250" t="s">
        <v>834</v>
      </c>
    </row>
    <row r="251" spans="1:16">
      <c r="A251" s="52"/>
      <c r="B251" s="66"/>
    </row>
    <row r="252" spans="1:16">
      <c r="A252" s="52"/>
      <c r="B252" s="66"/>
      <c r="C252" t="s">
        <v>1489</v>
      </c>
    </row>
    <row r="253" spans="1:16">
      <c r="A253" s="52"/>
      <c r="B253" s="64"/>
      <c r="C253" s="54" t="s">
        <v>1490</v>
      </c>
      <c r="D253" s="54"/>
      <c r="E253" s="109"/>
      <c r="F253" s="91"/>
      <c r="G253" s="91"/>
      <c r="H253" s="91"/>
      <c r="I253" s="57"/>
      <c r="J253" s="117"/>
      <c r="K253" s="54"/>
      <c r="L253" s="54"/>
      <c r="M253" s="54"/>
      <c r="N253" s="46"/>
      <c r="O253" s="54"/>
      <c r="P253" s="40"/>
    </row>
    <row r="254" spans="1:16">
      <c r="A254" s="52"/>
      <c r="B254" s="66" t="s">
        <v>2147</v>
      </c>
      <c r="C254" t="s">
        <v>964</v>
      </c>
      <c r="D254" t="s">
        <v>2148</v>
      </c>
      <c r="E254" s="97">
        <v>0</v>
      </c>
      <c r="F254" s="3">
        <v>0.95</v>
      </c>
      <c r="H254" s="3">
        <v>0</v>
      </c>
    </row>
    <row r="255" spans="1:16">
      <c r="A255" s="52"/>
      <c r="B255" s="66"/>
      <c r="C255" t="s">
        <v>966</v>
      </c>
    </row>
    <row r="256" spans="1:16">
      <c r="A256" s="52"/>
      <c r="B256" s="66"/>
      <c r="C256" t="s">
        <v>967</v>
      </c>
    </row>
    <row r="257" spans="1:16">
      <c r="A257" s="52"/>
      <c r="B257" s="66"/>
      <c r="C257" t="s">
        <v>969</v>
      </c>
      <c r="D257" t="s">
        <v>2148</v>
      </c>
      <c r="E257" s="97">
        <v>0.95</v>
      </c>
      <c r="F257" s="3">
        <v>0</v>
      </c>
      <c r="H257" s="3">
        <v>0</v>
      </c>
    </row>
    <row r="258" spans="1:16">
      <c r="A258" s="52"/>
      <c r="B258" s="66"/>
      <c r="C258" t="s">
        <v>2149</v>
      </c>
      <c r="D258" t="s">
        <v>543</v>
      </c>
      <c r="E258" s="97">
        <v>0.95</v>
      </c>
      <c r="F258" s="3">
        <v>0.05</v>
      </c>
      <c r="H258" s="3">
        <v>0</v>
      </c>
    </row>
    <row r="259" spans="1:16">
      <c r="A259" s="52"/>
      <c r="B259" s="66"/>
      <c r="C259" t="s">
        <v>970</v>
      </c>
      <c r="D259" t="s">
        <v>569</v>
      </c>
      <c r="E259" s="97">
        <v>0.95</v>
      </c>
      <c r="F259" s="3">
        <v>0.05</v>
      </c>
      <c r="H259" s="3">
        <v>0</v>
      </c>
    </row>
    <row r="260" spans="1:16">
      <c r="A260" s="52"/>
      <c r="B260" s="66"/>
      <c r="C260" t="s">
        <v>2150</v>
      </c>
      <c r="D260" t="s">
        <v>543</v>
      </c>
      <c r="E260" s="97">
        <v>0.95</v>
      </c>
      <c r="F260" s="3">
        <v>0.95</v>
      </c>
      <c r="H260" s="3">
        <v>0</v>
      </c>
    </row>
    <row r="261" spans="1:16">
      <c r="A261" s="52"/>
      <c r="B261" s="66"/>
      <c r="C261" t="s">
        <v>973</v>
      </c>
      <c r="D261" t="s">
        <v>569</v>
      </c>
      <c r="E261" s="97">
        <v>0.95</v>
      </c>
      <c r="F261" s="3">
        <v>0.95</v>
      </c>
      <c r="H261" s="3">
        <v>0</v>
      </c>
    </row>
    <row r="262" spans="1:16">
      <c r="A262" s="52"/>
      <c r="B262" s="66"/>
      <c r="C262" t="s">
        <v>2151</v>
      </c>
      <c r="D262" t="s">
        <v>543</v>
      </c>
      <c r="E262" s="97">
        <v>0.55000000000000004</v>
      </c>
      <c r="F262" s="3">
        <v>0.95</v>
      </c>
      <c r="H262" s="3">
        <v>0</v>
      </c>
    </row>
    <row r="263" spans="1:16">
      <c r="A263" s="52"/>
      <c r="B263" s="66"/>
      <c r="C263" t="s">
        <v>977</v>
      </c>
      <c r="D263" t="s">
        <v>569</v>
      </c>
      <c r="E263" s="97">
        <v>0.55000000000000004</v>
      </c>
      <c r="F263" s="3">
        <v>0.95</v>
      </c>
      <c r="H263" s="3">
        <v>0</v>
      </c>
    </row>
    <row r="264" spans="1:16">
      <c r="A264" s="52"/>
      <c r="B264" s="66"/>
      <c r="C264" t="s">
        <v>2152</v>
      </c>
      <c r="D264" t="s">
        <v>543</v>
      </c>
      <c r="E264" s="97">
        <v>0.95</v>
      </c>
      <c r="F264" s="3">
        <v>0.55000000000000004</v>
      </c>
      <c r="H264" s="3">
        <v>0</v>
      </c>
    </row>
    <row r="265" spans="1:16">
      <c r="A265" s="52"/>
      <c r="B265" s="66"/>
      <c r="C265" t="s">
        <v>2153</v>
      </c>
      <c r="D265" t="s">
        <v>569</v>
      </c>
      <c r="E265" s="97">
        <v>0.95</v>
      </c>
      <c r="F265" s="3">
        <v>0.55000000000000004</v>
      </c>
      <c r="H265" s="3">
        <v>0</v>
      </c>
    </row>
    <row r="266" spans="1:16">
      <c r="A266" s="52"/>
      <c r="B266" s="66"/>
      <c r="C266" t="s">
        <v>982</v>
      </c>
      <c r="D266" t="s">
        <v>1522</v>
      </c>
    </row>
    <row r="267" spans="1:16">
      <c r="A267" s="66"/>
      <c r="B267" s="63" t="s">
        <v>381</v>
      </c>
      <c r="C267" s="53" t="s">
        <v>856</v>
      </c>
      <c r="D267" s="81" t="s">
        <v>561</v>
      </c>
      <c r="E267" s="108" t="s">
        <v>547</v>
      </c>
      <c r="F267" s="88" t="s">
        <v>554</v>
      </c>
      <c r="G267" s="88"/>
      <c r="H267" s="88" t="s">
        <v>547</v>
      </c>
      <c r="I267" s="55"/>
      <c r="J267" s="108" t="s">
        <v>547</v>
      </c>
      <c r="K267" s="88" t="s">
        <v>554</v>
      </c>
      <c r="L267" s="88"/>
      <c r="M267" s="88" t="s">
        <v>547</v>
      </c>
      <c r="N267" s="16"/>
      <c r="O267" s="53"/>
      <c r="P267" s="104" t="s">
        <v>547</v>
      </c>
    </row>
    <row r="268" spans="1:16">
      <c r="A268" s="66"/>
      <c r="B268" s="66"/>
      <c r="C268" t="s">
        <v>857</v>
      </c>
    </row>
    <row r="269" spans="1:16">
      <c r="A269" s="66"/>
      <c r="B269" s="66"/>
      <c r="C269" t="s">
        <v>858</v>
      </c>
    </row>
    <row r="270" spans="1:16">
      <c r="A270" s="66"/>
      <c r="B270" s="66"/>
      <c r="C270" t="s">
        <v>1445</v>
      </c>
    </row>
    <row r="271" spans="1:16">
      <c r="A271" s="66"/>
      <c r="B271" s="66"/>
      <c r="C271" t="s">
        <v>1327</v>
      </c>
      <c r="D271" s="1" t="s">
        <v>561</v>
      </c>
      <c r="E271" s="97" t="s">
        <v>597</v>
      </c>
      <c r="F271" s="3" t="s">
        <v>554</v>
      </c>
      <c r="H271" s="3" t="s">
        <v>547</v>
      </c>
      <c r="J271" s="97" t="s">
        <v>597</v>
      </c>
      <c r="K271" s="3" t="s">
        <v>554</v>
      </c>
      <c r="L271" s="3"/>
      <c r="M271" s="3" t="s">
        <v>547</v>
      </c>
      <c r="N271" s="56"/>
      <c r="P271" s="106" t="s">
        <v>547</v>
      </c>
    </row>
    <row r="272" spans="1:16">
      <c r="A272" s="66"/>
      <c r="B272" s="66"/>
      <c r="C272" t="s">
        <v>1446</v>
      </c>
      <c r="J272" s="97"/>
      <c r="K272" s="3"/>
      <c r="L272" s="3"/>
      <c r="M272" s="3"/>
      <c r="N272" s="56"/>
    </row>
    <row r="273" spans="1:16">
      <c r="A273" s="66"/>
      <c r="B273" s="66"/>
      <c r="C273" t="s">
        <v>1328</v>
      </c>
      <c r="D273" s="1" t="s">
        <v>561</v>
      </c>
      <c r="E273" s="97" t="s">
        <v>599</v>
      </c>
      <c r="F273" s="3" t="s">
        <v>554</v>
      </c>
      <c r="H273" s="3" t="s">
        <v>547</v>
      </c>
      <c r="J273" s="97" t="s">
        <v>599</v>
      </c>
      <c r="K273" s="3" t="s">
        <v>554</v>
      </c>
      <c r="L273" s="3"/>
      <c r="M273" s="3" t="s">
        <v>547</v>
      </c>
      <c r="N273" s="56"/>
      <c r="P273" s="106" t="s">
        <v>547</v>
      </c>
    </row>
    <row r="274" spans="1:16">
      <c r="A274" s="66"/>
      <c r="B274" s="66"/>
      <c r="C274" t="s">
        <v>1447</v>
      </c>
      <c r="J274" s="97"/>
      <c r="K274" s="3"/>
      <c r="L274" s="3"/>
      <c r="M274" s="3"/>
      <c r="N274" s="56"/>
    </row>
    <row r="275" spans="1:16">
      <c r="A275" s="66"/>
      <c r="B275" s="66"/>
      <c r="C275" t="s">
        <v>859</v>
      </c>
      <c r="D275" s="1" t="s">
        <v>561</v>
      </c>
      <c r="E275" s="98" t="s">
        <v>1358</v>
      </c>
      <c r="F275" s="3" t="s">
        <v>554</v>
      </c>
      <c r="H275" s="3" t="s">
        <v>547</v>
      </c>
      <c r="J275" s="98" t="s">
        <v>1358</v>
      </c>
      <c r="K275" s="3" t="s">
        <v>554</v>
      </c>
      <c r="L275" s="3"/>
      <c r="M275" s="3" t="s">
        <v>547</v>
      </c>
      <c r="P275" s="106" t="s">
        <v>547</v>
      </c>
    </row>
    <row r="276" spans="1:16">
      <c r="A276" s="66"/>
      <c r="B276" s="66"/>
      <c r="C276" t="s">
        <v>1448</v>
      </c>
    </row>
    <row r="277" spans="1:16">
      <c r="A277" s="66"/>
      <c r="B277" s="66"/>
      <c r="C277" t="s">
        <v>860</v>
      </c>
      <c r="D277" t="s">
        <v>561</v>
      </c>
      <c r="E277" s="97" t="s">
        <v>554</v>
      </c>
      <c r="F277" s="3" t="s">
        <v>547</v>
      </c>
      <c r="H277" s="3" t="s">
        <v>547</v>
      </c>
      <c r="J277" s="97" t="s">
        <v>554</v>
      </c>
      <c r="K277" s="3" t="s">
        <v>547</v>
      </c>
      <c r="L277" s="3"/>
      <c r="M277" s="3" t="s">
        <v>547</v>
      </c>
    </row>
    <row r="278" spans="1:16">
      <c r="A278" s="66"/>
      <c r="B278" s="66"/>
      <c r="C278" t="s">
        <v>861</v>
      </c>
      <c r="D278" t="s">
        <v>543</v>
      </c>
      <c r="E278" s="97" t="s">
        <v>1449</v>
      </c>
      <c r="F278" s="3" t="s">
        <v>545</v>
      </c>
      <c r="G278" s="3" t="s">
        <v>546</v>
      </c>
      <c r="H278" s="3" t="s">
        <v>547</v>
      </c>
      <c r="I278" s="56" t="s">
        <v>546</v>
      </c>
      <c r="J278" s="97" t="s">
        <v>1449</v>
      </c>
      <c r="K278" s="3" t="s">
        <v>545</v>
      </c>
      <c r="L278" s="3" t="s">
        <v>546</v>
      </c>
      <c r="M278" s="3" t="s">
        <v>547</v>
      </c>
      <c r="N278" s="56" t="s">
        <v>546</v>
      </c>
      <c r="P278" s="106" t="s">
        <v>547</v>
      </c>
    </row>
    <row r="279" spans="1:16">
      <c r="A279" s="66"/>
      <c r="B279" s="66"/>
      <c r="C279" t="s">
        <v>579</v>
      </c>
      <c r="D279" t="s">
        <v>569</v>
      </c>
      <c r="E279" s="97" t="s">
        <v>554</v>
      </c>
      <c r="F279" s="3" t="s">
        <v>545</v>
      </c>
      <c r="H279" s="3" t="s">
        <v>547</v>
      </c>
    </row>
    <row r="280" spans="1:16">
      <c r="A280" s="66"/>
      <c r="B280" s="66"/>
      <c r="C280" t="s">
        <v>1349</v>
      </c>
      <c r="D280" t="s">
        <v>569</v>
      </c>
      <c r="E280" s="97" t="s">
        <v>554</v>
      </c>
      <c r="F280" s="3" t="s">
        <v>545</v>
      </c>
      <c r="H280" s="3" t="s">
        <v>547</v>
      </c>
    </row>
    <row r="281" spans="1:16">
      <c r="A281" s="66"/>
      <c r="B281" s="66"/>
      <c r="C281" t="s">
        <v>1330</v>
      </c>
      <c r="D281" t="s">
        <v>569</v>
      </c>
      <c r="E281" s="97" t="s">
        <v>1331</v>
      </c>
      <c r="F281" s="3" t="s">
        <v>545</v>
      </c>
      <c r="H281" s="3" t="s">
        <v>547</v>
      </c>
      <c r="J281" s="97" t="s">
        <v>1331</v>
      </c>
      <c r="K281" s="3" t="s">
        <v>545</v>
      </c>
      <c r="L281" s="3"/>
      <c r="M281" s="3" t="s">
        <v>547</v>
      </c>
      <c r="N281" s="56"/>
    </row>
    <row r="282" spans="1:16">
      <c r="A282" s="66"/>
      <c r="B282" s="66"/>
      <c r="C282" t="s">
        <v>1450</v>
      </c>
      <c r="D282" t="s">
        <v>569</v>
      </c>
      <c r="E282" s="97" t="s">
        <v>1331</v>
      </c>
      <c r="F282" s="3" t="s">
        <v>545</v>
      </c>
      <c r="H282" s="3" t="s">
        <v>547</v>
      </c>
      <c r="J282" s="97" t="s">
        <v>1331</v>
      </c>
      <c r="K282" s="3" t="s">
        <v>545</v>
      </c>
      <c r="L282" s="3"/>
      <c r="M282" s="3" t="s">
        <v>547</v>
      </c>
      <c r="N282" s="56"/>
    </row>
    <row r="283" spans="1:16">
      <c r="A283" s="66"/>
      <c r="B283" s="66"/>
      <c r="C283" t="s">
        <v>1332</v>
      </c>
      <c r="D283" t="s">
        <v>569</v>
      </c>
      <c r="E283" s="97" t="s">
        <v>1333</v>
      </c>
      <c r="F283" s="3" t="s">
        <v>545</v>
      </c>
      <c r="H283" s="3" t="s">
        <v>547</v>
      </c>
      <c r="J283" s="97" t="s">
        <v>1333</v>
      </c>
      <c r="K283" s="3" t="s">
        <v>545</v>
      </c>
      <c r="L283" s="3"/>
      <c r="M283" s="3" t="s">
        <v>547</v>
      </c>
      <c r="N283" s="56"/>
    </row>
    <row r="284" spans="1:16">
      <c r="A284" s="66"/>
      <c r="B284" s="66"/>
      <c r="C284" t="s">
        <v>1451</v>
      </c>
      <c r="D284" t="s">
        <v>569</v>
      </c>
      <c r="E284" s="97" t="s">
        <v>1333</v>
      </c>
      <c r="F284" s="3" t="s">
        <v>545</v>
      </c>
      <c r="H284" s="3" t="s">
        <v>547</v>
      </c>
      <c r="J284" s="97" t="s">
        <v>1333</v>
      </c>
      <c r="K284" s="3" t="s">
        <v>545</v>
      </c>
      <c r="L284" s="3"/>
      <c r="M284" s="3" t="s">
        <v>547</v>
      </c>
      <c r="N284" s="56"/>
    </row>
    <row r="285" spans="1:16">
      <c r="A285" s="66"/>
      <c r="B285" s="66"/>
      <c r="C285" t="s">
        <v>863</v>
      </c>
      <c r="D285" t="s">
        <v>569</v>
      </c>
      <c r="E285" s="97" t="s">
        <v>1452</v>
      </c>
      <c r="F285" s="3" t="s">
        <v>545</v>
      </c>
      <c r="H285" s="3" t="s">
        <v>547</v>
      </c>
    </row>
    <row r="286" spans="1:16">
      <c r="A286" s="66"/>
      <c r="B286" s="66"/>
      <c r="C286" t="s">
        <v>1453</v>
      </c>
      <c r="D286" t="s">
        <v>569</v>
      </c>
      <c r="E286" s="97" t="s">
        <v>1452</v>
      </c>
      <c r="F286" s="3" t="s">
        <v>545</v>
      </c>
      <c r="H286" s="3" t="s">
        <v>547</v>
      </c>
    </row>
    <row r="287" spans="1:16">
      <c r="A287" s="66"/>
      <c r="B287" s="66"/>
      <c r="C287" t="s">
        <v>865</v>
      </c>
      <c r="D287" t="s">
        <v>543</v>
      </c>
      <c r="E287" s="97" t="s">
        <v>1449</v>
      </c>
      <c r="F287" s="3" t="s">
        <v>554</v>
      </c>
      <c r="G287" s="3" t="s">
        <v>546</v>
      </c>
      <c r="H287" s="3" t="s">
        <v>547</v>
      </c>
      <c r="I287" s="56" t="s">
        <v>546</v>
      </c>
      <c r="J287" s="97" t="s">
        <v>1449</v>
      </c>
      <c r="K287" s="3" t="s">
        <v>554</v>
      </c>
      <c r="L287" s="3" t="s">
        <v>546</v>
      </c>
      <c r="M287" s="3" t="s">
        <v>547</v>
      </c>
      <c r="N287" s="56" t="s">
        <v>546</v>
      </c>
      <c r="P287" s="106" t="s">
        <v>547</v>
      </c>
    </row>
    <row r="288" spans="1:16">
      <c r="A288" s="66"/>
      <c r="B288" s="66"/>
      <c r="C288" t="s">
        <v>867</v>
      </c>
      <c r="D288" t="s">
        <v>569</v>
      </c>
      <c r="E288" s="97" t="s">
        <v>554</v>
      </c>
      <c r="F288" s="3" t="s">
        <v>554</v>
      </c>
      <c r="H288" s="3" t="s">
        <v>547</v>
      </c>
    </row>
    <row r="289" spans="1:16">
      <c r="A289" s="66"/>
      <c r="B289" s="66"/>
      <c r="C289" t="s">
        <v>1454</v>
      </c>
      <c r="D289" t="s">
        <v>569</v>
      </c>
      <c r="E289" s="97" t="s">
        <v>554</v>
      </c>
      <c r="F289" s="3" t="s">
        <v>554</v>
      </c>
      <c r="H289" s="3" t="s">
        <v>547</v>
      </c>
    </row>
    <row r="290" spans="1:16">
      <c r="A290" s="66"/>
      <c r="B290" s="66"/>
      <c r="C290" t="s">
        <v>1335</v>
      </c>
      <c r="D290" t="s">
        <v>569</v>
      </c>
      <c r="E290" s="97" t="s">
        <v>1331</v>
      </c>
      <c r="F290" s="3" t="s">
        <v>554</v>
      </c>
      <c r="H290" s="3" t="s">
        <v>547</v>
      </c>
      <c r="J290" s="97" t="s">
        <v>1331</v>
      </c>
      <c r="K290" s="3" t="s">
        <v>554</v>
      </c>
      <c r="L290" s="3"/>
      <c r="M290" s="3" t="s">
        <v>547</v>
      </c>
      <c r="N290" s="56"/>
    </row>
    <row r="291" spans="1:16">
      <c r="A291" s="66"/>
      <c r="B291" s="66"/>
      <c r="C291" t="s">
        <v>1455</v>
      </c>
      <c r="D291" t="s">
        <v>569</v>
      </c>
      <c r="E291" s="97" t="s">
        <v>1331</v>
      </c>
      <c r="F291" s="3" t="s">
        <v>554</v>
      </c>
      <c r="H291" s="3" t="s">
        <v>547</v>
      </c>
      <c r="J291" s="97" t="s">
        <v>1331</v>
      </c>
      <c r="K291" s="3" t="s">
        <v>554</v>
      </c>
      <c r="L291" s="3"/>
      <c r="M291" s="3" t="s">
        <v>547</v>
      </c>
      <c r="N291" s="56"/>
    </row>
    <row r="292" spans="1:16">
      <c r="A292" s="66"/>
      <c r="B292" s="66"/>
      <c r="C292" t="s">
        <v>1336</v>
      </c>
      <c r="D292" t="s">
        <v>569</v>
      </c>
      <c r="E292" s="97" t="s">
        <v>1333</v>
      </c>
      <c r="F292" s="3" t="s">
        <v>554</v>
      </c>
      <c r="H292" s="3" t="s">
        <v>547</v>
      </c>
      <c r="J292" s="97" t="s">
        <v>1333</v>
      </c>
      <c r="K292" s="3" t="s">
        <v>554</v>
      </c>
      <c r="L292" s="3"/>
      <c r="M292" s="3" t="s">
        <v>547</v>
      </c>
      <c r="N292" s="56"/>
    </row>
    <row r="293" spans="1:16">
      <c r="A293" s="66"/>
      <c r="B293" s="66"/>
      <c r="C293" t="s">
        <v>1456</v>
      </c>
      <c r="D293" t="s">
        <v>569</v>
      </c>
      <c r="E293" s="97" t="s">
        <v>1333</v>
      </c>
      <c r="F293" s="3" t="s">
        <v>554</v>
      </c>
      <c r="H293" s="3" t="s">
        <v>547</v>
      </c>
      <c r="J293" s="97" t="s">
        <v>1333</v>
      </c>
      <c r="K293" s="3" t="s">
        <v>554</v>
      </c>
      <c r="L293" s="3"/>
      <c r="M293" s="3" t="s">
        <v>547</v>
      </c>
      <c r="N293" s="56"/>
    </row>
    <row r="294" spans="1:16">
      <c r="A294" s="66"/>
      <c r="B294" s="66"/>
      <c r="C294" t="s">
        <v>868</v>
      </c>
      <c r="D294" t="s">
        <v>569</v>
      </c>
      <c r="E294" s="97" t="s">
        <v>1452</v>
      </c>
      <c r="F294" s="3" t="s">
        <v>554</v>
      </c>
      <c r="H294" s="3" t="s">
        <v>547</v>
      </c>
    </row>
    <row r="295" spans="1:16">
      <c r="A295" s="66"/>
      <c r="B295" s="66"/>
      <c r="C295" t="s">
        <v>1457</v>
      </c>
      <c r="D295" t="s">
        <v>569</v>
      </c>
      <c r="E295" s="97" t="s">
        <v>1452</v>
      </c>
      <c r="F295" s="3" t="s">
        <v>554</v>
      </c>
      <c r="H295" s="3" t="s">
        <v>547</v>
      </c>
    </row>
    <row r="296" spans="1:16">
      <c r="A296" s="66"/>
      <c r="B296" s="66"/>
      <c r="C296" t="s">
        <v>869</v>
      </c>
      <c r="D296" t="s">
        <v>543</v>
      </c>
      <c r="E296" s="97" t="s">
        <v>604</v>
      </c>
      <c r="F296" s="3" t="s">
        <v>554</v>
      </c>
      <c r="G296" s="3" t="s">
        <v>546</v>
      </c>
      <c r="H296" s="3" t="s">
        <v>547</v>
      </c>
      <c r="I296" s="56" t="s">
        <v>546</v>
      </c>
      <c r="J296" s="97" t="s">
        <v>604</v>
      </c>
      <c r="K296" s="3" t="s">
        <v>554</v>
      </c>
      <c r="L296" s="3" t="s">
        <v>546</v>
      </c>
      <c r="M296" s="3" t="s">
        <v>547</v>
      </c>
      <c r="N296" s="56" t="s">
        <v>546</v>
      </c>
      <c r="P296" s="106" t="s">
        <v>547</v>
      </c>
    </row>
    <row r="297" spans="1:16">
      <c r="A297" s="66"/>
      <c r="B297" s="66"/>
      <c r="C297" t="s">
        <v>871</v>
      </c>
      <c r="D297" t="s">
        <v>569</v>
      </c>
      <c r="E297" s="97" t="s">
        <v>552</v>
      </c>
      <c r="F297" s="3" t="s">
        <v>554</v>
      </c>
      <c r="H297" s="3" t="s">
        <v>547</v>
      </c>
    </row>
    <row r="298" spans="1:16">
      <c r="A298" s="66"/>
      <c r="B298" s="66"/>
      <c r="C298" t="s">
        <v>1458</v>
      </c>
      <c r="D298" t="s">
        <v>569</v>
      </c>
      <c r="E298" s="97" t="s">
        <v>552</v>
      </c>
      <c r="F298" s="3" t="s">
        <v>554</v>
      </c>
      <c r="H298" s="3" t="s">
        <v>547</v>
      </c>
    </row>
    <row r="299" spans="1:16">
      <c r="A299" s="66"/>
      <c r="B299" s="66"/>
      <c r="C299" t="s">
        <v>1338</v>
      </c>
      <c r="D299" t="s">
        <v>569</v>
      </c>
      <c r="E299" s="97" t="s">
        <v>607</v>
      </c>
      <c r="F299" s="3" t="s">
        <v>554</v>
      </c>
      <c r="H299" s="3" t="s">
        <v>547</v>
      </c>
      <c r="J299" s="97" t="s">
        <v>607</v>
      </c>
      <c r="K299" s="3" t="s">
        <v>554</v>
      </c>
      <c r="L299" s="3"/>
      <c r="M299" s="3" t="s">
        <v>547</v>
      </c>
      <c r="N299" s="56"/>
    </row>
    <row r="300" spans="1:16">
      <c r="A300" s="66"/>
      <c r="B300" s="66"/>
      <c r="C300" t="s">
        <v>1459</v>
      </c>
      <c r="D300" t="s">
        <v>569</v>
      </c>
      <c r="E300" s="97" t="s">
        <v>607</v>
      </c>
      <c r="F300" s="3" t="s">
        <v>554</v>
      </c>
      <c r="H300" s="3" t="s">
        <v>547</v>
      </c>
      <c r="J300" s="97" t="s">
        <v>607</v>
      </c>
      <c r="K300" s="3" t="s">
        <v>554</v>
      </c>
      <c r="L300" s="3"/>
      <c r="M300" s="3" t="s">
        <v>547</v>
      </c>
      <c r="N300" s="56"/>
    </row>
    <row r="301" spans="1:16">
      <c r="A301" s="66"/>
      <c r="B301" s="66"/>
      <c r="C301" t="s">
        <v>1339</v>
      </c>
      <c r="D301" t="s">
        <v>569</v>
      </c>
      <c r="E301" s="97" t="s">
        <v>609</v>
      </c>
      <c r="F301" s="3" t="s">
        <v>554</v>
      </c>
      <c r="H301" s="3" t="s">
        <v>547</v>
      </c>
      <c r="J301" s="97" t="s">
        <v>609</v>
      </c>
      <c r="K301" s="3" t="s">
        <v>554</v>
      </c>
      <c r="L301" s="3"/>
      <c r="M301" s="3" t="s">
        <v>547</v>
      </c>
      <c r="N301" s="56"/>
    </row>
    <row r="302" spans="1:16">
      <c r="A302" s="66"/>
      <c r="B302" s="66"/>
      <c r="C302" t="s">
        <v>1460</v>
      </c>
      <c r="D302" t="s">
        <v>569</v>
      </c>
      <c r="E302" s="97" t="s">
        <v>609</v>
      </c>
      <c r="F302" s="3" t="s">
        <v>554</v>
      </c>
      <c r="H302" s="3" t="s">
        <v>547</v>
      </c>
      <c r="J302" s="97" t="s">
        <v>609</v>
      </c>
      <c r="K302" s="3" t="s">
        <v>554</v>
      </c>
      <c r="L302" s="3"/>
      <c r="M302" s="3" t="s">
        <v>547</v>
      </c>
      <c r="N302" s="56"/>
    </row>
    <row r="303" spans="1:16">
      <c r="A303" s="66"/>
      <c r="B303" s="66"/>
      <c r="C303" t="s">
        <v>872</v>
      </c>
      <c r="D303" t="s">
        <v>569</v>
      </c>
      <c r="E303" s="97" t="s">
        <v>611</v>
      </c>
      <c r="F303" s="3" t="s">
        <v>554</v>
      </c>
      <c r="H303" s="3" t="s">
        <v>547</v>
      </c>
    </row>
    <row r="304" spans="1:16">
      <c r="A304" s="66"/>
      <c r="B304" s="66"/>
      <c r="C304" t="s">
        <v>1461</v>
      </c>
      <c r="D304" t="s">
        <v>569</v>
      </c>
      <c r="E304" s="97" t="s">
        <v>611</v>
      </c>
      <c r="F304" s="3" t="s">
        <v>554</v>
      </c>
      <c r="H304" s="3" t="s">
        <v>547</v>
      </c>
    </row>
    <row r="305" spans="1:16">
      <c r="A305" s="66"/>
      <c r="B305" s="66"/>
      <c r="C305" t="s">
        <v>873</v>
      </c>
      <c r="D305" t="s">
        <v>543</v>
      </c>
      <c r="E305" s="97" t="s">
        <v>1449</v>
      </c>
      <c r="F305" s="3" t="s">
        <v>552</v>
      </c>
      <c r="G305" s="3" t="s">
        <v>546</v>
      </c>
      <c r="H305" s="3" t="s">
        <v>547</v>
      </c>
      <c r="I305" s="56" t="s">
        <v>546</v>
      </c>
      <c r="J305" s="97" t="s">
        <v>1449</v>
      </c>
      <c r="K305" s="3" t="s">
        <v>552</v>
      </c>
      <c r="L305" s="3" t="s">
        <v>546</v>
      </c>
      <c r="M305" s="3" t="s">
        <v>547</v>
      </c>
      <c r="N305" s="56" t="s">
        <v>546</v>
      </c>
      <c r="P305" s="106" t="s">
        <v>547</v>
      </c>
    </row>
    <row r="306" spans="1:16">
      <c r="A306" s="66"/>
      <c r="B306" s="66"/>
      <c r="C306" t="s">
        <v>874</v>
      </c>
      <c r="D306" t="s">
        <v>569</v>
      </c>
      <c r="E306" s="97" t="s">
        <v>554</v>
      </c>
      <c r="F306" s="3" t="s">
        <v>552</v>
      </c>
      <c r="H306" s="3" t="s">
        <v>547</v>
      </c>
    </row>
    <row r="307" spans="1:16">
      <c r="A307" s="66"/>
      <c r="B307" s="66"/>
      <c r="C307" t="s">
        <v>1462</v>
      </c>
      <c r="D307" t="s">
        <v>569</v>
      </c>
      <c r="E307" s="97" t="s">
        <v>554</v>
      </c>
      <c r="F307" s="3" t="s">
        <v>552</v>
      </c>
      <c r="H307" s="3" t="s">
        <v>547</v>
      </c>
    </row>
    <row r="308" spans="1:16">
      <c r="A308" s="66"/>
      <c r="B308" s="66"/>
      <c r="C308" t="s">
        <v>1340</v>
      </c>
      <c r="D308" t="s">
        <v>569</v>
      </c>
      <c r="E308" s="97" t="s">
        <v>1331</v>
      </c>
      <c r="F308" s="3" t="s">
        <v>552</v>
      </c>
      <c r="H308" s="3" t="s">
        <v>547</v>
      </c>
      <c r="J308" s="97" t="s">
        <v>1331</v>
      </c>
      <c r="K308" s="3" t="s">
        <v>552</v>
      </c>
      <c r="L308" s="3"/>
      <c r="M308" s="3" t="s">
        <v>547</v>
      </c>
      <c r="N308" s="56"/>
    </row>
    <row r="309" spans="1:16">
      <c r="A309" s="66"/>
      <c r="B309" s="66"/>
      <c r="C309" t="s">
        <v>1463</v>
      </c>
      <c r="D309" t="s">
        <v>569</v>
      </c>
      <c r="E309" s="97" t="s">
        <v>1331</v>
      </c>
      <c r="F309" s="3" t="s">
        <v>552</v>
      </c>
      <c r="H309" s="3" t="s">
        <v>547</v>
      </c>
      <c r="J309" s="97" t="s">
        <v>1331</v>
      </c>
      <c r="K309" s="3" t="s">
        <v>552</v>
      </c>
      <c r="L309" s="3"/>
      <c r="M309" s="3" t="s">
        <v>547</v>
      </c>
      <c r="N309" s="56"/>
    </row>
    <row r="310" spans="1:16">
      <c r="A310" s="66"/>
      <c r="B310" s="66"/>
      <c r="C310" t="s">
        <v>1341</v>
      </c>
      <c r="D310" t="s">
        <v>569</v>
      </c>
      <c r="E310" s="97" t="s">
        <v>1333</v>
      </c>
      <c r="F310" s="3" t="s">
        <v>552</v>
      </c>
      <c r="H310" s="3" t="s">
        <v>547</v>
      </c>
      <c r="J310" s="97" t="s">
        <v>1333</v>
      </c>
      <c r="K310" s="3" t="s">
        <v>552</v>
      </c>
      <c r="L310" s="3"/>
      <c r="M310" s="3" t="s">
        <v>547</v>
      </c>
      <c r="N310" s="56"/>
    </row>
    <row r="311" spans="1:16">
      <c r="A311" s="66"/>
      <c r="B311" s="66"/>
      <c r="C311" t="s">
        <v>1464</v>
      </c>
      <c r="D311" t="s">
        <v>569</v>
      </c>
      <c r="E311" s="97" t="s">
        <v>1333</v>
      </c>
      <c r="F311" s="3" t="s">
        <v>552</v>
      </c>
      <c r="H311" s="3" t="s">
        <v>547</v>
      </c>
      <c r="J311" s="97" t="s">
        <v>1333</v>
      </c>
      <c r="K311" s="3" t="s">
        <v>552</v>
      </c>
      <c r="L311" s="3"/>
      <c r="M311" s="3" t="s">
        <v>547</v>
      </c>
      <c r="N311" s="56"/>
    </row>
    <row r="312" spans="1:16">
      <c r="A312" s="66"/>
      <c r="B312" s="66"/>
      <c r="C312" t="s">
        <v>875</v>
      </c>
      <c r="D312" t="s">
        <v>569</v>
      </c>
      <c r="E312" s="97" t="s">
        <v>1452</v>
      </c>
      <c r="F312" s="3" t="s">
        <v>552</v>
      </c>
      <c r="H312" s="3" t="s">
        <v>547</v>
      </c>
    </row>
    <row r="313" spans="1:16">
      <c r="A313" s="66"/>
      <c r="B313" s="66"/>
      <c r="C313" t="s">
        <v>1465</v>
      </c>
      <c r="D313" t="s">
        <v>569</v>
      </c>
      <c r="E313" s="97" t="s">
        <v>1452</v>
      </c>
      <c r="F313" s="3" t="s">
        <v>552</v>
      </c>
      <c r="H313" s="3" t="s">
        <v>547</v>
      </c>
    </row>
    <row r="314" spans="1:16">
      <c r="A314" s="66"/>
      <c r="B314" s="66"/>
      <c r="C314" t="s">
        <v>876</v>
      </c>
    </row>
    <row r="315" spans="1:16">
      <c r="A315" s="66"/>
      <c r="B315" s="66"/>
      <c r="C315" t="s">
        <v>1466</v>
      </c>
    </row>
    <row r="316" spans="1:16">
      <c r="A316" s="66"/>
      <c r="B316" s="66"/>
      <c r="C316" t="s">
        <v>1342</v>
      </c>
    </row>
    <row r="317" spans="1:16">
      <c r="A317" s="66"/>
      <c r="B317" s="66"/>
      <c r="C317" t="s">
        <v>1467</v>
      </c>
    </row>
    <row r="318" spans="1:16">
      <c r="A318" s="66"/>
      <c r="B318" s="66"/>
      <c r="C318" t="s">
        <v>1343</v>
      </c>
    </row>
    <row r="319" spans="1:16">
      <c r="A319" s="66"/>
      <c r="B319" s="66"/>
      <c r="C319" t="s">
        <v>1468</v>
      </c>
    </row>
    <row r="320" spans="1:16">
      <c r="A320" s="66"/>
      <c r="B320" s="66"/>
      <c r="C320" t="s">
        <v>877</v>
      </c>
    </row>
    <row r="321" spans="1:16">
      <c r="A321" s="66"/>
      <c r="B321" s="66"/>
      <c r="C321" t="s">
        <v>1469</v>
      </c>
    </row>
    <row r="322" spans="1:16">
      <c r="A322" s="66"/>
      <c r="B322" s="66"/>
      <c r="C322" t="s">
        <v>878</v>
      </c>
      <c r="D322" t="s">
        <v>543</v>
      </c>
      <c r="E322" s="97" t="s">
        <v>583</v>
      </c>
      <c r="F322" s="3" t="s">
        <v>554</v>
      </c>
      <c r="G322" s="3" t="s">
        <v>546</v>
      </c>
      <c r="H322" s="3" t="s">
        <v>547</v>
      </c>
      <c r="I322" s="56" t="s">
        <v>546</v>
      </c>
      <c r="J322" s="97" t="s">
        <v>583</v>
      </c>
      <c r="K322" s="3" t="s">
        <v>554</v>
      </c>
      <c r="L322" s="3" t="s">
        <v>546</v>
      </c>
      <c r="M322" s="3" t="s">
        <v>547</v>
      </c>
      <c r="N322" s="56" t="s">
        <v>546</v>
      </c>
      <c r="P322" s="106" t="s">
        <v>547</v>
      </c>
    </row>
    <row r="323" spans="1:16">
      <c r="A323" s="66"/>
      <c r="B323" s="66"/>
      <c r="C323" t="s">
        <v>879</v>
      </c>
      <c r="D323" t="s">
        <v>639</v>
      </c>
      <c r="E323" s="97" t="s">
        <v>583</v>
      </c>
      <c r="F323" s="3" t="s">
        <v>554</v>
      </c>
      <c r="H323" s="3" t="s">
        <v>547</v>
      </c>
      <c r="J323" s="97" t="s">
        <v>583</v>
      </c>
      <c r="K323" s="3" t="s">
        <v>554</v>
      </c>
      <c r="L323" s="3"/>
      <c r="M323" s="3" t="s">
        <v>547</v>
      </c>
      <c r="N323" s="56"/>
    </row>
    <row r="324" spans="1:16">
      <c r="A324" s="66"/>
      <c r="B324" s="66"/>
      <c r="C324" t="s">
        <v>880</v>
      </c>
      <c r="D324" t="s">
        <v>639</v>
      </c>
      <c r="E324" s="97" t="s">
        <v>583</v>
      </c>
      <c r="F324" s="3" t="s">
        <v>554</v>
      </c>
      <c r="H324" s="3" t="s">
        <v>547</v>
      </c>
      <c r="J324" s="97" t="s">
        <v>583</v>
      </c>
      <c r="K324" s="3" t="s">
        <v>554</v>
      </c>
      <c r="L324" s="3"/>
      <c r="M324" s="3" t="s">
        <v>547</v>
      </c>
      <c r="N324" s="56"/>
    </row>
    <row r="325" spans="1:16">
      <c r="A325" s="66"/>
      <c r="B325" s="66"/>
      <c r="C325" t="s">
        <v>1471</v>
      </c>
      <c r="D325" t="s">
        <v>639</v>
      </c>
      <c r="E325" s="97" t="s">
        <v>583</v>
      </c>
      <c r="F325" s="3" t="s">
        <v>554</v>
      </c>
      <c r="H325" s="3" t="s">
        <v>547</v>
      </c>
      <c r="J325" s="97" t="s">
        <v>583</v>
      </c>
      <c r="K325" s="3" t="s">
        <v>554</v>
      </c>
      <c r="L325" s="3"/>
      <c r="M325" s="3" t="s">
        <v>547</v>
      </c>
      <c r="N325" s="56"/>
    </row>
    <row r="326" spans="1:16">
      <c r="A326" s="66"/>
      <c r="B326" s="66"/>
      <c r="C326" t="s">
        <v>881</v>
      </c>
      <c r="D326" t="s">
        <v>639</v>
      </c>
      <c r="E326" s="97" t="s">
        <v>583</v>
      </c>
      <c r="F326" s="3" t="s">
        <v>554</v>
      </c>
      <c r="H326" s="3" t="s">
        <v>547</v>
      </c>
      <c r="J326" s="97" t="s">
        <v>583</v>
      </c>
      <c r="K326" s="3" t="s">
        <v>554</v>
      </c>
      <c r="L326" s="3"/>
      <c r="M326" s="3" t="s">
        <v>547</v>
      </c>
      <c r="N326" s="56"/>
    </row>
    <row r="327" spans="1:16">
      <c r="A327" s="66"/>
      <c r="B327" s="66"/>
      <c r="C327" t="s">
        <v>1472</v>
      </c>
      <c r="D327" t="s">
        <v>639</v>
      </c>
      <c r="E327" s="97" t="s">
        <v>583</v>
      </c>
      <c r="F327" s="3" t="s">
        <v>554</v>
      </c>
      <c r="H327" s="3" t="s">
        <v>547</v>
      </c>
      <c r="J327" s="97" t="s">
        <v>583</v>
      </c>
      <c r="K327" s="3" t="s">
        <v>554</v>
      </c>
      <c r="L327" s="3"/>
      <c r="M327" s="3" t="s">
        <v>547</v>
      </c>
      <c r="N327" s="56"/>
    </row>
    <row r="328" spans="1:16">
      <c r="A328" s="66"/>
      <c r="B328" s="66"/>
      <c r="C328" t="s">
        <v>882</v>
      </c>
    </row>
    <row r="329" spans="1:16">
      <c r="A329" s="66"/>
      <c r="B329" s="66"/>
      <c r="C329" t="s">
        <v>883</v>
      </c>
    </row>
    <row r="330" spans="1:16">
      <c r="A330" s="66"/>
      <c r="B330" s="66"/>
      <c r="C330" t="s">
        <v>884</v>
      </c>
    </row>
    <row r="331" spans="1:16">
      <c r="A331" s="66"/>
      <c r="B331" s="66"/>
      <c r="C331" s="1" t="s">
        <v>1414</v>
      </c>
      <c r="D331" s="1" t="s">
        <v>543</v>
      </c>
      <c r="E331" s="97" t="s">
        <v>1401</v>
      </c>
      <c r="F331" s="3" t="s">
        <v>554</v>
      </c>
      <c r="G331" s="3" t="s">
        <v>546</v>
      </c>
      <c r="H331" s="3" t="s">
        <v>547</v>
      </c>
      <c r="I331" s="56" t="s">
        <v>546</v>
      </c>
      <c r="J331" s="97" t="s">
        <v>1401</v>
      </c>
      <c r="K331" s="3" t="s">
        <v>554</v>
      </c>
      <c r="L331" s="3" t="s">
        <v>546</v>
      </c>
      <c r="M331" s="3" t="s">
        <v>547</v>
      </c>
      <c r="N331" s="56" t="s">
        <v>546</v>
      </c>
      <c r="P331" s="106" t="s">
        <v>547</v>
      </c>
    </row>
    <row r="332" spans="1:16">
      <c r="A332" s="66"/>
      <c r="B332" s="66"/>
      <c r="C332" s="1" t="s">
        <v>1415</v>
      </c>
      <c r="D332" s="1" t="s">
        <v>543</v>
      </c>
      <c r="E332" s="97" t="s">
        <v>1407</v>
      </c>
      <c r="F332" s="3" t="s">
        <v>554</v>
      </c>
      <c r="G332" s="3" t="s">
        <v>546</v>
      </c>
      <c r="H332" s="3" t="s">
        <v>547</v>
      </c>
      <c r="I332" s="56" t="s">
        <v>546</v>
      </c>
      <c r="J332" s="97" t="s">
        <v>1407</v>
      </c>
      <c r="K332" s="3" t="s">
        <v>554</v>
      </c>
      <c r="L332" s="3" t="s">
        <v>546</v>
      </c>
      <c r="M332" s="3" t="s">
        <v>547</v>
      </c>
      <c r="N332" s="56" t="s">
        <v>546</v>
      </c>
      <c r="P332" s="106" t="s">
        <v>547</v>
      </c>
    </row>
    <row r="333" spans="1:16">
      <c r="A333" s="66"/>
      <c r="B333" s="66"/>
      <c r="C333" s="1" t="s">
        <v>731</v>
      </c>
      <c r="D333" s="1" t="s">
        <v>569</v>
      </c>
      <c r="E333" s="97" t="s">
        <v>1403</v>
      </c>
      <c r="F333" s="3" t="s">
        <v>554</v>
      </c>
      <c r="H333" s="3" t="s">
        <v>547</v>
      </c>
      <c r="J333" s="97" t="s">
        <v>1403</v>
      </c>
      <c r="K333" s="3" t="s">
        <v>554</v>
      </c>
      <c r="L333" s="3"/>
      <c r="M333" s="3" t="s">
        <v>547</v>
      </c>
      <c r="N333" s="56"/>
    </row>
    <row r="334" spans="1:16">
      <c r="A334" s="66"/>
      <c r="B334" s="66"/>
      <c r="C334" s="1" t="s">
        <v>1416</v>
      </c>
      <c r="D334" s="1" t="s">
        <v>569</v>
      </c>
      <c r="E334" s="97" t="s">
        <v>1403</v>
      </c>
      <c r="F334" s="3" t="s">
        <v>554</v>
      </c>
      <c r="H334" s="3" t="s">
        <v>547</v>
      </c>
      <c r="J334" s="97" t="s">
        <v>1403</v>
      </c>
      <c r="K334" s="3" t="s">
        <v>554</v>
      </c>
      <c r="L334" s="3"/>
      <c r="M334" s="3" t="s">
        <v>547</v>
      </c>
      <c r="N334" s="56"/>
    </row>
    <row r="335" spans="1:16">
      <c r="A335" s="66"/>
      <c r="B335" s="66"/>
      <c r="C335" s="1" t="s">
        <v>732</v>
      </c>
      <c r="D335" s="1" t="s">
        <v>569</v>
      </c>
      <c r="E335" s="97" t="s">
        <v>1405</v>
      </c>
      <c r="F335" s="3" t="s">
        <v>554</v>
      </c>
      <c r="H335" s="3" t="s">
        <v>547</v>
      </c>
      <c r="J335" s="97" t="s">
        <v>1405</v>
      </c>
      <c r="K335" s="3" t="s">
        <v>554</v>
      </c>
      <c r="L335" s="3"/>
      <c r="M335" s="3" t="s">
        <v>547</v>
      </c>
      <c r="N335" s="56"/>
    </row>
    <row r="336" spans="1:16">
      <c r="A336" s="66"/>
      <c r="B336" s="66"/>
      <c r="C336" s="1" t="s">
        <v>1417</v>
      </c>
      <c r="D336" s="1" t="s">
        <v>569</v>
      </c>
      <c r="E336" s="97" t="s">
        <v>1405</v>
      </c>
      <c r="F336" s="3" t="s">
        <v>554</v>
      </c>
      <c r="H336" s="3" t="s">
        <v>547</v>
      </c>
      <c r="J336" s="97" t="s">
        <v>1405</v>
      </c>
      <c r="K336" s="3" t="s">
        <v>554</v>
      </c>
      <c r="L336" s="3"/>
      <c r="M336" s="3" t="s">
        <v>547</v>
      </c>
      <c r="N336" s="56"/>
    </row>
    <row r="337" spans="1:16">
      <c r="A337" s="66"/>
      <c r="B337" s="66"/>
      <c r="C337" s="1" t="s">
        <v>733</v>
      </c>
      <c r="D337" s="1" t="s">
        <v>569</v>
      </c>
      <c r="E337" s="97" t="s">
        <v>1407</v>
      </c>
      <c r="F337" s="3" t="s">
        <v>554</v>
      </c>
      <c r="H337" s="3" t="s">
        <v>547</v>
      </c>
      <c r="J337" s="97" t="s">
        <v>1407</v>
      </c>
      <c r="K337" s="3" t="s">
        <v>554</v>
      </c>
      <c r="L337" s="3"/>
      <c r="M337" s="3" t="s">
        <v>547</v>
      </c>
      <c r="N337" s="56"/>
    </row>
    <row r="338" spans="1:16">
      <c r="A338" s="66"/>
      <c r="B338" s="66"/>
      <c r="C338" s="1" t="s">
        <v>1418</v>
      </c>
      <c r="D338" s="1" t="s">
        <v>569</v>
      </c>
      <c r="E338" s="97" t="s">
        <v>1407</v>
      </c>
      <c r="F338" s="3" t="s">
        <v>554</v>
      </c>
      <c r="H338" s="3" t="s">
        <v>547</v>
      </c>
      <c r="J338" s="97" t="s">
        <v>1407</v>
      </c>
      <c r="K338" s="3" t="s">
        <v>554</v>
      </c>
      <c r="L338" s="3"/>
      <c r="M338" s="3" t="s">
        <v>547</v>
      </c>
      <c r="N338" s="56"/>
    </row>
    <row r="339" spans="1:16">
      <c r="A339" s="66"/>
      <c r="B339" s="66"/>
      <c r="C339" t="s">
        <v>885</v>
      </c>
      <c r="D339" t="s">
        <v>543</v>
      </c>
      <c r="E339" s="97" t="s">
        <v>1473</v>
      </c>
      <c r="F339" s="3" t="s">
        <v>554</v>
      </c>
      <c r="G339" s="3" t="s">
        <v>546</v>
      </c>
      <c r="H339" s="3" t="s">
        <v>547</v>
      </c>
      <c r="I339" s="56" t="s">
        <v>546</v>
      </c>
      <c r="J339" s="97" t="s">
        <v>1473</v>
      </c>
      <c r="K339" s="3" t="s">
        <v>554</v>
      </c>
      <c r="L339" s="3" t="s">
        <v>546</v>
      </c>
      <c r="M339" s="3" t="s">
        <v>547</v>
      </c>
      <c r="N339" s="56" t="s">
        <v>546</v>
      </c>
      <c r="P339" s="106" t="s">
        <v>547</v>
      </c>
    </row>
    <row r="340" spans="1:16">
      <c r="A340" s="66"/>
      <c r="B340" s="66"/>
      <c r="C340" t="s">
        <v>887</v>
      </c>
      <c r="D340" t="s">
        <v>543</v>
      </c>
      <c r="E340" s="97" t="s">
        <v>1474</v>
      </c>
      <c r="F340" s="3" t="s">
        <v>554</v>
      </c>
      <c r="G340" s="3" t="s">
        <v>546</v>
      </c>
      <c r="H340" s="3" t="s">
        <v>547</v>
      </c>
      <c r="I340" s="56" t="s">
        <v>546</v>
      </c>
      <c r="J340" s="97" t="s">
        <v>1474</v>
      </c>
      <c r="K340" s="3" t="s">
        <v>554</v>
      </c>
      <c r="L340" s="3" t="s">
        <v>546</v>
      </c>
      <c r="M340" s="3" t="s">
        <v>547</v>
      </c>
      <c r="N340" s="56" t="s">
        <v>546</v>
      </c>
      <c r="P340" s="106" t="s">
        <v>547</v>
      </c>
    </row>
    <row r="341" spans="1:16">
      <c r="A341" s="66"/>
      <c r="B341" s="66"/>
      <c r="C341" t="s">
        <v>889</v>
      </c>
      <c r="D341" t="s">
        <v>569</v>
      </c>
      <c r="E341" s="97" t="s">
        <v>1475</v>
      </c>
      <c r="F341" s="3" t="s">
        <v>554</v>
      </c>
      <c r="H341" s="3" t="s">
        <v>547</v>
      </c>
      <c r="J341" s="97" t="s">
        <v>1475</v>
      </c>
      <c r="K341" s="3" t="s">
        <v>554</v>
      </c>
      <c r="L341" s="3"/>
      <c r="M341" s="3" t="s">
        <v>547</v>
      </c>
    </row>
    <row r="342" spans="1:16">
      <c r="A342" s="66"/>
      <c r="B342" s="66"/>
      <c r="C342" t="s">
        <v>1476</v>
      </c>
      <c r="D342" t="s">
        <v>569</v>
      </c>
      <c r="E342" s="97" t="s">
        <v>1475</v>
      </c>
      <c r="F342" s="3" t="s">
        <v>554</v>
      </c>
      <c r="H342" s="3" t="s">
        <v>547</v>
      </c>
      <c r="J342" s="97" t="s">
        <v>1475</v>
      </c>
      <c r="K342" s="3" t="s">
        <v>554</v>
      </c>
      <c r="L342" s="3"/>
      <c r="M342" s="3" t="s">
        <v>547</v>
      </c>
    </row>
    <row r="343" spans="1:16">
      <c r="A343" s="66"/>
      <c r="B343" s="66"/>
      <c r="C343" t="s">
        <v>891</v>
      </c>
      <c r="D343" t="s">
        <v>569</v>
      </c>
      <c r="E343" s="97" t="s">
        <v>1477</v>
      </c>
      <c r="F343" s="3" t="s">
        <v>554</v>
      </c>
      <c r="H343" s="3" t="s">
        <v>547</v>
      </c>
      <c r="J343" s="97" t="s">
        <v>1477</v>
      </c>
      <c r="K343" s="3" t="s">
        <v>554</v>
      </c>
      <c r="L343" s="3"/>
      <c r="M343" s="3" t="s">
        <v>547</v>
      </c>
    </row>
    <row r="344" spans="1:16">
      <c r="A344" s="66"/>
      <c r="B344" s="66"/>
      <c r="C344" t="s">
        <v>1478</v>
      </c>
      <c r="D344" t="s">
        <v>569</v>
      </c>
      <c r="E344" s="97" t="s">
        <v>1477</v>
      </c>
      <c r="F344" s="3" t="s">
        <v>554</v>
      </c>
      <c r="H344" s="3" t="s">
        <v>547</v>
      </c>
      <c r="J344" s="97" t="s">
        <v>1477</v>
      </c>
      <c r="K344" s="3" t="s">
        <v>554</v>
      </c>
      <c r="L344" s="3"/>
      <c r="M344" s="3" t="s">
        <v>547</v>
      </c>
    </row>
    <row r="345" spans="1:16">
      <c r="A345" s="66"/>
      <c r="B345" s="66"/>
      <c r="C345" t="s">
        <v>893</v>
      </c>
      <c r="D345" t="s">
        <v>569</v>
      </c>
      <c r="E345" s="97" t="s">
        <v>1479</v>
      </c>
      <c r="F345" s="3" t="s">
        <v>554</v>
      </c>
      <c r="H345" s="3" t="s">
        <v>547</v>
      </c>
      <c r="J345" s="97" t="s">
        <v>1479</v>
      </c>
      <c r="K345" s="3" t="s">
        <v>554</v>
      </c>
      <c r="L345" s="3"/>
      <c r="M345" s="3" t="s">
        <v>547</v>
      </c>
    </row>
    <row r="346" spans="1:16">
      <c r="A346" s="66"/>
      <c r="B346" s="66"/>
      <c r="C346" t="s">
        <v>1480</v>
      </c>
      <c r="D346" t="s">
        <v>569</v>
      </c>
      <c r="E346" s="97" t="s">
        <v>1479</v>
      </c>
      <c r="F346" s="3" t="s">
        <v>554</v>
      </c>
      <c r="H346" s="3" t="s">
        <v>547</v>
      </c>
      <c r="J346" s="97" t="s">
        <v>1479</v>
      </c>
      <c r="K346" s="3" t="s">
        <v>554</v>
      </c>
      <c r="L346" s="3"/>
      <c r="M346" s="3" t="s">
        <v>547</v>
      </c>
    </row>
    <row r="347" spans="1:16">
      <c r="A347" s="66"/>
      <c r="B347" s="66"/>
      <c r="C347" t="s">
        <v>895</v>
      </c>
      <c r="D347" t="s">
        <v>569</v>
      </c>
      <c r="E347" s="97" t="s">
        <v>1481</v>
      </c>
      <c r="F347" s="3" t="s">
        <v>554</v>
      </c>
      <c r="H347" s="3" t="s">
        <v>547</v>
      </c>
      <c r="J347" s="97" t="s">
        <v>1481</v>
      </c>
      <c r="K347" s="3" t="s">
        <v>554</v>
      </c>
      <c r="L347" s="3"/>
      <c r="M347" s="3" t="s">
        <v>547</v>
      </c>
    </row>
    <row r="348" spans="1:16">
      <c r="A348" s="66"/>
      <c r="B348" s="66"/>
      <c r="C348" t="s">
        <v>1482</v>
      </c>
      <c r="D348" t="s">
        <v>569</v>
      </c>
      <c r="E348" s="97" t="s">
        <v>1481</v>
      </c>
      <c r="F348" s="3" t="s">
        <v>554</v>
      </c>
      <c r="H348" s="3" t="s">
        <v>547</v>
      </c>
      <c r="J348" s="97" t="s">
        <v>1481</v>
      </c>
      <c r="K348" s="3" t="s">
        <v>554</v>
      </c>
      <c r="L348" s="3"/>
      <c r="M348" s="3" t="s">
        <v>547</v>
      </c>
    </row>
    <row r="349" spans="1:16">
      <c r="A349" s="66"/>
      <c r="B349" s="66"/>
      <c r="C349" t="s">
        <v>897</v>
      </c>
      <c r="D349" t="s">
        <v>585</v>
      </c>
      <c r="E349" s="97" t="s">
        <v>583</v>
      </c>
      <c r="F349" s="3" t="s">
        <v>554</v>
      </c>
      <c r="H349" s="3" t="s">
        <v>547</v>
      </c>
      <c r="J349" s="97" t="s">
        <v>583</v>
      </c>
      <c r="K349" s="3" t="s">
        <v>554</v>
      </c>
      <c r="L349" s="3"/>
      <c r="M349" s="3" t="s">
        <v>547</v>
      </c>
    </row>
    <row r="350" spans="1:16">
      <c r="A350" s="66"/>
      <c r="B350" s="66"/>
      <c r="C350" t="s">
        <v>898</v>
      </c>
    </row>
    <row r="351" spans="1:16">
      <c r="A351" s="66"/>
      <c r="B351" s="66"/>
      <c r="C351" t="s">
        <v>899</v>
      </c>
      <c r="D351" t="s">
        <v>569</v>
      </c>
      <c r="E351" s="90" t="s">
        <v>898</v>
      </c>
      <c r="F351" s="3" t="s">
        <v>554</v>
      </c>
      <c r="H351" s="3" t="s">
        <v>547</v>
      </c>
      <c r="J351" s="90" t="s">
        <v>898</v>
      </c>
      <c r="K351" s="3" t="s">
        <v>554</v>
      </c>
      <c r="L351" s="3"/>
      <c r="M351" s="3" t="s">
        <v>547</v>
      </c>
    </row>
    <row r="352" spans="1:16">
      <c r="A352" s="66"/>
      <c r="B352" s="66"/>
      <c r="C352" t="s">
        <v>1483</v>
      </c>
      <c r="D352" t="s">
        <v>569</v>
      </c>
      <c r="E352" s="90" t="s">
        <v>898</v>
      </c>
      <c r="F352" s="3" t="s">
        <v>554</v>
      </c>
      <c r="H352" s="3" t="s">
        <v>547</v>
      </c>
      <c r="J352" s="90" t="s">
        <v>898</v>
      </c>
      <c r="K352" s="3" t="s">
        <v>554</v>
      </c>
      <c r="L352" s="3"/>
      <c r="M352" s="3" t="s">
        <v>547</v>
      </c>
    </row>
    <row r="353" spans="1:16">
      <c r="A353" s="66"/>
      <c r="B353" s="66"/>
      <c r="E353" s="90"/>
    </row>
    <row r="354" spans="1:16">
      <c r="A354" s="66"/>
      <c r="B354" s="66"/>
      <c r="C354" t="s">
        <v>2154</v>
      </c>
      <c r="E354" s="90"/>
    </row>
    <row r="355" spans="1:16">
      <c r="A355" s="66"/>
      <c r="B355" s="64"/>
      <c r="C355" s="54" t="s">
        <v>2155</v>
      </c>
      <c r="D355" s="54"/>
      <c r="E355" s="109"/>
      <c r="F355" s="91"/>
      <c r="G355" s="91"/>
      <c r="H355" s="91"/>
      <c r="I355" s="57"/>
      <c r="J355" s="109"/>
      <c r="K355" s="91"/>
      <c r="L355" s="91"/>
      <c r="M355" s="91"/>
      <c r="N355" s="57"/>
      <c r="O355" s="54"/>
      <c r="P355" s="40"/>
    </row>
    <row r="357" spans="1:16">
      <c r="A357" s="306" t="s">
        <v>1491</v>
      </c>
      <c r="B357" s="306" t="s">
        <v>1491</v>
      </c>
      <c r="C357" s="81" t="s">
        <v>593</v>
      </c>
      <c r="D357" s="81" t="s">
        <v>561</v>
      </c>
      <c r="E357" s="108" t="s">
        <v>547</v>
      </c>
      <c r="F357" s="88" t="s">
        <v>552</v>
      </c>
      <c r="G357" s="88"/>
      <c r="H357" s="88" t="s">
        <v>547</v>
      </c>
      <c r="I357" s="55"/>
      <c r="J357" s="108" t="s">
        <v>547</v>
      </c>
      <c r="K357" s="88" t="s">
        <v>552</v>
      </c>
      <c r="L357" s="88"/>
      <c r="M357" s="88" t="s">
        <v>547</v>
      </c>
      <c r="N357" s="16"/>
      <c r="O357" s="53"/>
      <c r="P357" s="104"/>
    </row>
    <row r="358" spans="1:16">
      <c r="A358" s="310"/>
      <c r="B358" s="310"/>
      <c r="C358" s="1" t="s">
        <v>594</v>
      </c>
      <c r="D358" s="1"/>
    </row>
    <row r="359" spans="1:16">
      <c r="A359" s="310"/>
      <c r="B359" s="310"/>
      <c r="C359" s="1" t="s">
        <v>595</v>
      </c>
      <c r="D359" s="1"/>
    </row>
    <row r="360" spans="1:16">
      <c r="A360" s="310"/>
      <c r="B360" s="310"/>
      <c r="C360" t="s">
        <v>1492</v>
      </c>
      <c r="D360" t="s">
        <v>543</v>
      </c>
      <c r="E360" s="97" t="s">
        <v>1351</v>
      </c>
      <c r="F360" s="3" t="s">
        <v>545</v>
      </c>
      <c r="G360" s="3" t="s">
        <v>546</v>
      </c>
      <c r="H360" s="3" t="s">
        <v>547</v>
      </c>
      <c r="I360" s="56" t="s">
        <v>546</v>
      </c>
      <c r="J360" s="97" t="s">
        <v>1351</v>
      </c>
      <c r="K360" s="3" t="s">
        <v>545</v>
      </c>
      <c r="L360" s="3" t="s">
        <v>546</v>
      </c>
      <c r="M360" s="3" t="s">
        <v>547</v>
      </c>
      <c r="N360" s="56" t="s">
        <v>546</v>
      </c>
      <c r="P360" s="106" t="s">
        <v>547</v>
      </c>
    </row>
    <row r="361" spans="1:16">
      <c r="A361" s="310"/>
      <c r="B361" s="310"/>
      <c r="C361" s="1" t="s">
        <v>557</v>
      </c>
      <c r="D361" t="s">
        <v>558</v>
      </c>
      <c r="E361" s="97" t="s">
        <v>1351</v>
      </c>
      <c r="F361" s="3" t="s">
        <v>545</v>
      </c>
      <c r="H361" s="3" t="s">
        <v>547</v>
      </c>
      <c r="J361" s="97" t="s">
        <v>1351</v>
      </c>
      <c r="K361" s="3" t="s">
        <v>545</v>
      </c>
      <c r="L361" s="3"/>
      <c r="M361" s="3" t="s">
        <v>547</v>
      </c>
    </row>
    <row r="362" spans="1:16">
      <c r="A362" s="310"/>
      <c r="B362" s="310"/>
      <c r="C362" t="s">
        <v>642</v>
      </c>
      <c r="D362" s="1" t="s">
        <v>639</v>
      </c>
      <c r="E362" s="97" t="s">
        <v>1351</v>
      </c>
      <c r="F362" s="3" t="s">
        <v>545</v>
      </c>
      <c r="H362" s="3" t="s">
        <v>547</v>
      </c>
      <c r="J362" s="97" t="s">
        <v>1351</v>
      </c>
      <c r="K362" s="3" t="s">
        <v>545</v>
      </c>
      <c r="L362" s="3"/>
      <c r="M362" s="3" t="s">
        <v>547</v>
      </c>
    </row>
    <row r="363" spans="1:16">
      <c r="A363" s="310"/>
      <c r="B363" s="310"/>
      <c r="C363" t="s">
        <v>605</v>
      </c>
      <c r="D363" s="1" t="s">
        <v>569</v>
      </c>
      <c r="E363" s="97" t="s">
        <v>552</v>
      </c>
      <c r="F363" s="3" t="s">
        <v>545</v>
      </c>
      <c r="H363" s="3" t="s">
        <v>547</v>
      </c>
      <c r="J363" s="97" t="s">
        <v>552</v>
      </c>
      <c r="K363" s="3" t="s">
        <v>545</v>
      </c>
      <c r="L363" s="3"/>
      <c r="M363" s="3" t="s">
        <v>547</v>
      </c>
      <c r="N363" s="56"/>
    </row>
    <row r="364" spans="1:16">
      <c r="A364" s="310"/>
      <c r="B364" s="310"/>
      <c r="C364" t="s">
        <v>1493</v>
      </c>
      <c r="D364" s="1" t="s">
        <v>543</v>
      </c>
      <c r="E364" s="97" t="s">
        <v>557</v>
      </c>
      <c r="F364" s="3" t="s">
        <v>545</v>
      </c>
      <c r="G364" s="3" t="s">
        <v>546</v>
      </c>
      <c r="H364" s="3" t="s">
        <v>547</v>
      </c>
      <c r="I364" s="56" t="s">
        <v>546</v>
      </c>
      <c r="J364" s="97" t="s">
        <v>557</v>
      </c>
      <c r="K364" s="3" t="s">
        <v>545</v>
      </c>
      <c r="L364" s="3" t="s">
        <v>546</v>
      </c>
      <c r="M364" s="3" t="s">
        <v>547</v>
      </c>
      <c r="N364" s="56" t="s">
        <v>546</v>
      </c>
      <c r="P364" s="106" t="s">
        <v>547</v>
      </c>
    </row>
    <row r="365" spans="1:16">
      <c r="A365" s="310"/>
      <c r="B365" s="310"/>
      <c r="C365" t="s">
        <v>637</v>
      </c>
      <c r="D365" s="1" t="s">
        <v>569</v>
      </c>
      <c r="E365" s="97" t="s">
        <v>557</v>
      </c>
      <c r="F365" s="3" t="s">
        <v>545</v>
      </c>
      <c r="H365" s="3" t="s">
        <v>547</v>
      </c>
      <c r="J365" s="97" t="s">
        <v>557</v>
      </c>
      <c r="K365" s="3" t="s">
        <v>545</v>
      </c>
      <c r="L365" s="3"/>
      <c r="M365" s="3" t="s">
        <v>547</v>
      </c>
    </row>
    <row r="366" spans="1:16">
      <c r="A366" s="310"/>
      <c r="B366" s="310"/>
      <c r="C366" t="s">
        <v>1494</v>
      </c>
      <c r="D366" s="1" t="s">
        <v>543</v>
      </c>
      <c r="E366" s="97" t="s">
        <v>1351</v>
      </c>
      <c r="F366" s="3" t="s">
        <v>552</v>
      </c>
      <c r="G366" s="3" t="s">
        <v>546</v>
      </c>
      <c r="H366" s="3" t="s">
        <v>547</v>
      </c>
      <c r="I366" s="56" t="s">
        <v>546</v>
      </c>
      <c r="J366" s="97" t="s">
        <v>1351</v>
      </c>
      <c r="K366" s="3" t="s">
        <v>552</v>
      </c>
      <c r="L366" s="3" t="s">
        <v>546</v>
      </c>
      <c r="M366" s="3" t="s">
        <v>547</v>
      </c>
      <c r="N366" s="56" t="s">
        <v>546</v>
      </c>
      <c r="P366" s="106" t="s">
        <v>547</v>
      </c>
    </row>
    <row r="367" spans="1:16">
      <c r="A367" s="310"/>
      <c r="B367" s="310"/>
      <c r="C367" t="s">
        <v>638</v>
      </c>
      <c r="D367" s="1" t="s">
        <v>639</v>
      </c>
      <c r="E367" s="97" t="s">
        <v>1351</v>
      </c>
      <c r="F367" s="3" t="s">
        <v>552</v>
      </c>
      <c r="H367" s="3" t="s">
        <v>547</v>
      </c>
      <c r="J367" s="97" t="s">
        <v>1351</v>
      </c>
      <c r="K367" s="3" t="s">
        <v>552</v>
      </c>
      <c r="L367" s="3"/>
      <c r="M367" s="3" t="s">
        <v>547</v>
      </c>
    </row>
    <row r="368" spans="1:16">
      <c r="A368" s="310"/>
      <c r="B368" s="310"/>
      <c r="C368" t="s">
        <v>654</v>
      </c>
      <c r="D368" s="1" t="s">
        <v>639</v>
      </c>
      <c r="E368" s="97" t="s">
        <v>1351</v>
      </c>
      <c r="F368" s="3" t="s">
        <v>552</v>
      </c>
      <c r="H368" s="3" t="s">
        <v>547</v>
      </c>
      <c r="J368" s="97" t="s">
        <v>1351</v>
      </c>
      <c r="K368" s="3" t="s">
        <v>552</v>
      </c>
      <c r="L368" s="3"/>
      <c r="M368" s="3" t="s">
        <v>547</v>
      </c>
    </row>
    <row r="369" spans="1:16">
      <c r="A369" s="310"/>
      <c r="B369" s="310"/>
      <c r="C369" t="s">
        <v>613</v>
      </c>
      <c r="D369" s="1" t="s">
        <v>569</v>
      </c>
      <c r="E369" s="97" t="s">
        <v>552</v>
      </c>
      <c r="F369" s="3" t="s">
        <v>552</v>
      </c>
      <c r="H369" s="3" t="s">
        <v>547</v>
      </c>
      <c r="J369" s="97" t="s">
        <v>552</v>
      </c>
      <c r="K369" s="3" t="s">
        <v>552</v>
      </c>
      <c r="L369" s="3"/>
      <c r="M369" s="3" t="s">
        <v>547</v>
      </c>
    </row>
    <row r="370" spans="1:16">
      <c r="A370" s="310"/>
      <c r="B370" s="310"/>
      <c r="C370" s="1" t="s">
        <v>856</v>
      </c>
      <c r="D370" s="1" t="s">
        <v>561</v>
      </c>
      <c r="E370" s="97" t="s">
        <v>547</v>
      </c>
      <c r="F370" s="3" t="s">
        <v>554</v>
      </c>
      <c r="H370" s="3" t="s">
        <v>547</v>
      </c>
      <c r="J370" s="97" t="s">
        <v>547</v>
      </c>
      <c r="K370" s="3" t="s">
        <v>554</v>
      </c>
      <c r="L370" s="3"/>
      <c r="M370" s="3" t="s">
        <v>547</v>
      </c>
    </row>
    <row r="371" spans="1:16">
      <c r="A371" s="310"/>
      <c r="B371" s="310"/>
      <c r="C371" s="1" t="s">
        <v>857</v>
      </c>
    </row>
    <row r="372" spans="1:16">
      <c r="A372" s="310"/>
      <c r="B372" s="310"/>
      <c r="C372" s="1" t="s">
        <v>858</v>
      </c>
    </row>
    <row r="373" spans="1:16">
      <c r="A373" s="310"/>
      <c r="B373" s="310"/>
      <c r="C373" s="1" t="s">
        <v>1495</v>
      </c>
      <c r="D373" s="1" t="s">
        <v>543</v>
      </c>
      <c r="E373" s="97" t="s">
        <v>554</v>
      </c>
      <c r="F373" s="3" t="s">
        <v>554</v>
      </c>
      <c r="G373" s="3" t="s">
        <v>546</v>
      </c>
      <c r="H373" s="3" t="s">
        <v>547</v>
      </c>
      <c r="I373" s="56" t="s">
        <v>546</v>
      </c>
      <c r="J373" s="97" t="s">
        <v>554</v>
      </c>
      <c r="K373" s="3" t="s">
        <v>554</v>
      </c>
      <c r="L373" s="3" t="s">
        <v>546</v>
      </c>
      <c r="M373" s="3" t="s">
        <v>547</v>
      </c>
      <c r="N373" s="56" t="s">
        <v>546</v>
      </c>
      <c r="P373" s="106" t="s">
        <v>547</v>
      </c>
    </row>
    <row r="374" spans="1:16">
      <c r="A374" s="310"/>
      <c r="B374" s="310"/>
      <c r="C374" t="s">
        <v>867</v>
      </c>
      <c r="D374" t="s">
        <v>569</v>
      </c>
      <c r="E374" s="97" t="s">
        <v>554</v>
      </c>
      <c r="F374" s="3" t="s">
        <v>554</v>
      </c>
      <c r="H374" s="3" t="s">
        <v>547</v>
      </c>
      <c r="J374" s="97" t="s">
        <v>554</v>
      </c>
      <c r="K374" s="3" t="s">
        <v>554</v>
      </c>
      <c r="L374" s="3"/>
      <c r="M374" s="3" t="s">
        <v>547</v>
      </c>
      <c r="N374" s="56"/>
    </row>
    <row r="375" spans="1:16">
      <c r="A375" s="310"/>
      <c r="B375" s="310"/>
      <c r="C375" s="1" t="s">
        <v>1496</v>
      </c>
      <c r="D375" t="s">
        <v>639</v>
      </c>
      <c r="E375" s="97" t="s">
        <v>1351</v>
      </c>
      <c r="F375" s="3" t="s">
        <v>552</v>
      </c>
      <c r="H375" s="3" t="s">
        <v>547</v>
      </c>
      <c r="J375" s="97" t="s">
        <v>1351</v>
      </c>
      <c r="K375" s="3" t="s">
        <v>552</v>
      </c>
      <c r="L375" s="3"/>
      <c r="M375" s="3" t="s">
        <v>547</v>
      </c>
    </row>
    <row r="376" spans="1:16">
      <c r="A376" s="310"/>
      <c r="B376" s="310"/>
      <c r="C376" s="1" t="s">
        <v>1497</v>
      </c>
      <c r="D376" t="s">
        <v>543</v>
      </c>
      <c r="E376" s="97" t="s">
        <v>1498</v>
      </c>
      <c r="F376" s="3" t="s">
        <v>552</v>
      </c>
      <c r="G376" s="3" t="s">
        <v>546</v>
      </c>
      <c r="H376" s="3" t="s">
        <v>547</v>
      </c>
      <c r="I376" s="56" t="s">
        <v>546</v>
      </c>
      <c r="J376" s="97" t="s">
        <v>1498</v>
      </c>
      <c r="K376" s="3" t="s">
        <v>552</v>
      </c>
      <c r="L376" s="3" t="s">
        <v>546</v>
      </c>
      <c r="M376" s="3" t="s">
        <v>547</v>
      </c>
      <c r="N376" s="56" t="s">
        <v>546</v>
      </c>
      <c r="P376" s="106" t="s">
        <v>547</v>
      </c>
    </row>
    <row r="377" spans="1:16">
      <c r="A377" s="310"/>
      <c r="B377" s="310"/>
      <c r="C377" t="s">
        <v>1499</v>
      </c>
      <c r="D377" t="s">
        <v>569</v>
      </c>
      <c r="E377" s="97" t="s">
        <v>1498</v>
      </c>
      <c r="F377" s="3" t="s">
        <v>552</v>
      </c>
      <c r="H377" s="3" t="s">
        <v>547</v>
      </c>
      <c r="J377" s="97" t="s">
        <v>1498</v>
      </c>
      <c r="K377" s="3" t="s">
        <v>552</v>
      </c>
      <c r="L377" s="3"/>
      <c r="M377" s="3" t="s">
        <v>547</v>
      </c>
      <c r="N377" s="56"/>
    </row>
    <row r="378" spans="1:16">
      <c r="A378" s="310"/>
      <c r="B378" s="310"/>
      <c r="C378" t="s">
        <v>1500</v>
      </c>
      <c r="D378" t="s">
        <v>543</v>
      </c>
      <c r="E378" s="97" t="s">
        <v>1501</v>
      </c>
      <c r="F378" s="3" t="s">
        <v>620</v>
      </c>
      <c r="G378" s="3" t="s">
        <v>546</v>
      </c>
      <c r="H378" s="3" t="s">
        <v>547</v>
      </c>
      <c r="I378" s="56" t="s">
        <v>546</v>
      </c>
      <c r="J378" s="97" t="s">
        <v>1501</v>
      </c>
      <c r="K378" s="3" t="s">
        <v>620</v>
      </c>
      <c r="L378" s="3" t="s">
        <v>546</v>
      </c>
      <c r="M378" s="3" t="s">
        <v>547</v>
      </c>
      <c r="N378" s="56" t="s">
        <v>546</v>
      </c>
      <c r="P378" s="106" t="s">
        <v>547</v>
      </c>
    </row>
    <row r="379" spans="1:16">
      <c r="A379" s="310"/>
      <c r="B379" s="310"/>
      <c r="C379" t="s">
        <v>1502</v>
      </c>
      <c r="D379" t="s">
        <v>569</v>
      </c>
      <c r="E379" s="97" t="s">
        <v>1501</v>
      </c>
      <c r="F379" s="3" t="s">
        <v>620</v>
      </c>
      <c r="H379" s="3" t="s">
        <v>547</v>
      </c>
      <c r="J379" s="97" t="s">
        <v>1501</v>
      </c>
      <c r="K379" s="3" t="s">
        <v>620</v>
      </c>
      <c r="L379" s="3"/>
      <c r="M379" s="3" t="s">
        <v>547</v>
      </c>
      <c r="N379" s="56"/>
    </row>
    <row r="380" spans="1:16">
      <c r="A380" s="310"/>
      <c r="B380" s="310"/>
      <c r="C380" t="s">
        <v>1503</v>
      </c>
      <c r="D380" t="s">
        <v>543</v>
      </c>
      <c r="E380" s="97" t="s">
        <v>1504</v>
      </c>
      <c r="F380" s="3" t="s">
        <v>554</v>
      </c>
      <c r="G380" s="3" t="s">
        <v>546</v>
      </c>
      <c r="H380" s="3" t="s">
        <v>547</v>
      </c>
      <c r="I380" s="56" t="s">
        <v>546</v>
      </c>
      <c r="J380" s="97" t="s">
        <v>1504</v>
      </c>
      <c r="K380" s="3" t="s">
        <v>554</v>
      </c>
      <c r="L380" s="3" t="s">
        <v>546</v>
      </c>
      <c r="M380" s="3" t="s">
        <v>547</v>
      </c>
      <c r="N380" s="56" t="s">
        <v>546</v>
      </c>
      <c r="P380" s="106" t="s">
        <v>547</v>
      </c>
    </row>
    <row r="381" spans="1:16">
      <c r="A381" s="310"/>
      <c r="B381" s="310"/>
      <c r="C381" t="s">
        <v>1505</v>
      </c>
      <c r="D381" t="s">
        <v>569</v>
      </c>
      <c r="E381" s="97" t="s">
        <v>1504</v>
      </c>
      <c r="F381" s="3" t="s">
        <v>554</v>
      </c>
      <c r="H381" s="3" t="s">
        <v>547</v>
      </c>
      <c r="J381" s="97" t="s">
        <v>1504</v>
      </c>
      <c r="K381" s="3" t="s">
        <v>554</v>
      </c>
      <c r="L381" s="3"/>
      <c r="M381" s="3" t="s">
        <v>547</v>
      </c>
      <c r="N381" s="56"/>
    </row>
    <row r="382" spans="1:16">
      <c r="A382" s="310"/>
      <c r="B382" s="310"/>
      <c r="C382" t="s">
        <v>1506</v>
      </c>
      <c r="D382" t="s">
        <v>543</v>
      </c>
      <c r="E382" s="97" t="s">
        <v>1507</v>
      </c>
      <c r="F382" s="3" t="s">
        <v>611</v>
      </c>
      <c r="G382" s="3" t="s">
        <v>546</v>
      </c>
      <c r="H382" s="3" t="s">
        <v>547</v>
      </c>
      <c r="I382" s="56" t="s">
        <v>546</v>
      </c>
      <c r="J382" s="97" t="s">
        <v>1507</v>
      </c>
      <c r="K382" s="3" t="s">
        <v>611</v>
      </c>
      <c r="L382" s="3" t="s">
        <v>546</v>
      </c>
      <c r="M382" s="3" t="s">
        <v>547</v>
      </c>
      <c r="N382" s="56" t="s">
        <v>546</v>
      </c>
      <c r="P382" s="106" t="s">
        <v>547</v>
      </c>
    </row>
    <row r="383" spans="1:16">
      <c r="A383" s="307"/>
      <c r="B383" s="307"/>
      <c r="C383" s="54" t="s">
        <v>1508</v>
      </c>
      <c r="D383" s="54" t="s">
        <v>569</v>
      </c>
      <c r="E383" s="109" t="s">
        <v>1507</v>
      </c>
      <c r="F383" s="91" t="s">
        <v>611</v>
      </c>
      <c r="G383" s="91"/>
      <c r="H383" s="91" t="s">
        <v>547</v>
      </c>
      <c r="I383" s="57"/>
      <c r="J383" s="109" t="s">
        <v>1507</v>
      </c>
      <c r="K383" s="91" t="s">
        <v>611</v>
      </c>
      <c r="L383" s="91"/>
      <c r="M383" s="91" t="s">
        <v>547</v>
      </c>
      <c r="N383" s="46"/>
      <c r="O383" s="54"/>
      <c r="P383" s="40"/>
    </row>
    <row r="385" spans="2:9">
      <c r="B385" t="s">
        <v>2156</v>
      </c>
      <c r="C385" t="s">
        <v>693</v>
      </c>
    </row>
    <row r="386" spans="2:9">
      <c r="C386" t="s">
        <v>695</v>
      </c>
    </row>
    <row r="388" spans="2:9">
      <c r="C388" t="s">
        <v>726</v>
      </c>
    </row>
    <row r="389" spans="2:9">
      <c r="C389" t="s">
        <v>728</v>
      </c>
    </row>
    <row r="391" spans="2:9">
      <c r="B391" s="278" t="s">
        <v>2157</v>
      </c>
      <c r="C391" s="53" t="s">
        <v>2158</v>
      </c>
      <c r="D391" s="53" t="s">
        <v>639</v>
      </c>
      <c r="E391" s="108" t="s">
        <v>2159</v>
      </c>
      <c r="F391" s="88">
        <v>0.65</v>
      </c>
      <c r="G391" s="88"/>
      <c r="H391" s="88">
        <v>0</v>
      </c>
      <c r="I391" s="55"/>
    </row>
    <row r="392" spans="2:9">
      <c r="B392" s="279"/>
      <c r="C392" t="s">
        <v>843</v>
      </c>
      <c r="D392" t="s">
        <v>543</v>
      </c>
      <c r="E392" s="97" t="s">
        <v>2160</v>
      </c>
      <c r="F392" s="3">
        <v>0.05</v>
      </c>
    </row>
    <row r="393" spans="2:9">
      <c r="B393" s="279"/>
      <c r="C393" t="s">
        <v>2161</v>
      </c>
      <c r="D393" t="s">
        <v>569</v>
      </c>
      <c r="E393" s="97" t="s">
        <v>2160</v>
      </c>
      <c r="F393" s="3">
        <v>0.05</v>
      </c>
    </row>
    <row r="394" spans="2:9">
      <c r="B394" s="279"/>
      <c r="C394" t="s">
        <v>2161</v>
      </c>
      <c r="D394" t="s">
        <v>1522</v>
      </c>
    </row>
    <row r="395" spans="2:9">
      <c r="B395" s="279"/>
      <c r="C395" t="s">
        <v>846</v>
      </c>
      <c r="D395" t="s">
        <v>543</v>
      </c>
      <c r="E395" s="97" t="s">
        <v>2162</v>
      </c>
      <c r="F395" s="3">
        <v>0.65</v>
      </c>
      <c r="H395" s="3">
        <v>0</v>
      </c>
    </row>
    <row r="396" spans="2:9">
      <c r="B396" s="279"/>
      <c r="C396" t="s">
        <v>2163</v>
      </c>
      <c r="D396" t="s">
        <v>569</v>
      </c>
      <c r="E396" s="97" t="s">
        <v>2162</v>
      </c>
      <c r="F396" s="3">
        <v>0.65</v>
      </c>
      <c r="H396" s="3">
        <v>0</v>
      </c>
    </row>
    <row r="397" spans="2:9">
      <c r="B397" s="279"/>
      <c r="C397" t="s">
        <v>2164</v>
      </c>
      <c r="D397" t="s">
        <v>543</v>
      </c>
      <c r="E397" s="97" t="s">
        <v>2160</v>
      </c>
      <c r="F397" s="3">
        <v>0.4</v>
      </c>
    </row>
    <row r="398" spans="2:9">
      <c r="B398" s="279"/>
      <c r="C398" t="s">
        <v>2165</v>
      </c>
      <c r="D398" t="s">
        <v>569</v>
      </c>
      <c r="E398" s="97" t="s">
        <v>2160</v>
      </c>
      <c r="F398" s="3">
        <v>0.4</v>
      </c>
    </row>
    <row r="399" spans="2:9">
      <c r="B399" s="279"/>
      <c r="C399" t="s">
        <v>853</v>
      </c>
      <c r="D399" t="s">
        <v>543</v>
      </c>
      <c r="E399" s="97" t="s">
        <v>2160</v>
      </c>
      <c r="F399" s="3">
        <v>0.65</v>
      </c>
    </row>
    <row r="400" spans="2:9">
      <c r="B400" s="280"/>
      <c r="C400" s="54" t="s">
        <v>2166</v>
      </c>
      <c r="D400" s="54" t="s">
        <v>569</v>
      </c>
      <c r="E400" s="109" t="s">
        <v>2160</v>
      </c>
      <c r="F400" s="91">
        <v>0.65</v>
      </c>
      <c r="G400" s="91"/>
      <c r="H400" s="91"/>
      <c r="I400" s="57"/>
    </row>
  </sheetData>
  <autoFilter ref="A2:P2" xr:uid="{C01916E5-FA88-4034-AFBB-231740519248}"/>
  <mergeCells count="5">
    <mergeCell ref="B357:B383"/>
    <mergeCell ref="A357:A383"/>
    <mergeCell ref="E1:I1"/>
    <mergeCell ref="J1:N1"/>
    <mergeCell ref="B391:B40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D744-F551-4E5F-984E-0653492AB623}">
  <dimension ref="A1:C232"/>
  <sheetViews>
    <sheetView workbookViewId="0">
      <pane ySplit="1" topLeftCell="A17" activePane="bottomLeft" state="frozen"/>
      <selection pane="bottomLeft" activeCell="D2" sqref="D2"/>
    </sheetView>
  </sheetViews>
  <sheetFormatPr defaultRowHeight="14.25"/>
  <cols>
    <col min="1" max="1" width="26.42578125" bestFit="1" customWidth="1"/>
    <col min="2" max="2" width="8.85546875" style="3"/>
    <col min="3" max="3" width="10.42578125" style="3" bestFit="1" customWidth="1"/>
  </cols>
  <sheetData>
    <row r="1" spans="1:3">
      <c r="A1" s="4" t="s">
        <v>2167</v>
      </c>
      <c r="B1" s="116" t="s">
        <v>2168</v>
      </c>
      <c r="C1" s="116" t="s">
        <v>2169</v>
      </c>
    </row>
    <row r="2" spans="1:3">
      <c r="A2" t="s">
        <v>557</v>
      </c>
      <c r="B2" s="3" t="s">
        <v>524</v>
      </c>
      <c r="C2" s="3" t="s">
        <v>524</v>
      </c>
    </row>
    <row r="4" spans="1:3">
      <c r="A4" t="s">
        <v>560</v>
      </c>
      <c r="B4" s="3" t="s">
        <v>524</v>
      </c>
      <c r="C4" s="3" t="s">
        <v>524</v>
      </c>
    </row>
    <row r="5" spans="1:3">
      <c r="A5" t="s">
        <v>562</v>
      </c>
      <c r="B5" s="3" t="s">
        <v>524</v>
      </c>
      <c r="C5" s="3" t="s">
        <v>524</v>
      </c>
    </row>
    <row r="6" spans="1:3">
      <c r="A6" t="s">
        <v>563</v>
      </c>
      <c r="B6" s="3" t="s">
        <v>524</v>
      </c>
      <c r="C6" s="3" t="s">
        <v>524</v>
      </c>
    </row>
    <row r="7" spans="1:3">
      <c r="A7" t="s">
        <v>564</v>
      </c>
      <c r="B7" s="3" t="s">
        <v>524</v>
      </c>
      <c r="C7" s="3" t="s">
        <v>524</v>
      </c>
    </row>
    <row r="8" spans="1:3">
      <c r="A8" t="s">
        <v>565</v>
      </c>
      <c r="B8" s="3" t="s">
        <v>524</v>
      </c>
      <c r="C8" s="3" t="s">
        <v>524</v>
      </c>
    </row>
    <row r="9" spans="1:3">
      <c r="A9" t="s">
        <v>566</v>
      </c>
      <c r="B9" s="3" t="s">
        <v>524</v>
      </c>
      <c r="C9" s="3" t="s">
        <v>524</v>
      </c>
    </row>
    <row r="11" spans="1:3">
      <c r="A11" t="s">
        <v>568</v>
      </c>
      <c r="B11" s="3" t="s">
        <v>524</v>
      </c>
      <c r="C11" s="3" t="s">
        <v>524</v>
      </c>
    </row>
    <row r="12" spans="1:3">
      <c r="A12" t="s">
        <v>572</v>
      </c>
      <c r="B12" s="3" t="s">
        <v>524</v>
      </c>
      <c r="C12" s="3" t="s">
        <v>524</v>
      </c>
    </row>
    <row r="13" spans="1:3">
      <c r="A13" t="s">
        <v>574</v>
      </c>
      <c r="B13" s="3" t="s">
        <v>524</v>
      </c>
      <c r="C13" s="3" t="s">
        <v>524</v>
      </c>
    </row>
    <row r="14" spans="1:3">
      <c r="A14" t="s">
        <v>577</v>
      </c>
      <c r="B14" s="3" t="s">
        <v>524</v>
      </c>
      <c r="C14" s="3" t="s">
        <v>524</v>
      </c>
    </row>
    <row r="15" spans="1:3">
      <c r="A15" t="s">
        <v>579</v>
      </c>
      <c r="B15" s="3" t="s">
        <v>524</v>
      </c>
      <c r="C15" s="3" t="s">
        <v>524</v>
      </c>
    </row>
    <row r="16" spans="1:3">
      <c r="A16" t="s">
        <v>581</v>
      </c>
      <c r="B16" s="3" t="s">
        <v>524</v>
      </c>
      <c r="C16" s="3" t="s">
        <v>524</v>
      </c>
    </row>
    <row r="17" spans="1:3">
      <c r="A17" t="s">
        <v>584</v>
      </c>
      <c r="B17" s="3" t="s">
        <v>524</v>
      </c>
      <c r="C17" s="3" t="s">
        <v>524</v>
      </c>
    </row>
    <row r="18" spans="1:3">
      <c r="A18" t="s">
        <v>586</v>
      </c>
      <c r="B18" s="3" t="s">
        <v>524</v>
      </c>
      <c r="C18" s="3" t="s">
        <v>524</v>
      </c>
    </row>
    <row r="19" spans="1:3">
      <c r="A19" t="s">
        <v>587</v>
      </c>
      <c r="B19" s="3" t="s">
        <v>524</v>
      </c>
      <c r="C19" s="3" t="s">
        <v>524</v>
      </c>
    </row>
    <row r="20" spans="1:3">
      <c r="A20" t="s">
        <v>588</v>
      </c>
      <c r="B20" s="3" t="s">
        <v>524</v>
      </c>
      <c r="C20" s="3" t="s">
        <v>524</v>
      </c>
    </row>
    <row r="22" spans="1:3">
      <c r="A22" t="s">
        <v>1287</v>
      </c>
      <c r="B22" s="3" t="s">
        <v>524</v>
      </c>
      <c r="C22" s="3" t="s">
        <v>524</v>
      </c>
    </row>
    <row r="23" spans="1:3">
      <c r="A23" t="s">
        <v>590</v>
      </c>
      <c r="B23" s="3" t="s">
        <v>524</v>
      </c>
      <c r="C23" s="3" t="s">
        <v>524</v>
      </c>
    </row>
    <row r="24" spans="1:3">
      <c r="A24" t="s">
        <v>591</v>
      </c>
      <c r="B24" s="3" t="s">
        <v>524</v>
      </c>
      <c r="C24" s="3" t="s">
        <v>524</v>
      </c>
    </row>
    <row r="25" spans="1:3">
      <c r="A25" t="s">
        <v>592</v>
      </c>
      <c r="B25" s="3" t="s">
        <v>524</v>
      </c>
      <c r="C25" s="3" t="s">
        <v>524</v>
      </c>
    </row>
    <row r="27" spans="1:3">
      <c r="A27" t="s">
        <v>593</v>
      </c>
      <c r="B27" s="3" t="s">
        <v>524</v>
      </c>
      <c r="C27" s="3" t="s">
        <v>524</v>
      </c>
    </row>
    <row r="28" spans="1:3">
      <c r="A28" t="s">
        <v>594</v>
      </c>
      <c r="B28" s="3" t="s">
        <v>524</v>
      </c>
      <c r="C28" s="3" t="s">
        <v>524</v>
      </c>
    </row>
    <row r="29" spans="1:3">
      <c r="A29" t="s">
        <v>595</v>
      </c>
      <c r="B29" s="3" t="s">
        <v>524</v>
      </c>
      <c r="C29" s="3" t="s">
        <v>524</v>
      </c>
    </row>
    <row r="30" spans="1:3">
      <c r="A30" t="s">
        <v>596</v>
      </c>
      <c r="B30" s="3" t="s">
        <v>524</v>
      </c>
      <c r="C30" s="3" t="s">
        <v>524</v>
      </c>
    </row>
    <row r="31" spans="1:3">
      <c r="A31" t="s">
        <v>598</v>
      </c>
      <c r="B31" s="3" t="s">
        <v>524</v>
      </c>
      <c r="C31" s="3" t="s">
        <v>524</v>
      </c>
    </row>
    <row r="32" spans="1:3">
      <c r="A32" t="s">
        <v>600</v>
      </c>
      <c r="B32" s="3" t="s">
        <v>524</v>
      </c>
      <c r="C32" s="3" t="s">
        <v>524</v>
      </c>
    </row>
    <row r="33" spans="1:3">
      <c r="A33" t="s">
        <v>602</v>
      </c>
      <c r="B33" s="3" t="s">
        <v>524</v>
      </c>
      <c r="C33" s="3" t="s">
        <v>524</v>
      </c>
    </row>
    <row r="34" spans="1:3">
      <c r="A34" t="s">
        <v>605</v>
      </c>
      <c r="B34" s="3" t="s">
        <v>524</v>
      </c>
      <c r="C34" s="3" t="s">
        <v>524</v>
      </c>
    </row>
    <row r="35" spans="1:3">
      <c r="A35" t="s">
        <v>606</v>
      </c>
      <c r="B35" s="3" t="s">
        <v>524</v>
      </c>
      <c r="C35" s="3" t="s">
        <v>524</v>
      </c>
    </row>
    <row r="36" spans="1:3">
      <c r="A36" t="s">
        <v>608</v>
      </c>
      <c r="B36" s="3" t="s">
        <v>524</v>
      </c>
      <c r="C36" s="3" t="s">
        <v>524</v>
      </c>
    </row>
    <row r="37" spans="1:3">
      <c r="A37" t="s">
        <v>610</v>
      </c>
      <c r="B37" s="3" t="s">
        <v>524</v>
      </c>
      <c r="C37" s="3" t="s">
        <v>524</v>
      </c>
    </row>
    <row r="38" spans="1:3">
      <c r="A38" t="s">
        <v>613</v>
      </c>
      <c r="B38" s="3" t="s">
        <v>524</v>
      </c>
      <c r="C38" s="3" t="s">
        <v>524</v>
      </c>
    </row>
    <row r="39" spans="1:3">
      <c r="A39" t="s">
        <v>614</v>
      </c>
      <c r="B39" s="3" t="s">
        <v>524</v>
      </c>
      <c r="C39" s="3" t="s">
        <v>524</v>
      </c>
    </row>
    <row r="40" spans="1:3">
      <c r="A40" t="s">
        <v>615</v>
      </c>
      <c r="B40" s="3" t="s">
        <v>524</v>
      </c>
      <c r="C40" s="3" t="s">
        <v>524</v>
      </c>
    </row>
    <row r="41" spans="1:3">
      <c r="A41" t="s">
        <v>616</v>
      </c>
      <c r="B41" s="3" t="s">
        <v>524</v>
      </c>
      <c r="C41" s="3" t="s">
        <v>524</v>
      </c>
    </row>
    <row r="42" spans="1:3">
      <c r="A42" t="s">
        <v>619</v>
      </c>
      <c r="B42" s="3" t="s">
        <v>524</v>
      </c>
      <c r="C42" s="3" t="s">
        <v>524</v>
      </c>
    </row>
    <row r="43" spans="1:3">
      <c r="A43" t="s">
        <v>621</v>
      </c>
      <c r="B43" s="3" t="s">
        <v>524</v>
      </c>
      <c r="C43" s="3" t="s">
        <v>524</v>
      </c>
    </row>
    <row r="44" spans="1:3">
      <c r="A44" t="s">
        <v>623</v>
      </c>
      <c r="B44" s="3" t="s">
        <v>524</v>
      </c>
      <c r="C44" s="3" t="s">
        <v>524</v>
      </c>
    </row>
    <row r="45" spans="1:3">
      <c r="A45" t="s">
        <v>625</v>
      </c>
      <c r="B45" s="3" t="s">
        <v>524</v>
      </c>
      <c r="C45" s="3" t="s">
        <v>524</v>
      </c>
    </row>
    <row r="46" spans="1:3">
      <c r="A46" t="s">
        <v>627</v>
      </c>
      <c r="B46" s="3" t="s">
        <v>524</v>
      </c>
      <c r="C46" s="3" t="s">
        <v>524</v>
      </c>
    </row>
    <row r="47" spans="1:3">
      <c r="A47" t="s">
        <v>628</v>
      </c>
      <c r="B47" s="3" t="s">
        <v>524</v>
      </c>
      <c r="C47" s="3" t="s">
        <v>524</v>
      </c>
    </row>
    <row r="48" spans="1:3">
      <c r="A48" t="s">
        <v>629</v>
      </c>
      <c r="B48" s="3" t="s">
        <v>524</v>
      </c>
      <c r="C48" s="3" t="s">
        <v>524</v>
      </c>
    </row>
    <row r="49" spans="1:3">
      <c r="A49" t="s">
        <v>630</v>
      </c>
      <c r="B49" s="3" t="s">
        <v>524</v>
      </c>
      <c r="C49" s="3" t="s">
        <v>524</v>
      </c>
    </row>
    <row r="50" spans="1:3">
      <c r="A50" t="s">
        <v>631</v>
      </c>
      <c r="B50" s="3" t="s">
        <v>524</v>
      </c>
      <c r="C50" s="3" t="s">
        <v>524</v>
      </c>
    </row>
    <row r="51" spans="1:3">
      <c r="A51" t="s">
        <v>633</v>
      </c>
      <c r="B51" s="3" t="s">
        <v>524</v>
      </c>
      <c r="C51" s="3" t="s">
        <v>524</v>
      </c>
    </row>
    <row r="52" spans="1:3">
      <c r="A52" t="s">
        <v>634</v>
      </c>
      <c r="B52" s="3" t="s">
        <v>524</v>
      </c>
      <c r="C52" s="3" t="s">
        <v>524</v>
      </c>
    </row>
    <row r="53" spans="1:3">
      <c r="A53" t="s">
        <v>635</v>
      </c>
      <c r="B53" s="3" t="s">
        <v>524</v>
      </c>
      <c r="C53" s="3" t="s">
        <v>524</v>
      </c>
    </row>
    <row r="54" spans="1:3">
      <c r="A54" t="s">
        <v>637</v>
      </c>
      <c r="B54" s="3" t="s">
        <v>524</v>
      </c>
      <c r="C54" s="3" t="s">
        <v>524</v>
      </c>
    </row>
    <row r="55" spans="1:3">
      <c r="A55" t="s">
        <v>638</v>
      </c>
      <c r="B55" s="3" t="s">
        <v>524</v>
      </c>
      <c r="C55" s="3" t="s">
        <v>524</v>
      </c>
    </row>
    <row r="56" spans="1:3">
      <c r="A56" t="s">
        <v>641</v>
      </c>
      <c r="B56" s="3" t="s">
        <v>524</v>
      </c>
      <c r="C56" s="3" t="s">
        <v>524</v>
      </c>
    </row>
    <row r="57" spans="1:3">
      <c r="A57" t="s">
        <v>642</v>
      </c>
      <c r="B57" s="3" t="s">
        <v>524</v>
      </c>
      <c r="C57" s="3" t="s">
        <v>524</v>
      </c>
    </row>
    <row r="58" spans="1:3">
      <c r="A58" t="s">
        <v>643</v>
      </c>
      <c r="B58" s="3" t="s">
        <v>524</v>
      </c>
      <c r="C58" s="3" t="s">
        <v>524</v>
      </c>
    </row>
    <row r="59" spans="1:3">
      <c r="A59" t="s">
        <v>1298</v>
      </c>
      <c r="B59" s="3" t="s">
        <v>524</v>
      </c>
      <c r="C59" s="3" t="s">
        <v>524</v>
      </c>
    </row>
    <row r="60" spans="1:3">
      <c r="A60" t="s">
        <v>644</v>
      </c>
      <c r="B60" s="3" t="s">
        <v>524</v>
      </c>
      <c r="C60" s="3" t="s">
        <v>524</v>
      </c>
    </row>
    <row r="61" spans="1:3">
      <c r="A61" t="s">
        <v>646</v>
      </c>
      <c r="B61" s="3" t="s">
        <v>524</v>
      </c>
      <c r="C61" s="3" t="s">
        <v>524</v>
      </c>
    </row>
    <row r="62" spans="1:3">
      <c r="A62" t="s">
        <v>648</v>
      </c>
      <c r="B62" s="3" t="s">
        <v>524</v>
      </c>
      <c r="C62" s="3" t="s">
        <v>524</v>
      </c>
    </row>
    <row r="63" spans="1:3">
      <c r="A63" t="s">
        <v>650</v>
      </c>
      <c r="B63" s="3" t="s">
        <v>524</v>
      </c>
      <c r="C63" s="3" t="s">
        <v>524</v>
      </c>
    </row>
    <row r="64" spans="1:3">
      <c r="A64" t="s">
        <v>653</v>
      </c>
      <c r="B64" s="3" t="s">
        <v>524</v>
      </c>
      <c r="C64" s="3" t="s">
        <v>524</v>
      </c>
    </row>
    <row r="65" spans="1:3">
      <c r="A65" t="s">
        <v>654</v>
      </c>
      <c r="B65" s="3" t="s">
        <v>524</v>
      </c>
      <c r="C65" s="3" t="s">
        <v>524</v>
      </c>
    </row>
    <row r="66" spans="1:3">
      <c r="A66" t="s">
        <v>655</v>
      </c>
      <c r="B66" s="3" t="s">
        <v>524</v>
      </c>
      <c r="C66" s="3" t="s">
        <v>524</v>
      </c>
    </row>
    <row r="67" spans="1:3">
      <c r="A67" t="s">
        <v>1300</v>
      </c>
      <c r="B67" s="3" t="s">
        <v>524</v>
      </c>
      <c r="C67" s="3" t="s">
        <v>524</v>
      </c>
    </row>
    <row r="68" spans="1:3">
      <c r="A68" t="s">
        <v>656</v>
      </c>
      <c r="B68" s="3" t="s">
        <v>524</v>
      </c>
      <c r="C68" s="3" t="s">
        <v>524</v>
      </c>
    </row>
    <row r="69" spans="1:3">
      <c r="A69" t="s">
        <v>658</v>
      </c>
      <c r="B69" s="3" t="s">
        <v>524</v>
      </c>
      <c r="C69" s="3" t="s">
        <v>524</v>
      </c>
    </row>
    <row r="70" spans="1:3">
      <c r="A70" t="s">
        <v>660</v>
      </c>
      <c r="B70" s="3" t="s">
        <v>524</v>
      </c>
      <c r="C70" s="3" t="s">
        <v>524</v>
      </c>
    </row>
    <row r="71" spans="1:3">
      <c r="A71" t="s">
        <v>662</v>
      </c>
      <c r="B71" s="3" t="s">
        <v>524</v>
      </c>
      <c r="C71" s="3" t="s">
        <v>524</v>
      </c>
    </row>
    <row r="72" spans="1:3">
      <c r="A72" t="s">
        <v>664</v>
      </c>
      <c r="B72" s="3" t="s">
        <v>524</v>
      </c>
      <c r="C72" s="3" t="s">
        <v>524</v>
      </c>
    </row>
    <row r="73" spans="1:3">
      <c r="A73" t="s">
        <v>665</v>
      </c>
      <c r="B73" s="3" t="s">
        <v>524</v>
      </c>
      <c r="C73" s="3" t="s">
        <v>524</v>
      </c>
    </row>
    <row r="74" spans="1:3">
      <c r="A74" t="s">
        <v>666</v>
      </c>
      <c r="B74" s="3" t="s">
        <v>524</v>
      </c>
      <c r="C74" s="3" t="s">
        <v>524</v>
      </c>
    </row>
    <row r="75" spans="1:3">
      <c r="A75" t="s">
        <v>667</v>
      </c>
      <c r="B75" s="3" t="s">
        <v>524</v>
      </c>
      <c r="C75" s="3" t="s">
        <v>524</v>
      </c>
    </row>
    <row r="76" spans="1:3">
      <c r="A76" t="s">
        <v>668</v>
      </c>
      <c r="B76" s="3" t="s">
        <v>524</v>
      </c>
      <c r="C76" s="3" t="s">
        <v>524</v>
      </c>
    </row>
    <row r="77" spans="1:3">
      <c r="A77" t="s">
        <v>673</v>
      </c>
      <c r="B77" s="3" t="s">
        <v>524</v>
      </c>
      <c r="C77" s="3" t="s">
        <v>524</v>
      </c>
    </row>
    <row r="78" spans="1:3">
      <c r="A78" t="s">
        <v>675</v>
      </c>
      <c r="B78" s="3" t="s">
        <v>524</v>
      </c>
      <c r="C78" s="3" t="s">
        <v>524</v>
      </c>
    </row>
    <row r="79" spans="1:3">
      <c r="A79" t="s">
        <v>677</v>
      </c>
      <c r="B79" s="3" t="s">
        <v>524</v>
      </c>
      <c r="C79" s="3" t="s">
        <v>524</v>
      </c>
    </row>
    <row r="80" spans="1:3">
      <c r="A80" t="s">
        <v>681</v>
      </c>
      <c r="B80" s="3" t="s">
        <v>524</v>
      </c>
      <c r="C80" s="3" t="s">
        <v>524</v>
      </c>
    </row>
    <row r="81" spans="1:3">
      <c r="A81" t="s">
        <v>683</v>
      </c>
      <c r="B81" s="3" t="s">
        <v>524</v>
      </c>
      <c r="C81" s="3" t="s">
        <v>524</v>
      </c>
    </row>
    <row r="82" spans="1:3">
      <c r="A82" t="s">
        <v>685</v>
      </c>
      <c r="B82" s="3" t="s">
        <v>524</v>
      </c>
      <c r="C82" s="3" t="s">
        <v>524</v>
      </c>
    </row>
    <row r="83" spans="1:3">
      <c r="A83" t="s">
        <v>691</v>
      </c>
      <c r="B83" s="3" t="s">
        <v>524</v>
      </c>
      <c r="C83" s="3" t="s">
        <v>524</v>
      </c>
    </row>
    <row r="84" spans="1:3">
      <c r="A84" t="s">
        <v>693</v>
      </c>
      <c r="B84" s="3" t="s">
        <v>524</v>
      </c>
      <c r="C84" s="3" t="s">
        <v>524</v>
      </c>
    </row>
    <row r="85" spans="1:3">
      <c r="A85" t="s">
        <v>695</v>
      </c>
      <c r="B85" s="3" t="s">
        <v>524</v>
      </c>
      <c r="C85" s="3" t="s">
        <v>524</v>
      </c>
    </row>
    <row r="86" spans="1:3">
      <c r="A86" t="s">
        <v>697</v>
      </c>
      <c r="B86" s="3" t="s">
        <v>524</v>
      </c>
      <c r="C86" s="3" t="s">
        <v>524</v>
      </c>
    </row>
    <row r="87" spans="1:3">
      <c r="A87" t="s">
        <v>699</v>
      </c>
      <c r="B87" s="3" t="s">
        <v>524</v>
      </c>
      <c r="C87" s="3" t="s">
        <v>524</v>
      </c>
    </row>
    <row r="88" spans="1:3">
      <c r="A88" t="s">
        <v>701</v>
      </c>
      <c r="B88" s="3" t="s">
        <v>524</v>
      </c>
      <c r="C88" s="3" t="s">
        <v>524</v>
      </c>
    </row>
    <row r="89" spans="1:3">
      <c r="A89" t="s">
        <v>703</v>
      </c>
      <c r="B89" s="3" t="s">
        <v>524</v>
      </c>
      <c r="C89" s="3" t="s">
        <v>524</v>
      </c>
    </row>
    <row r="90" spans="1:3">
      <c r="A90" t="s">
        <v>705</v>
      </c>
      <c r="B90" s="3" t="s">
        <v>524</v>
      </c>
      <c r="C90" s="3" t="s">
        <v>524</v>
      </c>
    </row>
    <row r="91" spans="1:3">
      <c r="A91" t="s">
        <v>707</v>
      </c>
      <c r="B91" s="3" t="s">
        <v>524</v>
      </c>
      <c r="C91" s="3" t="s">
        <v>524</v>
      </c>
    </row>
    <row r="92" spans="1:3">
      <c r="A92" t="s">
        <v>713</v>
      </c>
      <c r="B92" s="3" t="s">
        <v>524</v>
      </c>
      <c r="C92" s="3" t="s">
        <v>524</v>
      </c>
    </row>
    <row r="93" spans="1:3">
      <c r="A93" t="s">
        <v>715</v>
      </c>
      <c r="B93" s="3" t="s">
        <v>524</v>
      </c>
      <c r="C93" s="3" t="s">
        <v>524</v>
      </c>
    </row>
    <row r="94" spans="1:3">
      <c r="A94" t="s">
        <v>717</v>
      </c>
      <c r="B94" s="3" t="s">
        <v>524</v>
      </c>
      <c r="C94" s="3" t="s">
        <v>524</v>
      </c>
    </row>
    <row r="95" spans="1:3">
      <c r="A95" t="s">
        <v>719</v>
      </c>
      <c r="B95" s="3" t="s">
        <v>524</v>
      </c>
      <c r="C95" s="3" t="s">
        <v>524</v>
      </c>
    </row>
    <row r="96" spans="1:3">
      <c r="A96" t="s">
        <v>724</v>
      </c>
      <c r="B96" s="3" t="s">
        <v>524</v>
      </c>
      <c r="C96" s="3" t="s">
        <v>524</v>
      </c>
    </row>
    <row r="97" spans="1:3">
      <c r="A97" t="s">
        <v>726</v>
      </c>
      <c r="B97" s="3" t="s">
        <v>524</v>
      </c>
      <c r="C97" s="3" t="s">
        <v>524</v>
      </c>
    </row>
    <row r="98" spans="1:3">
      <c r="A98" t="s">
        <v>728</v>
      </c>
      <c r="B98" s="3" t="s">
        <v>524</v>
      </c>
      <c r="C98" s="3" t="s">
        <v>524</v>
      </c>
    </row>
    <row r="99" spans="1:3">
      <c r="A99" t="s">
        <v>731</v>
      </c>
      <c r="B99" s="3" t="s">
        <v>524</v>
      </c>
      <c r="C99" s="3" t="s">
        <v>524</v>
      </c>
    </row>
    <row r="100" spans="1:3">
      <c r="A100" t="s">
        <v>732</v>
      </c>
      <c r="B100" s="3" t="s">
        <v>524</v>
      </c>
      <c r="C100" s="3" t="s">
        <v>524</v>
      </c>
    </row>
    <row r="101" spans="1:3">
      <c r="A101" t="s">
        <v>733</v>
      </c>
      <c r="B101" s="3" t="s">
        <v>524</v>
      </c>
      <c r="C101" s="3" t="s">
        <v>524</v>
      </c>
    </row>
    <row r="103" spans="1:3">
      <c r="A103" t="s">
        <v>736</v>
      </c>
      <c r="B103" s="3" t="s">
        <v>524</v>
      </c>
      <c r="C103" s="3" t="s">
        <v>524</v>
      </c>
    </row>
    <row r="104" spans="1:3">
      <c r="A104" t="s">
        <v>738</v>
      </c>
      <c r="B104" s="3" t="s">
        <v>524</v>
      </c>
      <c r="C104" s="3" t="s">
        <v>524</v>
      </c>
    </row>
    <row r="105" spans="1:3">
      <c r="A105" t="s">
        <v>739</v>
      </c>
      <c r="B105" s="3" t="s">
        <v>524</v>
      </c>
      <c r="C105" s="3" t="s">
        <v>524</v>
      </c>
    </row>
    <row r="107" spans="1:3">
      <c r="A107" t="s">
        <v>751</v>
      </c>
      <c r="B107" s="3" t="s">
        <v>524</v>
      </c>
      <c r="C107" s="59"/>
    </row>
    <row r="108" spans="1:3">
      <c r="A108" t="s">
        <v>753</v>
      </c>
      <c r="B108" s="3" t="s">
        <v>524</v>
      </c>
      <c r="C108" s="59"/>
    </row>
    <row r="109" spans="1:3">
      <c r="A109" t="s">
        <v>755</v>
      </c>
      <c r="B109" s="3" t="s">
        <v>524</v>
      </c>
      <c r="C109" s="59"/>
    </row>
    <row r="110" spans="1:3">
      <c r="A110" t="s">
        <v>756</v>
      </c>
      <c r="B110" s="3" t="s">
        <v>524</v>
      </c>
      <c r="C110" s="59"/>
    </row>
    <row r="111" spans="1:3">
      <c r="A111" t="s">
        <v>758</v>
      </c>
      <c r="B111" s="3" t="s">
        <v>524</v>
      </c>
      <c r="C111" s="59"/>
    </row>
    <row r="112" spans="1:3">
      <c r="A112" t="s">
        <v>760</v>
      </c>
      <c r="B112" s="3" t="s">
        <v>524</v>
      </c>
      <c r="C112" s="59"/>
    </row>
    <row r="113" spans="1:3">
      <c r="A113" t="s">
        <v>761</v>
      </c>
      <c r="B113" s="3" t="s">
        <v>524</v>
      </c>
      <c r="C113" s="59"/>
    </row>
    <row r="114" spans="1:3">
      <c r="A114" t="s">
        <v>762</v>
      </c>
      <c r="B114" s="3" t="s">
        <v>524</v>
      </c>
      <c r="C114" s="59"/>
    </row>
    <row r="115" spans="1:3">
      <c r="A115" t="s">
        <v>763</v>
      </c>
      <c r="B115" s="3" t="s">
        <v>524</v>
      </c>
      <c r="C115" s="59"/>
    </row>
    <row r="116" spans="1:3">
      <c r="A116" t="s">
        <v>764</v>
      </c>
      <c r="B116" s="3" t="s">
        <v>524</v>
      </c>
      <c r="C116" s="59"/>
    </row>
    <row r="117" spans="1:3">
      <c r="A117" t="s">
        <v>765</v>
      </c>
      <c r="B117" s="3" t="s">
        <v>524</v>
      </c>
      <c r="C117" s="59"/>
    </row>
    <row r="118" spans="1:3">
      <c r="A118" t="s">
        <v>766</v>
      </c>
      <c r="B118" s="3" t="s">
        <v>524</v>
      </c>
      <c r="C118" s="59"/>
    </row>
    <row r="119" spans="1:3">
      <c r="A119" t="s">
        <v>767</v>
      </c>
      <c r="B119" s="3" t="s">
        <v>524</v>
      </c>
      <c r="C119" s="59"/>
    </row>
    <row r="120" spans="1:3">
      <c r="A120" t="s">
        <v>768</v>
      </c>
      <c r="B120" s="3" t="s">
        <v>524</v>
      </c>
      <c r="C120" s="59"/>
    </row>
    <row r="121" spans="1:3">
      <c r="A121" t="s">
        <v>769</v>
      </c>
      <c r="B121" s="3" t="s">
        <v>524</v>
      </c>
      <c r="C121" s="59"/>
    </row>
    <row r="122" spans="1:3">
      <c r="A122" t="s">
        <v>770</v>
      </c>
      <c r="B122" s="3" t="s">
        <v>524</v>
      </c>
      <c r="C122" s="59"/>
    </row>
    <row r="123" spans="1:3">
      <c r="A123" t="s">
        <v>771</v>
      </c>
      <c r="B123" s="3" t="s">
        <v>524</v>
      </c>
      <c r="C123" s="59"/>
    </row>
    <row r="124" spans="1:3">
      <c r="A124" t="s">
        <v>772</v>
      </c>
      <c r="B124" s="3" t="s">
        <v>524</v>
      </c>
      <c r="C124" s="59"/>
    </row>
    <row r="125" spans="1:3">
      <c r="A125" t="s">
        <v>773</v>
      </c>
      <c r="B125" s="3" t="s">
        <v>524</v>
      </c>
      <c r="C125" s="59"/>
    </row>
    <row r="126" spans="1:3">
      <c r="A126" t="s">
        <v>774</v>
      </c>
      <c r="B126" s="3" t="s">
        <v>524</v>
      </c>
      <c r="C126" s="59"/>
    </row>
    <row r="127" spans="1:3">
      <c r="A127" t="s">
        <v>775</v>
      </c>
      <c r="B127" s="3" t="s">
        <v>524</v>
      </c>
      <c r="C127" s="59"/>
    </row>
    <row r="128" spans="1:3">
      <c r="A128" t="s">
        <v>776</v>
      </c>
      <c r="B128" s="3" t="s">
        <v>524</v>
      </c>
      <c r="C128" s="59"/>
    </row>
    <row r="129" spans="1:3">
      <c r="A129" t="s">
        <v>777</v>
      </c>
      <c r="B129" s="3" t="s">
        <v>524</v>
      </c>
      <c r="C129" s="59"/>
    </row>
    <row r="130" spans="1:3">
      <c r="A130" t="s">
        <v>778</v>
      </c>
      <c r="B130" s="3" t="s">
        <v>524</v>
      </c>
      <c r="C130" s="59"/>
    </row>
    <row r="131" spans="1:3">
      <c r="A131" t="s">
        <v>779</v>
      </c>
      <c r="B131" s="3" t="s">
        <v>524</v>
      </c>
      <c r="C131" s="59"/>
    </row>
    <row r="132" spans="1:3">
      <c r="A132" t="s">
        <v>780</v>
      </c>
      <c r="B132" s="3" t="s">
        <v>524</v>
      </c>
      <c r="C132" s="59"/>
    </row>
    <row r="133" spans="1:3">
      <c r="A133" t="s">
        <v>781</v>
      </c>
      <c r="B133" s="3" t="s">
        <v>524</v>
      </c>
      <c r="C133" s="59"/>
    </row>
    <row r="134" spans="1:3">
      <c r="A134" t="s">
        <v>782</v>
      </c>
      <c r="B134" s="3" t="s">
        <v>524</v>
      </c>
      <c r="C134" s="59"/>
    </row>
    <row r="135" spans="1:3">
      <c r="A135" t="s">
        <v>783</v>
      </c>
      <c r="B135" s="3" t="s">
        <v>524</v>
      </c>
      <c r="C135" s="59"/>
    </row>
    <row r="136" spans="1:3">
      <c r="A136" t="s">
        <v>784</v>
      </c>
      <c r="B136" s="3" t="s">
        <v>524</v>
      </c>
      <c r="C136" s="59"/>
    </row>
    <row r="137" spans="1:3">
      <c r="A137" t="s">
        <v>785</v>
      </c>
      <c r="B137" s="3" t="s">
        <v>524</v>
      </c>
      <c r="C137" s="59"/>
    </row>
    <row r="138" spans="1:3">
      <c r="A138" t="s">
        <v>786</v>
      </c>
      <c r="B138" s="3" t="s">
        <v>524</v>
      </c>
      <c r="C138" s="59"/>
    </row>
    <row r="139" spans="1:3">
      <c r="A139" t="s">
        <v>787</v>
      </c>
      <c r="B139" s="3" t="s">
        <v>524</v>
      </c>
      <c r="C139" s="59"/>
    </row>
    <row r="140" spans="1:3">
      <c r="A140" t="s">
        <v>788</v>
      </c>
      <c r="B140" s="3" t="s">
        <v>524</v>
      </c>
      <c r="C140" s="59"/>
    </row>
    <row r="141" spans="1:3">
      <c r="A141" t="s">
        <v>789</v>
      </c>
      <c r="B141" s="3" t="s">
        <v>524</v>
      </c>
      <c r="C141" s="59"/>
    </row>
    <row r="142" spans="1:3">
      <c r="A142" t="s">
        <v>790</v>
      </c>
      <c r="B142" s="3" t="s">
        <v>524</v>
      </c>
      <c r="C142" s="59"/>
    </row>
    <row r="143" spans="1:3">
      <c r="A143" t="s">
        <v>791</v>
      </c>
      <c r="B143" s="3" t="s">
        <v>524</v>
      </c>
      <c r="C143" s="59"/>
    </row>
    <row r="144" spans="1:3">
      <c r="A144" t="s">
        <v>792</v>
      </c>
      <c r="B144" s="3" t="s">
        <v>524</v>
      </c>
      <c r="C144" s="59"/>
    </row>
    <row r="145" spans="1:3">
      <c r="A145" t="s">
        <v>793</v>
      </c>
      <c r="B145" s="3" t="s">
        <v>524</v>
      </c>
      <c r="C145" s="59"/>
    </row>
    <row r="146" spans="1:3">
      <c r="A146" t="s">
        <v>794</v>
      </c>
      <c r="B146" s="3" t="s">
        <v>524</v>
      </c>
      <c r="C146" s="59"/>
    </row>
    <row r="147" spans="1:3">
      <c r="A147" t="s">
        <v>795</v>
      </c>
      <c r="B147" s="3" t="s">
        <v>524</v>
      </c>
      <c r="C147" s="59"/>
    </row>
    <row r="148" spans="1:3">
      <c r="A148" t="s">
        <v>796</v>
      </c>
      <c r="B148" s="3" t="s">
        <v>524</v>
      </c>
      <c r="C148" s="59"/>
    </row>
    <row r="149" spans="1:3">
      <c r="A149" t="s">
        <v>797</v>
      </c>
      <c r="B149" s="3" t="s">
        <v>524</v>
      </c>
      <c r="C149" s="59"/>
    </row>
    <row r="150" spans="1:3">
      <c r="A150" t="s">
        <v>798</v>
      </c>
      <c r="B150" s="3" t="s">
        <v>524</v>
      </c>
      <c r="C150" s="59"/>
    </row>
    <row r="151" spans="1:3">
      <c r="A151" t="s">
        <v>799</v>
      </c>
      <c r="B151" s="3" t="s">
        <v>524</v>
      </c>
      <c r="C151" s="59"/>
    </row>
    <row r="152" spans="1:3">
      <c r="A152" t="s">
        <v>800</v>
      </c>
      <c r="B152" s="3" t="s">
        <v>524</v>
      </c>
      <c r="C152" s="59"/>
    </row>
    <row r="153" spans="1:3">
      <c r="A153" t="s">
        <v>801</v>
      </c>
      <c r="B153" s="3" t="s">
        <v>524</v>
      </c>
      <c r="C153" s="59"/>
    </row>
    <row r="154" spans="1:3">
      <c r="A154" t="s">
        <v>802</v>
      </c>
      <c r="B154" s="3" t="s">
        <v>524</v>
      </c>
      <c r="C154" s="59"/>
    </row>
    <row r="155" spans="1:3">
      <c r="A155" t="s">
        <v>803</v>
      </c>
      <c r="B155" s="3" t="s">
        <v>524</v>
      </c>
      <c r="C155" s="59"/>
    </row>
    <row r="156" spans="1:3">
      <c r="A156" t="s">
        <v>804</v>
      </c>
      <c r="B156" s="3" t="s">
        <v>524</v>
      </c>
      <c r="C156" s="59"/>
    </row>
    <row r="157" spans="1:3">
      <c r="A157" t="s">
        <v>805</v>
      </c>
      <c r="B157" s="3" t="s">
        <v>524</v>
      </c>
      <c r="C157" s="59"/>
    </row>
    <row r="158" spans="1:3">
      <c r="A158" t="s">
        <v>806</v>
      </c>
      <c r="B158" s="3" t="s">
        <v>524</v>
      </c>
      <c r="C158" s="59"/>
    </row>
    <row r="159" spans="1:3">
      <c r="A159" t="s">
        <v>807</v>
      </c>
      <c r="B159" s="3" t="s">
        <v>524</v>
      </c>
      <c r="C159" s="59"/>
    </row>
    <row r="160" spans="1:3">
      <c r="A160" t="s">
        <v>808</v>
      </c>
      <c r="B160" s="3" t="s">
        <v>524</v>
      </c>
      <c r="C160" s="59"/>
    </row>
    <row r="161" spans="1:3">
      <c r="A161" t="s">
        <v>809</v>
      </c>
      <c r="B161" s="3" t="s">
        <v>524</v>
      </c>
      <c r="C161" s="59"/>
    </row>
    <row r="162" spans="1:3">
      <c r="A162" t="s">
        <v>810</v>
      </c>
      <c r="B162" s="3" t="s">
        <v>524</v>
      </c>
      <c r="C162" s="59"/>
    </row>
    <row r="163" spans="1:3">
      <c r="A163" t="s">
        <v>811</v>
      </c>
      <c r="B163" s="3" t="s">
        <v>524</v>
      </c>
      <c r="C163" s="59"/>
    </row>
    <row r="164" spans="1:3">
      <c r="A164" t="s">
        <v>812</v>
      </c>
      <c r="B164" s="3" t="s">
        <v>524</v>
      </c>
      <c r="C164" s="59"/>
    </row>
    <row r="165" spans="1:3">
      <c r="A165" t="s">
        <v>813</v>
      </c>
      <c r="B165" s="3" t="s">
        <v>524</v>
      </c>
      <c r="C165" s="59"/>
    </row>
    <row r="166" spans="1:3">
      <c r="A166" t="s">
        <v>814</v>
      </c>
      <c r="B166" s="3" t="s">
        <v>524</v>
      </c>
      <c r="C166" s="59"/>
    </row>
    <row r="167" spans="1:3">
      <c r="A167" t="s">
        <v>815</v>
      </c>
      <c r="B167" s="3" t="s">
        <v>524</v>
      </c>
      <c r="C167" s="59"/>
    </row>
    <row r="168" spans="1:3">
      <c r="A168" t="s">
        <v>816</v>
      </c>
      <c r="B168" s="3" t="s">
        <v>524</v>
      </c>
      <c r="C168" s="59"/>
    </row>
    <row r="169" spans="1:3">
      <c r="A169" t="s">
        <v>817</v>
      </c>
      <c r="B169" s="3" t="s">
        <v>524</v>
      </c>
      <c r="C169" s="59"/>
    </row>
    <row r="170" spans="1:3">
      <c r="A170" t="s">
        <v>818</v>
      </c>
      <c r="B170" s="3" t="s">
        <v>524</v>
      </c>
      <c r="C170" s="59"/>
    </row>
    <row r="171" spans="1:3">
      <c r="A171" t="s">
        <v>819</v>
      </c>
      <c r="B171" s="3" t="s">
        <v>524</v>
      </c>
      <c r="C171" s="59"/>
    </row>
    <row r="172" spans="1:3">
      <c r="A172" t="s">
        <v>820</v>
      </c>
      <c r="B172" s="3" t="s">
        <v>524</v>
      </c>
      <c r="C172" s="59"/>
    </row>
    <row r="173" spans="1:3">
      <c r="A173" t="s">
        <v>821</v>
      </c>
      <c r="B173" s="3" t="s">
        <v>524</v>
      </c>
      <c r="C173" s="59"/>
    </row>
    <row r="174" spans="1:3">
      <c r="A174" t="s">
        <v>822</v>
      </c>
      <c r="B174" s="3" t="s">
        <v>524</v>
      </c>
      <c r="C174" s="59"/>
    </row>
    <row r="175" spans="1:3">
      <c r="A175" t="s">
        <v>823</v>
      </c>
      <c r="B175" s="3" t="s">
        <v>524</v>
      </c>
      <c r="C175" s="59"/>
    </row>
    <row r="176" spans="1:3">
      <c r="A176" t="s">
        <v>824</v>
      </c>
      <c r="B176" s="3" t="s">
        <v>524</v>
      </c>
      <c r="C176" s="59"/>
    </row>
    <row r="177" spans="1:3">
      <c r="A177" t="s">
        <v>825</v>
      </c>
      <c r="B177" s="3" t="s">
        <v>524</v>
      </c>
      <c r="C177" s="59"/>
    </row>
    <row r="178" spans="1:3">
      <c r="A178" t="s">
        <v>826</v>
      </c>
      <c r="B178" s="3" t="s">
        <v>524</v>
      </c>
      <c r="C178" s="59"/>
    </row>
    <row r="179" spans="1:3">
      <c r="A179" t="s">
        <v>827</v>
      </c>
      <c r="B179" s="3" t="s">
        <v>524</v>
      </c>
      <c r="C179" s="59"/>
    </row>
    <row r="180" spans="1:3">
      <c r="A180" t="s">
        <v>828</v>
      </c>
      <c r="B180" s="3" t="s">
        <v>524</v>
      </c>
      <c r="C180" s="59"/>
    </row>
    <row r="181" spans="1:3">
      <c r="A181" t="s">
        <v>829</v>
      </c>
      <c r="B181" s="3" t="s">
        <v>524</v>
      </c>
      <c r="C181" s="59"/>
    </row>
    <row r="182" spans="1:3">
      <c r="A182" t="s">
        <v>830</v>
      </c>
      <c r="B182" s="3" t="s">
        <v>524</v>
      </c>
      <c r="C182" s="59"/>
    </row>
    <row r="183" spans="1:3">
      <c r="A183" t="s">
        <v>831</v>
      </c>
      <c r="B183" s="3" t="s">
        <v>524</v>
      </c>
      <c r="C183" s="59"/>
    </row>
    <row r="184" spans="1:3">
      <c r="A184" t="s">
        <v>832</v>
      </c>
      <c r="B184" s="3" t="s">
        <v>524</v>
      </c>
      <c r="C184" s="59"/>
    </row>
    <row r="185" spans="1:3">
      <c r="A185" t="s">
        <v>833</v>
      </c>
      <c r="B185" s="3" t="s">
        <v>524</v>
      </c>
      <c r="C185" s="59"/>
    </row>
    <row r="186" spans="1:3">
      <c r="A186" t="s">
        <v>834</v>
      </c>
      <c r="B186" s="3" t="s">
        <v>524</v>
      </c>
      <c r="C186" s="59"/>
    </row>
    <row r="187" spans="1:3">
      <c r="A187" t="s">
        <v>836</v>
      </c>
      <c r="B187" s="3" t="s">
        <v>524</v>
      </c>
      <c r="C187" s="59"/>
    </row>
    <row r="188" spans="1:3">
      <c r="A188" t="s">
        <v>838</v>
      </c>
      <c r="B188" s="3" t="s">
        <v>524</v>
      </c>
      <c r="C188" s="59"/>
    </row>
    <row r="189" spans="1:3">
      <c r="A189" t="s">
        <v>839</v>
      </c>
      <c r="B189" s="3" t="s">
        <v>524</v>
      </c>
      <c r="C189" s="59"/>
    </row>
    <row r="191" spans="1:3">
      <c r="A191" t="s">
        <v>841</v>
      </c>
      <c r="B191" s="3" t="s">
        <v>524</v>
      </c>
      <c r="C191" s="3" t="s">
        <v>524</v>
      </c>
    </row>
    <row r="192" spans="1:3">
      <c r="A192" t="s">
        <v>845</v>
      </c>
      <c r="B192" s="3" t="s">
        <v>524</v>
      </c>
      <c r="C192" s="3" t="s">
        <v>524</v>
      </c>
    </row>
    <row r="193" spans="1:3">
      <c r="A193" t="s">
        <v>848</v>
      </c>
      <c r="B193" s="3" t="s">
        <v>524</v>
      </c>
      <c r="C193" s="3" t="s">
        <v>524</v>
      </c>
    </row>
    <row r="194" spans="1:3">
      <c r="A194" t="s">
        <v>851</v>
      </c>
      <c r="B194" s="3" t="s">
        <v>524</v>
      </c>
      <c r="C194" s="3" t="s">
        <v>524</v>
      </c>
    </row>
    <row r="195" spans="1:3">
      <c r="A195" t="s">
        <v>852</v>
      </c>
      <c r="B195" s="3" t="s">
        <v>524</v>
      </c>
      <c r="C195" s="3" t="s">
        <v>524</v>
      </c>
    </row>
    <row r="196" spans="1:3">
      <c r="A196" t="s">
        <v>854</v>
      </c>
      <c r="B196" s="3" t="s">
        <v>524</v>
      </c>
      <c r="C196" s="3" t="s">
        <v>524</v>
      </c>
    </row>
    <row r="197" spans="1:3">
      <c r="A197" t="s">
        <v>855</v>
      </c>
      <c r="B197" s="3" t="s">
        <v>524</v>
      </c>
      <c r="C197" s="3" t="s">
        <v>524</v>
      </c>
    </row>
    <row r="199" spans="1:3">
      <c r="A199" t="s">
        <v>856</v>
      </c>
      <c r="B199" s="3" t="s">
        <v>524</v>
      </c>
      <c r="C199" s="3" t="s">
        <v>524</v>
      </c>
    </row>
    <row r="200" spans="1:3">
      <c r="A200" t="s">
        <v>857</v>
      </c>
      <c r="B200" s="3" t="s">
        <v>524</v>
      </c>
      <c r="C200" s="3" t="s">
        <v>524</v>
      </c>
    </row>
    <row r="201" spans="1:3">
      <c r="A201" t="s">
        <v>858</v>
      </c>
      <c r="B201" s="3" t="s">
        <v>524</v>
      </c>
      <c r="C201" s="3" t="s">
        <v>524</v>
      </c>
    </row>
    <row r="202" spans="1:3">
      <c r="A202" t="s">
        <v>859</v>
      </c>
      <c r="B202" s="3" t="s">
        <v>524</v>
      </c>
      <c r="C202" s="3" t="s">
        <v>524</v>
      </c>
    </row>
    <row r="203" spans="1:3">
      <c r="A203" t="s">
        <v>860</v>
      </c>
      <c r="B203" s="3" t="s">
        <v>524</v>
      </c>
      <c r="C203" s="3" t="s">
        <v>524</v>
      </c>
    </row>
    <row r="204" spans="1:3">
      <c r="A204" t="s">
        <v>579</v>
      </c>
      <c r="B204" s="3" t="s">
        <v>524</v>
      </c>
      <c r="C204" s="3" t="s">
        <v>524</v>
      </c>
    </row>
    <row r="205" spans="1:3">
      <c r="A205" t="s">
        <v>863</v>
      </c>
      <c r="B205" s="3" t="s">
        <v>524</v>
      </c>
      <c r="C205" s="3" t="s">
        <v>524</v>
      </c>
    </row>
    <row r="206" spans="1:3">
      <c r="A206" t="s">
        <v>867</v>
      </c>
      <c r="B206" s="3" t="s">
        <v>524</v>
      </c>
      <c r="C206" s="3" t="s">
        <v>524</v>
      </c>
    </row>
    <row r="207" spans="1:3">
      <c r="A207" t="s">
        <v>868</v>
      </c>
      <c r="B207" s="3" t="s">
        <v>524</v>
      </c>
      <c r="C207" s="3" t="s">
        <v>524</v>
      </c>
    </row>
    <row r="208" spans="1:3">
      <c r="A208" t="s">
        <v>871</v>
      </c>
      <c r="B208" s="3" t="s">
        <v>524</v>
      </c>
      <c r="C208" s="3" t="s">
        <v>524</v>
      </c>
    </row>
    <row r="209" spans="1:3">
      <c r="A209" t="s">
        <v>872</v>
      </c>
      <c r="B209" s="3" t="s">
        <v>524</v>
      </c>
      <c r="C209" s="3" t="s">
        <v>524</v>
      </c>
    </row>
    <row r="210" spans="1:3">
      <c r="A210" t="s">
        <v>874</v>
      </c>
      <c r="B210" s="3" t="s">
        <v>524</v>
      </c>
      <c r="C210" s="3" t="s">
        <v>524</v>
      </c>
    </row>
    <row r="211" spans="1:3">
      <c r="A211" t="s">
        <v>875</v>
      </c>
      <c r="B211" s="3" t="s">
        <v>524</v>
      </c>
      <c r="C211" s="3" t="s">
        <v>524</v>
      </c>
    </row>
    <row r="212" spans="1:3">
      <c r="A212" t="s">
        <v>876</v>
      </c>
      <c r="B212" s="3" t="s">
        <v>524</v>
      </c>
      <c r="C212" s="3" t="s">
        <v>524</v>
      </c>
    </row>
    <row r="213" spans="1:3">
      <c r="A213" t="s">
        <v>877</v>
      </c>
      <c r="B213" s="3" t="s">
        <v>524</v>
      </c>
      <c r="C213" s="3" t="s">
        <v>524</v>
      </c>
    </row>
    <row r="214" spans="1:3">
      <c r="A214" t="s">
        <v>879</v>
      </c>
      <c r="B214" s="3" t="s">
        <v>524</v>
      </c>
      <c r="C214" s="3" t="s">
        <v>524</v>
      </c>
    </row>
    <row r="215" spans="1:3">
      <c r="A215" t="s">
        <v>880</v>
      </c>
      <c r="B215" s="3" t="s">
        <v>524</v>
      </c>
      <c r="C215" s="59"/>
    </row>
    <row r="216" spans="1:3">
      <c r="A216" t="s">
        <v>881</v>
      </c>
      <c r="B216" s="3" t="s">
        <v>524</v>
      </c>
      <c r="C216" s="59"/>
    </row>
    <row r="217" spans="1:3">
      <c r="A217" t="s">
        <v>882</v>
      </c>
      <c r="B217" s="3" t="s">
        <v>524</v>
      </c>
      <c r="C217" s="3" t="s">
        <v>524</v>
      </c>
    </row>
    <row r="218" spans="1:3">
      <c r="A218" t="s">
        <v>883</v>
      </c>
      <c r="B218" s="3" t="s">
        <v>524</v>
      </c>
      <c r="C218" s="59"/>
    </row>
    <row r="219" spans="1:3">
      <c r="A219" t="s">
        <v>884</v>
      </c>
      <c r="B219" s="3" t="s">
        <v>524</v>
      </c>
      <c r="C219" s="59"/>
    </row>
    <row r="220" spans="1:3">
      <c r="A220" t="s">
        <v>889</v>
      </c>
      <c r="B220" s="3" t="s">
        <v>524</v>
      </c>
      <c r="C220" s="59"/>
    </row>
    <row r="221" spans="1:3">
      <c r="A221" t="s">
        <v>891</v>
      </c>
      <c r="B221" s="3" t="s">
        <v>524</v>
      </c>
      <c r="C221" s="59"/>
    </row>
    <row r="222" spans="1:3">
      <c r="A222" t="s">
        <v>893</v>
      </c>
      <c r="B222" s="3" t="s">
        <v>524</v>
      </c>
      <c r="C222" s="59"/>
    </row>
    <row r="223" spans="1:3">
      <c r="A223" t="s">
        <v>895</v>
      </c>
      <c r="B223" s="3" t="s">
        <v>524</v>
      </c>
      <c r="C223" s="59"/>
    </row>
    <row r="224" spans="1:3">
      <c r="A224" t="s">
        <v>897</v>
      </c>
      <c r="B224" s="3" t="s">
        <v>524</v>
      </c>
      <c r="C224" s="59"/>
    </row>
    <row r="225" spans="1:3">
      <c r="A225" t="s">
        <v>898</v>
      </c>
      <c r="B225" s="3" t="s">
        <v>524</v>
      </c>
      <c r="C225" s="59"/>
    </row>
    <row r="226" spans="1:3">
      <c r="A226" t="s">
        <v>899</v>
      </c>
      <c r="B226" s="3" t="s">
        <v>524</v>
      </c>
      <c r="C226" s="59"/>
    </row>
    <row r="228" spans="1:3">
      <c r="A228" t="s">
        <v>902</v>
      </c>
      <c r="B228" s="3" t="s">
        <v>524</v>
      </c>
      <c r="C228" s="3" t="s">
        <v>524</v>
      </c>
    </row>
    <row r="229" spans="1:3">
      <c r="A229" t="s">
        <v>904</v>
      </c>
      <c r="B229" s="3" t="s">
        <v>524</v>
      </c>
      <c r="C229" s="3" t="s">
        <v>524</v>
      </c>
    </row>
    <row r="230" spans="1:3">
      <c r="A230" t="s">
        <v>907</v>
      </c>
      <c r="B230" s="3" t="s">
        <v>524</v>
      </c>
      <c r="C230" s="3" t="s">
        <v>524</v>
      </c>
    </row>
    <row r="231" spans="1:3">
      <c r="A231" t="s">
        <v>908</v>
      </c>
      <c r="B231" s="3" t="s">
        <v>524</v>
      </c>
      <c r="C231" s="3" t="s">
        <v>524</v>
      </c>
    </row>
    <row r="232" spans="1:3">
      <c r="A232" t="s">
        <v>910</v>
      </c>
      <c r="B232" s="3" t="s">
        <v>524</v>
      </c>
      <c r="C232" s="3" t="s">
        <v>524</v>
      </c>
    </row>
  </sheetData>
  <autoFilter ref="A1:C1" xr:uid="{3B22D744-F551-4E5F-984E-0653492AB623}"/>
  <pageMargins left="0.7" right="0.7" top="0.75" bottom="0.75" header="0.3" footer="0.3"/>
  <pageSetup orientation="portrait" horizontalDpi="4294967293" vertic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1B77-4F27-4A68-9A8B-8F47241E6EDB}">
  <sheetPr codeName="Sheet9"/>
  <dimension ref="A1:G4"/>
  <sheetViews>
    <sheetView workbookViewId="0">
      <selection activeCell="A6" sqref="A6"/>
    </sheetView>
  </sheetViews>
  <sheetFormatPr defaultRowHeight="14.25"/>
  <cols>
    <col min="1" max="1" width="11.5703125" bestFit="1" customWidth="1"/>
    <col min="3" max="3" width="10.42578125" bestFit="1" customWidth="1"/>
    <col min="5" max="5" width="10.140625" bestFit="1" customWidth="1"/>
    <col min="7" max="7" width="6.42578125" bestFit="1" customWidth="1"/>
  </cols>
  <sheetData>
    <row r="1" spans="1:7">
      <c r="A1" s="4" t="s">
        <v>2170</v>
      </c>
      <c r="C1" s="3"/>
      <c r="D1" s="3"/>
      <c r="E1" s="3"/>
      <c r="F1" s="3"/>
    </row>
    <row r="2" spans="1:7">
      <c r="B2" s="32" t="s">
        <v>150</v>
      </c>
      <c r="C2" s="28" t="s">
        <v>2171</v>
      </c>
      <c r="D2" s="44" t="s">
        <v>2172</v>
      </c>
      <c r="E2" s="44" t="s">
        <v>83</v>
      </c>
      <c r="F2" s="44" t="s">
        <v>2173</v>
      </c>
      <c r="G2" s="44" t="s">
        <v>58</v>
      </c>
    </row>
    <row r="3" spans="1:7">
      <c r="B3" s="17" t="s">
        <v>441</v>
      </c>
      <c r="C3" s="18" t="s">
        <v>2174</v>
      </c>
      <c r="D3" s="2"/>
      <c r="E3" s="2" t="s">
        <v>507</v>
      </c>
      <c r="F3" s="2"/>
      <c r="G3" s="2" t="s">
        <v>154</v>
      </c>
    </row>
    <row r="4" spans="1:7">
      <c r="B4" s="17" t="s">
        <v>399</v>
      </c>
      <c r="C4" s="18" t="s">
        <v>2175</v>
      </c>
      <c r="D4" s="2" t="s">
        <v>154</v>
      </c>
      <c r="E4" s="2" t="s">
        <v>507</v>
      </c>
      <c r="F4" s="2"/>
      <c r="G4" s="2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E437-C368-454B-8860-50DC62E6153F}">
  <sheetPr codeName="Sheet7"/>
  <dimension ref="A2:O25"/>
  <sheetViews>
    <sheetView workbookViewId="0">
      <selection activeCell="O3" sqref="O3"/>
    </sheetView>
  </sheetViews>
  <sheetFormatPr defaultRowHeight="14.25"/>
  <cols>
    <col min="2" max="4" width="8" style="3" bestFit="1" customWidth="1"/>
  </cols>
  <sheetData>
    <row r="2" spans="1:15">
      <c r="A2" t="s">
        <v>2082</v>
      </c>
    </row>
    <row r="4" spans="1:15">
      <c r="B4" s="332" t="s">
        <v>2176</v>
      </c>
      <c r="C4" s="332"/>
      <c r="D4" s="332"/>
      <c r="J4" t="s">
        <v>2177</v>
      </c>
    </row>
    <row r="5" spans="1:15">
      <c r="B5" s="44" t="s">
        <v>2178</v>
      </c>
      <c r="C5" s="44" t="s">
        <v>2179</v>
      </c>
      <c r="D5" s="44" t="s">
        <v>2180</v>
      </c>
      <c r="G5" s="44" t="s">
        <v>2181</v>
      </c>
      <c r="H5" s="44" t="s">
        <v>2182</v>
      </c>
      <c r="I5" s="44" t="s">
        <v>2183</v>
      </c>
      <c r="J5" s="28" t="s">
        <v>2181</v>
      </c>
      <c r="K5" s="28" t="s">
        <v>2182</v>
      </c>
      <c r="L5" s="44" t="s">
        <v>2183</v>
      </c>
      <c r="M5" s="157" t="s">
        <v>2184</v>
      </c>
      <c r="N5" s="157" t="s">
        <v>2185</v>
      </c>
      <c r="O5" s="157" t="s">
        <v>2186</v>
      </c>
    </row>
    <row r="6" spans="1:15">
      <c r="A6" s="17" t="s">
        <v>1190</v>
      </c>
      <c r="B6" s="2">
        <v>0.26501000000000002</v>
      </c>
      <c r="C6" s="2">
        <v>0.26501000000000002</v>
      </c>
      <c r="D6" s="2">
        <v>0.26501000000000002</v>
      </c>
      <c r="G6" s="132">
        <v>1</v>
      </c>
      <c r="H6" s="132">
        <v>2.8</v>
      </c>
      <c r="I6" s="132">
        <v>5.15</v>
      </c>
      <c r="J6" s="17">
        <v>1</v>
      </c>
      <c r="K6" s="17">
        <v>2.8</v>
      </c>
      <c r="L6" s="132">
        <v>5.15</v>
      </c>
      <c r="M6" s="158">
        <f>2*J6</f>
        <v>2</v>
      </c>
      <c r="N6" s="158">
        <f t="shared" ref="N6:O7" si="0">2*K6</f>
        <v>5.6</v>
      </c>
      <c r="O6" s="158">
        <f t="shared" si="0"/>
        <v>10.3</v>
      </c>
    </row>
    <row r="7" spans="1:15">
      <c r="A7" s="17" t="s">
        <v>1184</v>
      </c>
      <c r="B7" s="2">
        <v>0.21565000000000001</v>
      </c>
      <c r="C7" s="2">
        <v>0.21565000000000001</v>
      </c>
      <c r="D7" s="2">
        <v>0.21565000000000001</v>
      </c>
      <c r="G7" s="132">
        <v>1</v>
      </c>
      <c r="H7" s="132">
        <v>2.79</v>
      </c>
      <c r="I7" s="132">
        <v>5.08</v>
      </c>
      <c r="J7" s="17">
        <v>1</v>
      </c>
      <c r="K7" s="17">
        <v>2.8</v>
      </c>
      <c r="L7" s="132">
        <v>5.15</v>
      </c>
      <c r="M7" s="158">
        <f>2*J7</f>
        <v>2</v>
      </c>
      <c r="N7" s="158">
        <f t="shared" si="0"/>
        <v>5.6</v>
      </c>
      <c r="O7" s="158">
        <f t="shared" si="0"/>
        <v>10.3</v>
      </c>
    </row>
    <row r="8" spans="1:15">
      <c r="G8" s="3"/>
      <c r="H8" s="3"/>
      <c r="I8" s="3"/>
    </row>
    <row r="9" spans="1:15">
      <c r="B9" t="s">
        <v>2187</v>
      </c>
      <c r="G9" s="3"/>
      <c r="H9" s="3"/>
      <c r="I9" s="3"/>
    </row>
    <row r="10" spans="1:15">
      <c r="G10" s="3"/>
      <c r="H10" s="3"/>
      <c r="I10" s="3"/>
    </row>
    <row r="11" spans="1:15">
      <c r="G11" s="3"/>
      <c r="H11" s="3"/>
      <c r="I11" s="3"/>
    </row>
    <row r="12" spans="1:15">
      <c r="A12" t="s">
        <v>2188</v>
      </c>
      <c r="G12" s="3"/>
      <c r="H12" s="3"/>
      <c r="I12" s="3"/>
    </row>
    <row r="13" spans="1:15">
      <c r="G13" s="3"/>
      <c r="H13" s="3"/>
      <c r="I13" s="3"/>
    </row>
    <row r="14" spans="1:15">
      <c r="B14" s="332" t="s">
        <v>2176</v>
      </c>
      <c r="C14" s="332"/>
      <c r="D14" s="332"/>
      <c r="E14" s="332"/>
      <c r="J14" t="s">
        <v>2177</v>
      </c>
    </row>
    <row r="15" spans="1:15">
      <c r="B15" s="44" t="s">
        <v>2178</v>
      </c>
      <c r="C15" s="44" t="s">
        <v>2179</v>
      </c>
      <c r="D15" s="44" t="s">
        <v>2180</v>
      </c>
      <c r="E15" s="44" t="s">
        <v>2189</v>
      </c>
      <c r="G15" s="44" t="s">
        <v>2181</v>
      </c>
      <c r="H15" s="44" t="s">
        <v>2182</v>
      </c>
      <c r="I15" s="44" t="s">
        <v>2183</v>
      </c>
      <c r="J15" s="44" t="s">
        <v>2181</v>
      </c>
      <c r="K15" s="44" t="s">
        <v>2182</v>
      </c>
      <c r="L15" s="44" t="s">
        <v>2183</v>
      </c>
      <c r="M15" s="157" t="s">
        <v>2184</v>
      </c>
      <c r="N15" s="157" t="s">
        <v>2185</v>
      </c>
      <c r="O15" s="157" t="s">
        <v>2186</v>
      </c>
    </row>
    <row r="16" spans="1:15">
      <c r="A16" s="17" t="s">
        <v>1190</v>
      </c>
      <c r="B16" s="2">
        <v>0.21</v>
      </c>
      <c r="C16" s="2">
        <f t="shared" ref="C16:E17" si="1">B16</f>
        <v>0.21</v>
      </c>
      <c r="D16" s="2">
        <f t="shared" si="1"/>
        <v>0.21</v>
      </c>
      <c r="E16" s="2">
        <f t="shared" si="1"/>
        <v>0.21</v>
      </c>
      <c r="G16" s="132">
        <v>1</v>
      </c>
      <c r="H16" s="132">
        <v>2.8</v>
      </c>
      <c r="I16" s="132">
        <v>5</v>
      </c>
      <c r="J16" s="132">
        <v>1</v>
      </c>
      <c r="K16" s="132">
        <v>2.8</v>
      </c>
      <c r="L16" s="132">
        <v>5</v>
      </c>
      <c r="M16" s="158">
        <f>2*J16</f>
        <v>2</v>
      </c>
      <c r="N16" s="158">
        <f t="shared" ref="N16:N17" si="2">2*K16</f>
        <v>5.6</v>
      </c>
      <c r="O16" s="158">
        <f t="shared" ref="O16:O17" si="3">2*L16</f>
        <v>10</v>
      </c>
    </row>
    <row r="17" spans="1:15">
      <c r="A17" s="17" t="s">
        <v>1184</v>
      </c>
      <c r="B17" s="2">
        <v>0.16</v>
      </c>
      <c r="C17" s="2">
        <f t="shared" si="1"/>
        <v>0.16</v>
      </c>
      <c r="D17" s="2">
        <f t="shared" si="1"/>
        <v>0.16</v>
      </c>
      <c r="E17" s="2">
        <f t="shared" si="1"/>
        <v>0.16</v>
      </c>
      <c r="G17" s="132">
        <v>1</v>
      </c>
      <c r="H17" s="132">
        <v>2.6</v>
      </c>
      <c r="I17" s="132">
        <v>4.4000000000000004</v>
      </c>
      <c r="J17" s="132">
        <v>1</v>
      </c>
      <c r="K17" s="132">
        <v>2.6</v>
      </c>
      <c r="L17" s="132">
        <v>4.4000000000000004</v>
      </c>
      <c r="M17" s="158">
        <f>2*J17</f>
        <v>2</v>
      </c>
      <c r="N17" s="158">
        <f t="shared" si="2"/>
        <v>5.2</v>
      </c>
      <c r="O17" s="158">
        <f t="shared" si="3"/>
        <v>8.8000000000000007</v>
      </c>
    </row>
    <row r="21" spans="1:15" ht="15" thickBot="1">
      <c r="A21" s="19" t="s">
        <v>2190</v>
      </c>
      <c r="B21" s="141"/>
      <c r="C21" s="141"/>
      <c r="D21" s="141"/>
      <c r="E21" s="141"/>
      <c r="F21" s="141"/>
      <c r="G21" s="141"/>
      <c r="H21" s="141"/>
    </row>
    <row r="22" spans="1:15" ht="15" thickBot="1">
      <c r="A22" s="142"/>
      <c r="B22" s="143" t="s">
        <v>2178</v>
      </c>
      <c r="C22" s="143" t="s">
        <v>2179</v>
      </c>
      <c r="D22" s="143" t="s">
        <v>2180</v>
      </c>
      <c r="E22" s="141"/>
      <c r="F22" s="141"/>
      <c r="H22" s="142" t="s">
        <v>2182</v>
      </c>
      <c r="I22" s="143" t="s">
        <v>2183</v>
      </c>
    </row>
    <row r="23" spans="1:15" ht="15" thickBot="1">
      <c r="A23" s="144" t="s">
        <v>1190</v>
      </c>
      <c r="B23" s="145">
        <v>1.8180000000000002E-2</v>
      </c>
      <c r="C23" s="145">
        <v>1.8180000000000002E-2</v>
      </c>
      <c r="D23" s="145">
        <v>1.8180000000000002E-2</v>
      </c>
      <c r="E23" s="141"/>
      <c r="F23" s="141"/>
      <c r="H23" s="144">
        <v>1</v>
      </c>
      <c r="I23" s="145">
        <v>1.5149999999999999</v>
      </c>
    </row>
    <row r="24" spans="1:15" ht="15" thickBot="1">
      <c r="A24" s="144" t="s">
        <v>1184</v>
      </c>
      <c r="B24" s="145">
        <v>4.036E-2</v>
      </c>
      <c r="C24" s="145">
        <v>4.036E-2</v>
      </c>
      <c r="D24" s="145">
        <v>4.036E-2</v>
      </c>
      <c r="E24" s="141"/>
      <c r="F24" s="141"/>
      <c r="H24" s="144">
        <v>1</v>
      </c>
      <c r="I24" s="145">
        <v>1.5189999999999999</v>
      </c>
    </row>
    <row r="25" spans="1:15">
      <c r="A25" s="141"/>
      <c r="B25" s="333" t="s">
        <v>2191</v>
      </c>
      <c r="C25" s="333"/>
      <c r="D25" s="333"/>
      <c r="E25" s="141"/>
      <c r="F25" s="141"/>
      <c r="G25" s="141"/>
      <c r="H25" s="141"/>
    </row>
  </sheetData>
  <mergeCells count="3">
    <mergeCell ref="B4:D4"/>
    <mergeCell ref="B14:E14"/>
    <mergeCell ref="B25:D25"/>
  </mergeCells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4172-F002-4530-8097-360F7440F25F}">
  <dimension ref="B3:H9"/>
  <sheetViews>
    <sheetView workbookViewId="0">
      <selection activeCell="B5" sqref="B5:B9"/>
    </sheetView>
  </sheetViews>
  <sheetFormatPr defaultRowHeight="14.25"/>
  <cols>
    <col min="3" max="3" width="15.42578125" customWidth="1"/>
    <col min="4" max="4" width="12.140625" customWidth="1"/>
    <col min="5" max="5" width="13.85546875" customWidth="1"/>
    <col min="6" max="6" width="15.42578125" customWidth="1"/>
    <col min="7" max="7" width="11.42578125" customWidth="1"/>
  </cols>
  <sheetData>
    <row r="3" spans="2:8" ht="15" thickBot="1"/>
    <row r="4" spans="2:8" ht="15" thickBot="1">
      <c r="B4" s="153"/>
      <c r="C4" s="154" t="s">
        <v>2192</v>
      </c>
      <c r="D4" s="154" t="s">
        <v>2193</v>
      </c>
      <c r="E4" s="154" t="s">
        <v>2194</v>
      </c>
      <c r="F4" s="154" t="s">
        <v>2195</v>
      </c>
      <c r="G4" s="154" t="s">
        <v>2196</v>
      </c>
      <c r="H4" s="154" t="s">
        <v>2197</v>
      </c>
    </row>
    <row r="5" spans="2:8" ht="15" thickBot="1">
      <c r="B5" s="155" t="s">
        <v>1197</v>
      </c>
      <c r="C5" s="156">
        <v>2.1</v>
      </c>
      <c r="D5" s="156">
        <v>1.4</v>
      </c>
      <c r="E5" s="156">
        <v>0</v>
      </c>
      <c r="F5" s="156">
        <v>-1.8</v>
      </c>
      <c r="G5" s="156">
        <v>-1.7</v>
      </c>
      <c r="H5" s="156">
        <v>0</v>
      </c>
    </row>
    <row r="6" spans="2:8" ht="15" thickBot="1">
      <c r="B6" s="155" t="s">
        <v>2198</v>
      </c>
      <c r="C6" s="156">
        <v>3.3</v>
      </c>
      <c r="D6" s="156">
        <v>2.6</v>
      </c>
      <c r="E6" s="156">
        <v>1.2</v>
      </c>
      <c r="F6" s="156">
        <v>-3</v>
      </c>
      <c r="G6" s="156">
        <v>-2.9</v>
      </c>
      <c r="H6" s="156">
        <v>-1.2</v>
      </c>
    </row>
    <row r="7" spans="2:8" ht="15" thickBot="1">
      <c r="B7" s="155" t="s">
        <v>1199</v>
      </c>
      <c r="C7" s="156">
        <v>0</v>
      </c>
      <c r="D7" s="156">
        <v>3.7</v>
      </c>
      <c r="E7" s="156">
        <v>0</v>
      </c>
      <c r="F7" s="156">
        <v>0</v>
      </c>
      <c r="G7" s="156">
        <v>-3.8</v>
      </c>
      <c r="H7" s="156">
        <v>0</v>
      </c>
    </row>
    <row r="8" spans="2:8" ht="15" thickBot="1">
      <c r="B8" s="155" t="s">
        <v>2199</v>
      </c>
      <c r="C8" s="156" t="s">
        <v>2200</v>
      </c>
      <c r="D8" s="156" t="s">
        <v>2200</v>
      </c>
      <c r="E8" s="156">
        <v>0</v>
      </c>
      <c r="F8" s="156">
        <v>-2.2000000000000002</v>
      </c>
      <c r="G8" s="156">
        <v>-0.8</v>
      </c>
      <c r="H8" s="156">
        <v>0</v>
      </c>
    </row>
    <row r="9" spans="2:8" ht="15" thickBot="1">
      <c r="B9" s="155" t="s">
        <v>2201</v>
      </c>
      <c r="C9" s="156" t="s">
        <v>2200</v>
      </c>
      <c r="D9" s="156" t="s">
        <v>2200</v>
      </c>
      <c r="E9" s="156">
        <v>0</v>
      </c>
      <c r="F9" s="156" t="s">
        <v>2202</v>
      </c>
      <c r="G9" s="156">
        <v>0</v>
      </c>
      <c r="H9" s="156">
        <v>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46AB-0EDA-40EA-8926-E053AB64F12D}">
  <dimension ref="A1:C13"/>
  <sheetViews>
    <sheetView workbookViewId="0"/>
  </sheetViews>
  <sheetFormatPr defaultRowHeight="14.25"/>
  <cols>
    <col min="1" max="1" width="21.140625" bestFit="1" customWidth="1"/>
    <col min="2" max="2" width="22.5703125" bestFit="1" customWidth="1"/>
    <col min="3" max="3" width="12.42578125" bestFit="1" customWidth="1"/>
  </cols>
  <sheetData>
    <row r="1" spans="1:3">
      <c r="A1" s="28" t="s">
        <v>2203</v>
      </c>
      <c r="B1" s="28" t="s">
        <v>2204</v>
      </c>
      <c r="C1" s="28" t="s">
        <v>2205</v>
      </c>
    </row>
    <row r="2" spans="1:3">
      <c r="A2" s="17" t="s">
        <v>810</v>
      </c>
      <c r="B2" s="17" t="s">
        <v>2206</v>
      </c>
      <c r="C2" s="17" t="s">
        <v>550</v>
      </c>
    </row>
    <row r="3" spans="1:3">
      <c r="A3" s="17" t="s">
        <v>811</v>
      </c>
      <c r="B3" s="17" t="s">
        <v>1516</v>
      </c>
      <c r="C3" s="17" t="s">
        <v>2207</v>
      </c>
    </row>
    <row r="4" spans="1:3">
      <c r="A4" s="17" t="s">
        <v>815</v>
      </c>
      <c r="B4" s="17" t="s">
        <v>2208</v>
      </c>
      <c r="C4" s="17" t="s">
        <v>550</v>
      </c>
    </row>
    <row r="5" spans="1:3">
      <c r="A5" s="17" t="s">
        <v>816</v>
      </c>
      <c r="B5" s="17" t="s">
        <v>1518</v>
      </c>
      <c r="C5" s="17" t="s">
        <v>2207</v>
      </c>
    </row>
    <row r="6" spans="1:3">
      <c r="A6" s="17" t="s">
        <v>2209</v>
      </c>
      <c r="B6" s="17" t="s">
        <v>2208</v>
      </c>
      <c r="C6" s="17" t="s">
        <v>624</v>
      </c>
    </row>
    <row r="7" spans="1:3">
      <c r="A7" s="17" t="s">
        <v>2210</v>
      </c>
      <c r="B7" s="17" t="s">
        <v>1518</v>
      </c>
      <c r="C7" s="17" t="s">
        <v>2211</v>
      </c>
    </row>
    <row r="8" spans="1:3">
      <c r="A8" s="17" t="s">
        <v>2212</v>
      </c>
      <c r="B8" s="17" t="s">
        <v>2213</v>
      </c>
      <c r="C8" s="17" t="s">
        <v>624</v>
      </c>
    </row>
    <row r="9" spans="1:3">
      <c r="A9" s="17" t="s">
        <v>2214</v>
      </c>
      <c r="B9" s="17" t="s">
        <v>2215</v>
      </c>
      <c r="C9" s="17" t="s">
        <v>2211</v>
      </c>
    </row>
    <row r="10" spans="1:3">
      <c r="A10" s="17" t="s">
        <v>2216</v>
      </c>
      <c r="B10" s="17" t="s">
        <v>2208</v>
      </c>
      <c r="C10" s="17" t="s">
        <v>1824</v>
      </c>
    </row>
    <row r="11" spans="1:3">
      <c r="A11" s="17" t="s">
        <v>2217</v>
      </c>
      <c r="B11" s="17" t="s">
        <v>1518</v>
      </c>
      <c r="C11" s="17" t="s">
        <v>2218</v>
      </c>
    </row>
    <row r="12" spans="1:3">
      <c r="A12" s="17" t="s">
        <v>2219</v>
      </c>
      <c r="B12" s="17" t="s">
        <v>2213</v>
      </c>
      <c r="C12" s="17" t="s">
        <v>1824</v>
      </c>
    </row>
    <row r="13" spans="1:3">
      <c r="A13" s="17" t="s">
        <v>2220</v>
      </c>
      <c r="B13" s="17" t="s">
        <v>2215</v>
      </c>
      <c r="C13" s="17" t="s">
        <v>2218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04C6-CE29-4CF0-B771-EC48EAEEA209}">
  <dimension ref="C2:H4"/>
  <sheetViews>
    <sheetView workbookViewId="0">
      <selection activeCell="E14" sqref="E14"/>
    </sheetView>
  </sheetViews>
  <sheetFormatPr defaultRowHeight="14.25"/>
  <cols>
    <col min="3" max="3" width="10" bestFit="1" customWidth="1"/>
    <col min="4" max="5" width="8.42578125" bestFit="1" customWidth="1"/>
    <col min="6" max="6" width="12" bestFit="1" customWidth="1"/>
    <col min="7" max="7" width="8.42578125" bestFit="1" customWidth="1"/>
    <col min="8" max="8" width="15.42578125" bestFit="1" customWidth="1"/>
  </cols>
  <sheetData>
    <row r="2" spans="3:8">
      <c r="C2" s="17"/>
      <c r="D2" s="17" t="s">
        <v>82</v>
      </c>
      <c r="E2" s="17" t="s">
        <v>84</v>
      </c>
      <c r="F2" s="17" t="s">
        <v>79</v>
      </c>
      <c r="G2" s="17" t="s">
        <v>78</v>
      </c>
      <c r="H2" s="17" t="s">
        <v>83</v>
      </c>
    </row>
    <row r="3" spans="3:8">
      <c r="C3" s="17" t="s">
        <v>2221</v>
      </c>
      <c r="D3" s="17" t="s">
        <v>1069</v>
      </c>
      <c r="E3" s="17" t="s">
        <v>154</v>
      </c>
      <c r="F3" s="17" t="s">
        <v>1229</v>
      </c>
      <c r="G3" s="17" t="s">
        <v>1069</v>
      </c>
      <c r="H3" s="17" t="s">
        <v>2222</v>
      </c>
    </row>
    <row r="4" spans="3:8">
      <c r="C4" s="17" t="s">
        <v>2223</v>
      </c>
      <c r="D4" s="17" t="s">
        <v>154</v>
      </c>
      <c r="E4" s="17" t="s">
        <v>1069</v>
      </c>
      <c r="F4" s="17" t="s">
        <v>1229</v>
      </c>
      <c r="G4" s="17" t="s">
        <v>1069</v>
      </c>
      <c r="H4" s="17" t="s">
        <v>2222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CAD6-0DE7-4CD5-853D-0B42A9DD3844}">
  <dimension ref="B2:E107"/>
  <sheetViews>
    <sheetView topLeftCell="A73" workbookViewId="0">
      <selection activeCell="G109" sqref="G109"/>
    </sheetView>
  </sheetViews>
  <sheetFormatPr defaultRowHeight="14.25"/>
  <cols>
    <col min="2" max="2" width="21.85546875" customWidth="1"/>
    <col min="3" max="3" width="21.85546875" hidden="1" customWidth="1"/>
    <col min="4" max="4" width="30.42578125" customWidth="1"/>
  </cols>
  <sheetData>
    <row r="2" spans="2:5" s="241" customFormat="1">
      <c r="B2" s="337" t="s">
        <v>2224</v>
      </c>
      <c r="C2" s="240" t="s">
        <v>2225</v>
      </c>
      <c r="D2" s="240" t="s">
        <v>557</v>
      </c>
    </row>
    <row r="3" spans="2:5" s="241" customFormat="1">
      <c r="B3" s="337"/>
      <c r="C3" s="240" t="s">
        <v>2226</v>
      </c>
      <c r="D3" s="240" t="s">
        <v>605</v>
      </c>
    </row>
    <row r="4" spans="2:5" s="241" customFormat="1">
      <c r="B4" s="337"/>
      <c r="C4" s="240" t="s">
        <v>2227</v>
      </c>
      <c r="D4" s="240" t="s">
        <v>579</v>
      </c>
    </row>
    <row r="5" spans="2:5" s="241" customFormat="1">
      <c r="B5" s="337"/>
      <c r="C5" s="240" t="s">
        <v>2228</v>
      </c>
      <c r="D5" s="240" t="s">
        <v>642</v>
      </c>
    </row>
    <row r="6" spans="2:5" s="241" customFormat="1">
      <c r="B6" s="337"/>
      <c r="C6" s="240" t="s">
        <v>2229</v>
      </c>
      <c r="D6" s="240" t="s">
        <v>693</v>
      </c>
    </row>
    <row r="7" spans="2:5" s="241" customFormat="1">
      <c r="B7" s="337"/>
      <c r="C7" s="240" t="s">
        <v>2230</v>
      </c>
      <c r="D7" s="240" t="s">
        <v>695</v>
      </c>
    </row>
    <row r="8" spans="2:5" s="241" customFormat="1"/>
    <row r="9" spans="2:5" s="241" customFormat="1"/>
    <row r="10" spans="2:5" s="241" customFormat="1">
      <c r="B10" s="337" t="s">
        <v>2231</v>
      </c>
      <c r="C10" s="240" t="s">
        <v>2232</v>
      </c>
      <c r="D10" s="240" t="s">
        <v>738</v>
      </c>
      <c r="E10" s="241" t="str">
        <f>"+ everything from HD_LOGIC_SHORT (by default)"</f>
        <v>+ everything from HD_LOGIC_SHORT (by default)</v>
      </c>
    </row>
    <row r="11" spans="2:5" s="241" customFormat="1">
      <c r="B11" s="337"/>
      <c r="C11" s="240" t="s">
        <v>2233</v>
      </c>
      <c r="D11" s="240" t="s">
        <v>2234</v>
      </c>
    </row>
    <row r="12" spans="2:5" s="241" customFormat="1"/>
    <row r="13" spans="2:5" s="241" customFormat="1"/>
    <row r="14" spans="2:5" s="241" customFormat="1">
      <c r="B14" s="337" t="s">
        <v>2235</v>
      </c>
      <c r="C14" s="240" t="s">
        <v>2225</v>
      </c>
      <c r="D14" s="240" t="s">
        <v>557</v>
      </c>
    </row>
    <row r="15" spans="2:5" s="241" customFormat="1">
      <c r="B15" s="337"/>
      <c r="C15" s="240" t="s">
        <v>2226</v>
      </c>
      <c r="D15" s="240" t="s">
        <v>605</v>
      </c>
    </row>
    <row r="16" spans="2:5" s="241" customFormat="1">
      <c r="B16" s="337"/>
      <c r="C16" s="240" t="s">
        <v>2227</v>
      </c>
      <c r="D16" s="240" t="s">
        <v>579</v>
      </c>
    </row>
    <row r="17" spans="2:5" s="241" customFormat="1">
      <c r="B17" s="337"/>
      <c r="C17" s="240" t="s">
        <v>2236</v>
      </c>
      <c r="D17" s="240" t="s">
        <v>613</v>
      </c>
    </row>
    <row r="18" spans="2:5" s="241" customFormat="1">
      <c r="B18" s="337"/>
      <c r="C18" s="240" t="s">
        <v>2237</v>
      </c>
      <c r="D18" s="240" t="s">
        <v>874</v>
      </c>
    </row>
    <row r="19" spans="2:5" s="241" customFormat="1">
      <c r="B19" s="337"/>
      <c r="C19" s="240"/>
      <c r="D19" s="240" t="s">
        <v>917</v>
      </c>
    </row>
    <row r="20" spans="2:5" s="241" customFormat="1"/>
    <row r="21" spans="2:5" s="241" customFormat="1"/>
    <row r="22" spans="2:5" s="241" customFormat="1">
      <c r="B22" s="337" t="s">
        <v>2238</v>
      </c>
      <c r="C22" s="240" t="s">
        <v>2228</v>
      </c>
      <c r="D22" s="240" t="s">
        <v>642</v>
      </c>
      <c r="E22" s="241" t="str">
        <f>"+ everything from HD_LOGIC_SHORT (by default)"</f>
        <v>+ everything from HD_LOGIC_SHORT (by default)</v>
      </c>
    </row>
    <row r="23" spans="2:5" s="241" customFormat="1">
      <c r="B23" s="337"/>
      <c r="C23" s="240" t="s">
        <v>2239</v>
      </c>
      <c r="D23" s="240" t="s">
        <v>654</v>
      </c>
    </row>
    <row r="24" spans="2:5" s="241" customFormat="1">
      <c r="B24" s="337"/>
      <c r="C24" s="240" t="s">
        <v>2229</v>
      </c>
      <c r="D24" s="240" t="s">
        <v>693</v>
      </c>
    </row>
    <row r="25" spans="2:5" s="241" customFormat="1">
      <c r="B25" s="337"/>
      <c r="C25" s="240" t="s">
        <v>2230</v>
      </c>
      <c r="D25" s="240" t="s">
        <v>695</v>
      </c>
    </row>
    <row r="26" spans="2:5" s="241" customFormat="1">
      <c r="B26" s="337"/>
      <c r="C26" s="240" t="s">
        <v>2240</v>
      </c>
      <c r="D26" s="240" t="s">
        <v>726</v>
      </c>
    </row>
    <row r="27" spans="2:5" s="241" customFormat="1">
      <c r="B27" s="337"/>
      <c r="C27" s="240" t="s">
        <v>2241</v>
      </c>
      <c r="D27" s="240" t="s">
        <v>728</v>
      </c>
    </row>
    <row r="31" spans="2:5">
      <c r="B31" s="306" t="s">
        <v>2242</v>
      </c>
      <c r="C31" s="17"/>
      <c r="D31" s="17" t="s">
        <v>2243</v>
      </c>
    </row>
    <row r="32" spans="2:5">
      <c r="B32" s="310"/>
      <c r="C32" s="17"/>
      <c r="D32" s="17" t="s">
        <v>2244</v>
      </c>
    </row>
    <row r="33" spans="2:4">
      <c r="B33" s="310"/>
      <c r="C33" s="17"/>
      <c r="D33" s="17" t="s">
        <v>2245</v>
      </c>
    </row>
    <row r="34" spans="2:4">
      <c r="B34" s="310"/>
      <c r="C34" s="17"/>
      <c r="D34" s="17" t="s">
        <v>2246</v>
      </c>
    </row>
    <row r="35" spans="2:4">
      <c r="B35" s="310"/>
      <c r="C35" s="17"/>
      <c r="D35" s="17" t="s">
        <v>2247</v>
      </c>
    </row>
    <row r="36" spans="2:4">
      <c r="B36" s="310"/>
      <c r="C36" s="17"/>
      <c r="D36" s="17" t="s">
        <v>2248</v>
      </c>
    </row>
    <row r="37" spans="2:4">
      <c r="B37" s="310"/>
      <c r="C37" s="17"/>
      <c r="D37" s="17" t="s">
        <v>2249</v>
      </c>
    </row>
    <row r="38" spans="2:4">
      <c r="B38" s="310"/>
      <c r="C38" s="17"/>
      <c r="D38" s="17" t="s">
        <v>2250</v>
      </c>
    </row>
    <row r="39" spans="2:4">
      <c r="B39" s="310"/>
      <c r="C39" s="17"/>
      <c r="D39" s="17" t="s">
        <v>2251</v>
      </c>
    </row>
    <row r="40" spans="2:4">
      <c r="B40" s="310"/>
      <c r="C40" s="17"/>
      <c r="D40" s="17" t="s">
        <v>2252</v>
      </c>
    </row>
    <row r="41" spans="2:4">
      <c r="B41" s="310"/>
      <c r="C41" s="17"/>
      <c r="D41" s="17" t="s">
        <v>2253</v>
      </c>
    </row>
    <row r="42" spans="2:4">
      <c r="B42" s="310"/>
      <c r="C42" s="17"/>
      <c r="D42" s="17" t="s">
        <v>2254</v>
      </c>
    </row>
    <row r="43" spans="2:4">
      <c r="B43" s="310"/>
      <c r="C43" s="17"/>
      <c r="D43" s="17" t="s">
        <v>2255</v>
      </c>
    </row>
    <row r="44" spans="2:4">
      <c r="B44" s="310"/>
      <c r="C44" s="17"/>
      <c r="D44" s="17" t="s">
        <v>2256</v>
      </c>
    </row>
    <row r="45" spans="2:4">
      <c r="B45" s="310"/>
      <c r="C45" s="17"/>
      <c r="D45" s="17" t="s">
        <v>2257</v>
      </c>
    </row>
    <row r="46" spans="2:4">
      <c r="B46" s="310"/>
      <c r="C46" s="17"/>
      <c r="D46" s="17" t="s">
        <v>2258</v>
      </c>
    </row>
    <row r="47" spans="2:4">
      <c r="B47" s="310"/>
      <c r="C47" s="17"/>
      <c r="D47" s="17" t="s">
        <v>2259</v>
      </c>
    </row>
    <row r="48" spans="2:4">
      <c r="B48" s="310"/>
      <c r="C48" s="17"/>
      <c r="D48" s="17" t="s">
        <v>2260</v>
      </c>
    </row>
    <row r="49" spans="2:5">
      <c r="B49" s="310"/>
      <c r="C49" s="17"/>
      <c r="D49" s="17" t="s">
        <v>2261</v>
      </c>
    </row>
    <row r="50" spans="2:5">
      <c r="B50" s="310"/>
      <c r="C50" s="17"/>
      <c r="D50" s="17" t="s">
        <v>2262</v>
      </c>
    </row>
    <row r="51" spans="2:5">
      <c r="B51" s="307"/>
      <c r="C51" s="17"/>
      <c r="D51" s="17" t="s">
        <v>2263</v>
      </c>
    </row>
    <row r="54" spans="2:5">
      <c r="B54" s="306" t="s">
        <v>2264</v>
      </c>
      <c r="C54" s="17"/>
      <c r="D54" s="17" t="s">
        <v>2265</v>
      </c>
      <c r="E54" t="str">
        <f>"+ everything from HD_LOGIC_SAT_2PT (by default)"</f>
        <v>+ everything from HD_LOGIC_SAT_2PT (by default)</v>
      </c>
    </row>
    <row r="55" spans="2:5">
      <c r="B55" s="310"/>
      <c r="C55" s="17"/>
      <c r="D55" s="17" t="s">
        <v>2266</v>
      </c>
    </row>
    <row r="56" spans="2:5">
      <c r="B56" s="310"/>
      <c r="C56" s="17"/>
      <c r="D56" s="17" t="s">
        <v>2267</v>
      </c>
    </row>
    <row r="57" spans="2:5">
      <c r="B57" s="310"/>
      <c r="C57" s="17"/>
      <c r="D57" s="17" t="s">
        <v>2268</v>
      </c>
    </row>
    <row r="58" spans="2:5">
      <c r="B58" s="310"/>
      <c r="C58" s="17"/>
      <c r="D58" s="17" t="s">
        <v>2269</v>
      </c>
    </row>
    <row r="59" spans="2:5">
      <c r="B59" s="310"/>
      <c r="C59" s="17"/>
      <c r="D59" s="17" t="s">
        <v>2270</v>
      </c>
    </row>
    <row r="60" spans="2:5">
      <c r="B60" s="310"/>
      <c r="C60" s="17"/>
      <c r="D60" s="17" t="s">
        <v>2271</v>
      </c>
    </row>
    <row r="61" spans="2:5">
      <c r="B61" s="310"/>
      <c r="C61" s="17"/>
      <c r="D61" s="17" t="s">
        <v>2272</v>
      </c>
    </row>
    <row r="62" spans="2:5">
      <c r="B62" s="310"/>
      <c r="C62" s="17"/>
      <c r="D62" s="17" t="s">
        <v>593</v>
      </c>
    </row>
    <row r="63" spans="2:5">
      <c r="B63" s="310"/>
      <c r="C63" s="17"/>
      <c r="D63" s="17" t="s">
        <v>594</v>
      </c>
    </row>
    <row r="64" spans="2:5">
      <c r="B64" s="310"/>
      <c r="C64" s="17"/>
      <c r="D64" s="17" t="s">
        <v>2273</v>
      </c>
    </row>
    <row r="65" spans="2:5">
      <c r="B65" s="310"/>
      <c r="C65" s="17"/>
      <c r="D65" s="17" t="s">
        <v>2274</v>
      </c>
    </row>
    <row r="66" spans="2:5">
      <c r="B66" s="310"/>
      <c r="C66" s="17"/>
      <c r="D66" s="17" t="s">
        <v>2275</v>
      </c>
    </row>
    <row r="67" spans="2:5">
      <c r="B67" s="310"/>
      <c r="C67" s="17"/>
      <c r="D67" s="17" t="s">
        <v>2276</v>
      </c>
    </row>
    <row r="68" spans="2:5">
      <c r="B68" s="310"/>
      <c r="C68" s="17"/>
      <c r="D68" s="17" t="s">
        <v>2277</v>
      </c>
    </row>
    <row r="69" spans="2:5">
      <c r="B69" s="310"/>
      <c r="C69" s="17"/>
      <c r="D69" s="17" t="s">
        <v>2278</v>
      </c>
    </row>
    <row r="70" spans="2:5">
      <c r="B70" s="310"/>
      <c r="C70" s="17"/>
      <c r="D70" s="17" t="s">
        <v>2279</v>
      </c>
    </row>
    <row r="71" spans="2:5">
      <c r="B71" s="310"/>
      <c r="C71" s="17"/>
      <c r="D71" s="17" t="s">
        <v>2280</v>
      </c>
    </row>
    <row r="72" spans="2:5">
      <c r="B72" s="310"/>
      <c r="C72" s="17"/>
      <c r="D72" s="17" t="s">
        <v>2281</v>
      </c>
    </row>
    <row r="73" spans="2:5">
      <c r="B73" s="307"/>
      <c r="C73" s="17"/>
      <c r="D73" s="17" t="s">
        <v>2282</v>
      </c>
    </row>
    <row r="76" spans="2:5">
      <c r="B76" t="s">
        <v>2283</v>
      </c>
      <c r="D76" s="17" t="s">
        <v>2284</v>
      </c>
      <c r="E76" s="17" t="s">
        <v>2285</v>
      </c>
    </row>
    <row r="77" spans="2:5">
      <c r="D77" s="17" t="s">
        <v>2284</v>
      </c>
      <c r="E77" s="17" t="s">
        <v>2286</v>
      </c>
    </row>
    <row r="81" spans="2:4">
      <c r="B81" s="334" t="s">
        <v>2287</v>
      </c>
      <c r="D81" s="17" t="s">
        <v>2288</v>
      </c>
    </row>
    <row r="82" spans="2:4">
      <c r="B82" s="335"/>
      <c r="D82" s="17" t="s">
        <v>2289</v>
      </c>
    </row>
    <row r="83" spans="2:4">
      <c r="B83" s="335"/>
      <c r="D83" s="17" t="s">
        <v>2290</v>
      </c>
    </row>
    <row r="84" spans="2:4">
      <c r="B84" s="335"/>
      <c r="D84" s="17" t="s">
        <v>2291</v>
      </c>
    </row>
    <row r="85" spans="2:4">
      <c r="B85" s="335"/>
      <c r="D85" s="17" t="s">
        <v>2292</v>
      </c>
    </row>
    <row r="86" spans="2:4">
      <c r="B86" s="335"/>
      <c r="D86" s="17" t="s">
        <v>2293</v>
      </c>
    </row>
    <row r="87" spans="2:4">
      <c r="B87" s="335"/>
      <c r="D87" s="17" t="s">
        <v>1745</v>
      </c>
    </row>
    <row r="88" spans="2:4">
      <c r="B88" s="335"/>
      <c r="D88" s="17" t="s">
        <v>1746</v>
      </c>
    </row>
    <row r="89" spans="2:4">
      <c r="B89" s="335"/>
      <c r="D89" s="17" t="s">
        <v>1747</v>
      </c>
    </row>
    <row r="90" spans="2:4">
      <c r="B90" s="335"/>
      <c r="D90" s="17" t="s">
        <v>1748</v>
      </c>
    </row>
    <row r="91" spans="2:4">
      <c r="B91" s="335"/>
      <c r="D91" s="17" t="s">
        <v>1749</v>
      </c>
    </row>
    <row r="92" spans="2:4">
      <c r="B92" s="335"/>
      <c r="D92" s="17" t="s">
        <v>1750</v>
      </c>
    </row>
    <row r="93" spans="2:4">
      <c r="B93" s="335"/>
      <c r="D93" s="17" t="s">
        <v>1751</v>
      </c>
    </row>
    <row r="94" spans="2:4">
      <c r="B94" s="335"/>
      <c r="D94" s="17" t="s">
        <v>1752</v>
      </c>
    </row>
    <row r="95" spans="2:4">
      <c r="B95" s="336"/>
      <c r="C95" s="54"/>
      <c r="D95" s="17" t="s">
        <v>1753</v>
      </c>
    </row>
    <row r="99" spans="2:4">
      <c r="B99" s="334" t="s">
        <v>2294</v>
      </c>
      <c r="D99" s="17" t="s">
        <v>2295</v>
      </c>
    </row>
    <row r="100" spans="2:4">
      <c r="B100" s="335"/>
      <c r="D100" s="17" t="s">
        <v>2296</v>
      </c>
    </row>
    <row r="101" spans="2:4">
      <c r="B101" s="335"/>
      <c r="D101" s="17" t="s">
        <v>2297</v>
      </c>
    </row>
    <row r="102" spans="2:4">
      <c r="B102" s="335"/>
      <c r="D102" s="17" t="s">
        <v>2298</v>
      </c>
    </row>
    <row r="103" spans="2:4">
      <c r="B103" s="335"/>
      <c r="D103" s="17" t="s">
        <v>810</v>
      </c>
    </row>
    <row r="104" spans="2:4">
      <c r="B104" s="335"/>
      <c r="D104" s="17" t="s">
        <v>811</v>
      </c>
    </row>
    <row r="105" spans="2:4">
      <c r="B105" s="335"/>
      <c r="D105" s="17" t="s">
        <v>812</v>
      </c>
    </row>
    <row r="106" spans="2:4">
      <c r="B106" s="335"/>
      <c r="D106" s="17" t="s">
        <v>813</v>
      </c>
    </row>
    <row r="107" spans="2:4">
      <c r="B107" s="336"/>
      <c r="D107" s="17" t="s">
        <v>814</v>
      </c>
    </row>
  </sheetData>
  <mergeCells count="8">
    <mergeCell ref="B81:B95"/>
    <mergeCell ref="B99:B107"/>
    <mergeCell ref="B54:B73"/>
    <mergeCell ref="B2:B7"/>
    <mergeCell ref="B10:B11"/>
    <mergeCell ref="B14:B19"/>
    <mergeCell ref="B22:B27"/>
    <mergeCell ref="B31:B5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356D-DFB7-433F-9D24-01C8B07BE6D7}">
  <dimension ref="A1:S181"/>
  <sheetViews>
    <sheetView topLeftCell="E15" workbookViewId="0">
      <selection activeCell="K24" sqref="K24:S31"/>
    </sheetView>
  </sheetViews>
  <sheetFormatPr defaultColWidth="9.140625" defaultRowHeight="14.25"/>
  <cols>
    <col min="1" max="1" width="18.140625" bestFit="1" customWidth="1"/>
    <col min="2" max="3" width="29.5703125" bestFit="1" customWidth="1"/>
    <col min="4" max="4" width="17.42578125" bestFit="1" customWidth="1"/>
    <col min="5" max="5" width="34.42578125" bestFit="1" customWidth="1"/>
    <col min="7" max="8" width="9.85546875" bestFit="1" customWidth="1"/>
    <col min="11" max="11" width="11" customWidth="1"/>
    <col min="15" max="15" width="12.42578125" customWidth="1"/>
  </cols>
  <sheetData>
    <row r="1" spans="1:15" ht="15" thickBot="1">
      <c r="A1" s="183"/>
      <c r="B1" s="184" t="s">
        <v>296</v>
      </c>
      <c r="C1" s="184" t="s">
        <v>538</v>
      </c>
      <c r="D1" s="185"/>
      <c r="E1" s="186" t="s">
        <v>2299</v>
      </c>
      <c r="F1" s="186" t="s">
        <v>2300</v>
      </c>
      <c r="G1" s="186" t="s">
        <v>2301</v>
      </c>
      <c r="H1" s="187"/>
    </row>
    <row r="2" spans="1:15" ht="17.649999999999999" thickBot="1">
      <c r="A2" s="188"/>
      <c r="B2" s="339" t="s">
        <v>1199</v>
      </c>
      <c r="C2" s="185" t="s">
        <v>2302</v>
      </c>
      <c r="D2" s="185" t="s">
        <v>2148</v>
      </c>
      <c r="E2" s="189" t="s">
        <v>547</v>
      </c>
      <c r="F2" s="185" t="s">
        <v>552</v>
      </c>
      <c r="G2" s="186"/>
      <c r="H2" s="190"/>
      <c r="I2" s="190"/>
      <c r="K2" s="194" t="s">
        <v>2303</v>
      </c>
      <c r="L2" s="194" t="s">
        <v>2304</v>
      </c>
      <c r="M2" s="194" t="s">
        <v>2305</v>
      </c>
      <c r="N2" s="194" t="s">
        <v>2306</v>
      </c>
      <c r="O2" s="194" t="s">
        <v>2307</v>
      </c>
    </row>
    <row r="3" spans="1:15" ht="15" thickBot="1">
      <c r="B3" s="340"/>
      <c r="C3" s="185" t="s">
        <v>2308</v>
      </c>
      <c r="D3" s="185" t="s">
        <v>2148</v>
      </c>
      <c r="E3" s="189" t="s">
        <v>547</v>
      </c>
      <c r="F3" s="185" t="s">
        <v>552</v>
      </c>
      <c r="G3" s="186"/>
      <c r="H3" s="187"/>
      <c r="I3" s="187"/>
      <c r="K3" s="195" t="s">
        <v>2309</v>
      </c>
      <c r="L3" s="196">
        <v>2.1</v>
      </c>
      <c r="M3" s="196">
        <v>1.4</v>
      </c>
      <c r="N3" s="196">
        <v>0</v>
      </c>
      <c r="O3" s="197" t="s">
        <v>1191</v>
      </c>
    </row>
    <row r="4" spans="1:15" ht="15" thickBot="1">
      <c r="B4" s="340"/>
      <c r="C4" s="185" t="s">
        <v>2310</v>
      </c>
      <c r="D4" s="185" t="s">
        <v>2148</v>
      </c>
      <c r="E4" s="189" t="s">
        <v>547</v>
      </c>
      <c r="F4" s="185" t="s">
        <v>552</v>
      </c>
      <c r="G4" s="186"/>
      <c r="H4" s="187"/>
      <c r="I4" s="187"/>
      <c r="K4" s="195" t="s">
        <v>2309</v>
      </c>
      <c r="L4" s="198">
        <v>2.2000000000000002</v>
      </c>
      <c r="M4" s="198">
        <v>1.5</v>
      </c>
      <c r="N4" s="198">
        <v>0</v>
      </c>
      <c r="O4" s="197" t="s">
        <v>2311</v>
      </c>
    </row>
    <row r="5" spans="1:15" ht="15" thickBot="1">
      <c r="B5" s="340"/>
      <c r="C5" s="185" t="s">
        <v>2312</v>
      </c>
      <c r="D5" s="185" t="s">
        <v>2148</v>
      </c>
      <c r="E5" s="189" t="s">
        <v>547</v>
      </c>
      <c r="F5" s="185" t="s">
        <v>1333</v>
      </c>
      <c r="G5" s="186"/>
      <c r="H5" s="187"/>
      <c r="I5" s="187"/>
      <c r="K5" s="195" t="s">
        <v>2309</v>
      </c>
      <c r="L5" s="199">
        <v>3.63</v>
      </c>
      <c r="M5" s="199">
        <v>2.93</v>
      </c>
      <c r="N5" s="199">
        <v>1.43</v>
      </c>
      <c r="O5" s="197" t="s">
        <v>2313</v>
      </c>
    </row>
    <row r="6" spans="1:15" ht="15" thickBot="1">
      <c r="B6" s="340"/>
      <c r="C6" s="185" t="s">
        <v>2314</v>
      </c>
      <c r="D6" s="185" t="s">
        <v>2148</v>
      </c>
      <c r="E6" s="189" t="s">
        <v>547</v>
      </c>
      <c r="F6" s="185" t="s">
        <v>1333</v>
      </c>
      <c r="G6" s="186"/>
      <c r="H6" s="187"/>
      <c r="I6" s="187"/>
      <c r="K6" s="195" t="s">
        <v>2315</v>
      </c>
      <c r="L6" s="200">
        <v>-1.8</v>
      </c>
      <c r="M6" s="200">
        <v>-1.7</v>
      </c>
      <c r="N6" s="200">
        <v>0</v>
      </c>
      <c r="O6" s="197" t="s">
        <v>1191</v>
      </c>
    </row>
    <row r="7" spans="1:15" ht="15" thickBot="1">
      <c r="B7" s="340"/>
      <c r="C7" s="185" t="s">
        <v>2316</v>
      </c>
      <c r="D7" s="185" t="s">
        <v>2148</v>
      </c>
      <c r="E7" s="189" t="s">
        <v>547</v>
      </c>
      <c r="F7" s="185" t="s">
        <v>1333</v>
      </c>
      <c r="G7" s="186"/>
      <c r="H7" s="187"/>
      <c r="I7" s="187"/>
      <c r="K7" s="195" t="s">
        <v>2315</v>
      </c>
      <c r="L7" s="201">
        <v>-2</v>
      </c>
      <c r="M7" s="201">
        <v>-1.9</v>
      </c>
      <c r="N7" s="201">
        <v>0</v>
      </c>
      <c r="O7" s="197" t="s">
        <v>2311</v>
      </c>
    </row>
    <row r="8" spans="1:15" ht="15" thickBot="1">
      <c r="B8" s="340"/>
      <c r="C8" s="185" t="s">
        <v>2317</v>
      </c>
      <c r="D8" s="185" t="s">
        <v>2148</v>
      </c>
      <c r="E8" s="189" t="s">
        <v>552</v>
      </c>
      <c r="F8" s="185" t="s">
        <v>552</v>
      </c>
      <c r="G8" s="186"/>
      <c r="H8" s="187"/>
      <c r="I8" s="187"/>
      <c r="K8" s="195" t="s">
        <v>2315</v>
      </c>
      <c r="L8" s="202">
        <v>-3.63</v>
      </c>
      <c r="M8" s="202">
        <v>-3.53</v>
      </c>
      <c r="N8" s="202">
        <v>-1.63</v>
      </c>
      <c r="O8" s="197" t="s">
        <v>2313</v>
      </c>
    </row>
    <row r="9" spans="1:15">
      <c r="B9" s="340"/>
      <c r="C9" s="185" t="s">
        <v>2318</v>
      </c>
      <c r="D9" s="185" t="s">
        <v>1522</v>
      </c>
      <c r="E9" s="189" t="s">
        <v>547</v>
      </c>
      <c r="F9" s="185" t="s">
        <v>552</v>
      </c>
      <c r="G9" s="186"/>
      <c r="H9" s="190"/>
      <c r="I9" s="190"/>
    </row>
    <row r="10" spans="1:15">
      <c r="B10" s="340"/>
      <c r="C10" s="185" t="s">
        <v>2319</v>
      </c>
      <c r="D10" s="185" t="s">
        <v>1522</v>
      </c>
      <c r="E10" s="189" t="s">
        <v>547</v>
      </c>
      <c r="F10" s="185" t="s">
        <v>552</v>
      </c>
      <c r="G10" s="186"/>
      <c r="H10" s="187"/>
      <c r="I10" s="187"/>
    </row>
    <row r="11" spans="1:15">
      <c r="B11" s="340"/>
      <c r="C11" s="185" t="s">
        <v>2320</v>
      </c>
      <c r="D11" s="185" t="s">
        <v>1522</v>
      </c>
      <c r="E11" s="189" t="s">
        <v>547</v>
      </c>
      <c r="F11" s="185" t="s">
        <v>1333</v>
      </c>
      <c r="G11" s="186"/>
      <c r="H11" s="187"/>
      <c r="I11" s="187"/>
    </row>
    <row r="12" spans="1:15">
      <c r="B12" s="340"/>
      <c r="C12" s="185" t="s">
        <v>2321</v>
      </c>
      <c r="D12" s="185" t="s">
        <v>1522</v>
      </c>
      <c r="E12" s="189" t="s">
        <v>547</v>
      </c>
      <c r="F12" s="185" t="s">
        <v>1333</v>
      </c>
      <c r="G12" s="186"/>
      <c r="H12" s="187"/>
      <c r="I12" s="187"/>
      <c r="L12" s="338" t="s">
        <v>1197</v>
      </c>
      <c r="M12" s="338"/>
      <c r="N12" s="338" t="s">
        <v>1199</v>
      </c>
      <c r="O12" s="338"/>
    </row>
    <row r="13" spans="1:15">
      <c r="B13" s="340"/>
      <c r="C13" s="185" t="s">
        <v>2322</v>
      </c>
      <c r="D13" s="185" t="s">
        <v>1522</v>
      </c>
      <c r="E13" s="189" t="s">
        <v>547</v>
      </c>
      <c r="F13" s="185" t="s">
        <v>1333</v>
      </c>
      <c r="G13" s="186"/>
      <c r="H13" s="187"/>
      <c r="I13" s="187"/>
      <c r="L13" s="17" t="s">
        <v>2309</v>
      </c>
      <c r="M13" s="17" t="s">
        <v>2315</v>
      </c>
      <c r="N13" s="17" t="s">
        <v>2309</v>
      </c>
      <c r="O13" s="17" t="s">
        <v>2315</v>
      </c>
    </row>
    <row r="14" spans="1:15">
      <c r="B14" s="340"/>
      <c r="C14" s="185" t="s">
        <v>2323</v>
      </c>
      <c r="D14" s="185" t="s">
        <v>1522</v>
      </c>
      <c r="E14" s="189" t="s">
        <v>547</v>
      </c>
      <c r="F14" s="185" t="s">
        <v>552</v>
      </c>
      <c r="G14" s="186"/>
      <c r="H14" s="187"/>
      <c r="I14" s="187"/>
      <c r="K14" s="17" t="s">
        <v>2324</v>
      </c>
      <c r="L14" s="17">
        <v>1.2</v>
      </c>
      <c r="M14" s="17">
        <v>-1.2</v>
      </c>
      <c r="N14" s="17">
        <v>1.9</v>
      </c>
      <c r="O14" s="17">
        <v>-2.4</v>
      </c>
    </row>
    <row r="15" spans="1:15">
      <c r="B15" s="340"/>
      <c r="C15" s="185" t="s">
        <v>2325</v>
      </c>
      <c r="D15" s="185" t="s">
        <v>1522</v>
      </c>
      <c r="E15" s="189" t="s">
        <v>552</v>
      </c>
      <c r="F15" s="185" t="s">
        <v>547</v>
      </c>
      <c r="G15" s="186"/>
      <c r="H15" s="187"/>
      <c r="I15" s="187"/>
      <c r="K15" s="17" t="s">
        <v>2326</v>
      </c>
      <c r="L15" s="17">
        <v>1.3</v>
      </c>
      <c r="M15" s="17">
        <v>-1.3</v>
      </c>
      <c r="N15" s="17">
        <v>0</v>
      </c>
      <c r="O15" s="17">
        <v>0</v>
      </c>
    </row>
    <row r="16" spans="1:15">
      <c r="B16" s="340"/>
      <c r="C16" s="185" t="s">
        <v>2327</v>
      </c>
      <c r="D16" s="185" t="s">
        <v>543</v>
      </c>
      <c r="E16" s="189" t="s">
        <v>2328</v>
      </c>
      <c r="F16" s="185" t="s">
        <v>545</v>
      </c>
      <c r="G16" s="186"/>
      <c r="H16" s="187"/>
      <c r="I16" s="187"/>
      <c r="K16" s="17" t="s">
        <v>2329</v>
      </c>
      <c r="L16" s="17">
        <v>0</v>
      </c>
      <c r="M16" s="17">
        <v>0</v>
      </c>
      <c r="N16" s="17">
        <v>0</v>
      </c>
      <c r="O16" s="17">
        <v>0</v>
      </c>
    </row>
    <row r="17" spans="2:19">
      <c r="B17" s="340"/>
      <c r="C17" s="185" t="s">
        <v>2330</v>
      </c>
      <c r="D17" s="185" t="s">
        <v>558</v>
      </c>
      <c r="E17" s="189" t="s">
        <v>2328</v>
      </c>
      <c r="F17" s="185" t="s">
        <v>545</v>
      </c>
      <c r="G17" s="186"/>
      <c r="H17" s="187"/>
      <c r="I17" s="187"/>
    </row>
    <row r="18" spans="2:19">
      <c r="B18" s="340"/>
      <c r="C18" s="185" t="s">
        <v>2331</v>
      </c>
      <c r="D18" s="185"/>
      <c r="E18" s="189"/>
      <c r="F18" s="185" t="s">
        <v>545</v>
      </c>
      <c r="G18" s="186"/>
      <c r="H18" s="187"/>
      <c r="I18" s="187"/>
    </row>
    <row r="19" spans="2:19">
      <c r="B19" s="340"/>
      <c r="C19" s="185" t="s">
        <v>2332</v>
      </c>
      <c r="D19" s="185"/>
      <c r="E19" s="189"/>
      <c r="F19" s="185" t="s">
        <v>545</v>
      </c>
      <c r="G19" s="186"/>
      <c r="H19" s="187"/>
      <c r="I19" s="187"/>
      <c r="L19" s="322"/>
      <c r="M19" s="324"/>
      <c r="N19" s="322"/>
      <c r="O19" s="324"/>
    </row>
    <row r="20" spans="2:19">
      <c r="B20" s="340"/>
      <c r="C20" s="185" t="s">
        <v>2333</v>
      </c>
      <c r="D20" s="185" t="s">
        <v>569</v>
      </c>
      <c r="E20" s="189" t="s">
        <v>2328</v>
      </c>
      <c r="F20" s="185" t="s">
        <v>545</v>
      </c>
      <c r="G20" s="186"/>
      <c r="H20" s="187"/>
      <c r="I20" s="187"/>
      <c r="L20" s="17"/>
      <c r="M20" s="17"/>
      <c r="N20" s="17"/>
      <c r="O20" s="17"/>
    </row>
    <row r="21" spans="2:19">
      <c r="B21" s="340"/>
      <c r="C21" s="185" t="s">
        <v>2334</v>
      </c>
      <c r="D21" s="185" t="s">
        <v>1522</v>
      </c>
      <c r="E21" s="189"/>
      <c r="F21" s="185" t="s">
        <v>545</v>
      </c>
      <c r="G21" s="186"/>
      <c r="H21" s="187"/>
      <c r="I21" s="187"/>
      <c r="K21" s="17"/>
      <c r="L21" s="17"/>
      <c r="M21" s="17"/>
      <c r="N21" s="17"/>
      <c r="O21" s="17"/>
    </row>
    <row r="22" spans="2:19">
      <c r="B22" s="340"/>
      <c r="C22" s="185" t="s">
        <v>2335</v>
      </c>
      <c r="D22" s="185" t="s">
        <v>569</v>
      </c>
      <c r="E22" s="189"/>
      <c r="F22" s="185" t="s">
        <v>545</v>
      </c>
      <c r="G22" s="186"/>
      <c r="H22" s="187"/>
      <c r="I22" s="187"/>
      <c r="K22" s="17"/>
      <c r="L22" s="17"/>
      <c r="M22" s="17"/>
      <c r="N22" s="17"/>
      <c r="O22" s="17"/>
    </row>
    <row r="23" spans="2:19">
      <c r="B23" s="340"/>
      <c r="C23" s="185" t="s">
        <v>2336</v>
      </c>
      <c r="D23" s="185" t="s">
        <v>632</v>
      </c>
      <c r="E23" s="189"/>
      <c r="F23" s="185" t="s">
        <v>545</v>
      </c>
      <c r="G23" s="186"/>
      <c r="H23" s="187"/>
      <c r="I23" s="187"/>
      <c r="K23" s="17"/>
      <c r="L23" s="17"/>
      <c r="M23" s="17"/>
      <c r="N23" s="17"/>
      <c r="O23" s="17"/>
    </row>
    <row r="24" spans="2:19">
      <c r="B24" s="340"/>
      <c r="C24" s="185" t="s">
        <v>2337</v>
      </c>
      <c r="D24" s="185" t="s">
        <v>543</v>
      </c>
      <c r="E24" s="189" t="s">
        <v>2338</v>
      </c>
      <c r="F24" s="185" t="s">
        <v>545</v>
      </c>
      <c r="G24" s="186"/>
      <c r="H24" s="187"/>
      <c r="I24" s="187"/>
      <c r="L24" t="s">
        <v>2339</v>
      </c>
    </row>
    <row r="25" spans="2:19">
      <c r="B25" s="340"/>
      <c r="C25" s="185" t="s">
        <v>2340</v>
      </c>
      <c r="D25" s="185" t="s">
        <v>737</v>
      </c>
      <c r="E25" s="189"/>
      <c r="F25" s="185" t="s">
        <v>545</v>
      </c>
      <c r="G25" s="186"/>
      <c r="H25" s="187"/>
      <c r="I25" s="187"/>
    </row>
    <row r="26" spans="2:19">
      <c r="B26" s="340"/>
      <c r="C26" s="185" t="s">
        <v>2341</v>
      </c>
      <c r="D26" s="185" t="s">
        <v>737</v>
      </c>
      <c r="E26" s="189"/>
      <c r="F26" s="185" t="s">
        <v>545</v>
      </c>
      <c r="G26" s="186"/>
      <c r="H26" s="187"/>
      <c r="I26" s="187"/>
      <c r="L26" s="338" t="s">
        <v>1197</v>
      </c>
      <c r="M26" s="338"/>
      <c r="N26" s="338"/>
      <c r="O26" s="338"/>
      <c r="P26" s="338"/>
      <c r="Q26" s="338"/>
      <c r="R26" s="338" t="s">
        <v>1199</v>
      </c>
      <c r="S26" s="338"/>
    </row>
    <row r="27" spans="2:19">
      <c r="B27" s="340"/>
      <c r="C27" s="185" t="s">
        <v>2342</v>
      </c>
      <c r="D27" s="185" t="s">
        <v>737</v>
      </c>
      <c r="E27" s="189"/>
      <c r="F27" s="185" t="s">
        <v>545</v>
      </c>
      <c r="G27" s="186"/>
      <c r="H27" s="187"/>
      <c r="I27" s="187"/>
      <c r="L27" s="338" t="s">
        <v>2343</v>
      </c>
      <c r="M27" s="338"/>
      <c r="N27" s="338" t="s">
        <v>2344</v>
      </c>
      <c r="O27" s="338"/>
      <c r="P27" s="338" t="s">
        <v>2345</v>
      </c>
      <c r="Q27" s="338"/>
      <c r="R27" s="17"/>
      <c r="S27" s="17"/>
    </row>
    <row r="28" spans="2:19">
      <c r="B28" s="340"/>
      <c r="C28" s="185" t="s">
        <v>2346</v>
      </c>
      <c r="D28" s="185" t="s">
        <v>1522</v>
      </c>
      <c r="E28" s="189"/>
      <c r="F28" s="185" t="s">
        <v>545</v>
      </c>
      <c r="G28" s="186"/>
      <c r="H28" s="187"/>
      <c r="I28" s="187"/>
      <c r="L28" s="17" t="s">
        <v>2309</v>
      </c>
      <c r="M28" s="17" t="s">
        <v>2315</v>
      </c>
      <c r="N28" s="17" t="s">
        <v>2309</v>
      </c>
      <c r="O28" s="17" t="s">
        <v>2315</v>
      </c>
      <c r="P28" s="17" t="s">
        <v>2309</v>
      </c>
      <c r="Q28" s="17" t="s">
        <v>2315</v>
      </c>
      <c r="R28" s="17" t="s">
        <v>2309</v>
      </c>
      <c r="S28" s="17" t="s">
        <v>2315</v>
      </c>
    </row>
    <row r="29" spans="2:19">
      <c r="B29" s="340"/>
      <c r="C29" s="185" t="s">
        <v>2347</v>
      </c>
      <c r="D29" s="185" t="s">
        <v>1522</v>
      </c>
      <c r="E29" s="189"/>
      <c r="F29" s="185" t="s">
        <v>545</v>
      </c>
      <c r="G29" s="186"/>
      <c r="H29" s="187"/>
      <c r="I29" s="187"/>
      <c r="K29" s="123" t="s">
        <v>2324</v>
      </c>
      <c r="L29" s="239">
        <v>1.2</v>
      </c>
      <c r="M29" s="152">
        <v>-1.1000000000000001</v>
      </c>
      <c r="N29" s="239">
        <v>1.2</v>
      </c>
      <c r="O29" s="239">
        <v>-1.2</v>
      </c>
      <c r="P29" s="239">
        <v>1.2</v>
      </c>
      <c r="Q29" s="239">
        <v>-1.2</v>
      </c>
      <c r="R29" s="17">
        <v>1.9</v>
      </c>
      <c r="S29" s="17">
        <v>-2.4</v>
      </c>
    </row>
    <row r="30" spans="2:19">
      <c r="B30" s="340"/>
      <c r="C30" s="185" t="s">
        <v>2348</v>
      </c>
      <c r="D30" s="185" t="s">
        <v>543</v>
      </c>
      <c r="E30" s="189" t="s">
        <v>2328</v>
      </c>
      <c r="F30" s="185" t="s">
        <v>552</v>
      </c>
      <c r="G30" s="186"/>
      <c r="H30" s="187"/>
      <c r="I30" s="187"/>
      <c r="K30" s="123" t="s">
        <v>2326</v>
      </c>
      <c r="L30" s="239">
        <v>1.3</v>
      </c>
      <c r="M30" s="152">
        <v>-1.2</v>
      </c>
      <c r="N30" s="152">
        <v>1.4</v>
      </c>
      <c r="O30" s="152">
        <v>-1.1000000000000001</v>
      </c>
      <c r="P30" s="239">
        <v>1.3</v>
      </c>
      <c r="Q30" s="239">
        <v>-1.3</v>
      </c>
      <c r="R30" s="17">
        <v>0</v>
      </c>
      <c r="S30" s="17">
        <v>0</v>
      </c>
    </row>
    <row r="31" spans="2:19">
      <c r="B31" s="340"/>
      <c r="C31" s="185" t="s">
        <v>2349</v>
      </c>
      <c r="D31" s="185" t="s">
        <v>558</v>
      </c>
      <c r="E31" s="189" t="s">
        <v>2328</v>
      </c>
      <c r="F31" s="185" t="s">
        <v>552</v>
      </c>
      <c r="G31" s="186"/>
      <c r="H31" s="187"/>
      <c r="I31" s="187"/>
      <c r="K31" s="123" t="s">
        <v>2329</v>
      </c>
      <c r="L31" s="239">
        <v>0</v>
      </c>
      <c r="M31" s="239">
        <v>0</v>
      </c>
      <c r="N31" s="239">
        <v>0</v>
      </c>
      <c r="O31" s="239">
        <v>0</v>
      </c>
      <c r="P31" s="239">
        <v>0</v>
      </c>
      <c r="Q31" s="239">
        <v>0</v>
      </c>
      <c r="R31" s="17">
        <v>0</v>
      </c>
      <c r="S31" s="17">
        <v>0</v>
      </c>
    </row>
    <row r="32" spans="2:19">
      <c r="B32" s="340"/>
      <c r="C32" s="185" t="s">
        <v>2350</v>
      </c>
      <c r="D32" s="185" t="s">
        <v>558</v>
      </c>
      <c r="E32" s="189" t="s">
        <v>2328</v>
      </c>
      <c r="F32" s="185" t="s">
        <v>552</v>
      </c>
      <c r="G32" s="186"/>
      <c r="H32" s="187"/>
      <c r="I32" s="187"/>
    </row>
    <row r="33" spans="2:15">
      <c r="B33" s="340"/>
      <c r="C33" s="185" t="s">
        <v>2351</v>
      </c>
      <c r="D33" s="185" t="s">
        <v>558</v>
      </c>
      <c r="E33" s="189" t="s">
        <v>2328</v>
      </c>
      <c r="F33" s="185" t="s">
        <v>552</v>
      </c>
      <c r="G33" s="186"/>
      <c r="H33" s="187"/>
      <c r="I33" s="187"/>
    </row>
    <row r="34" spans="2:15">
      <c r="B34" s="340"/>
      <c r="C34" s="185" t="s">
        <v>2352</v>
      </c>
      <c r="D34" s="185" t="s">
        <v>569</v>
      </c>
      <c r="E34" s="189" t="s">
        <v>2328</v>
      </c>
      <c r="F34" s="185" t="s">
        <v>552</v>
      </c>
      <c r="G34" s="186"/>
      <c r="H34" s="187"/>
      <c r="I34" s="187"/>
      <c r="L34" t="s">
        <v>2353</v>
      </c>
    </row>
    <row r="35" spans="2:15">
      <c r="B35" s="340"/>
      <c r="C35" s="185" t="s">
        <v>2354</v>
      </c>
      <c r="D35" s="185" t="s">
        <v>2355</v>
      </c>
      <c r="E35" s="189"/>
      <c r="F35" s="185" t="s">
        <v>552</v>
      </c>
      <c r="G35" s="186"/>
      <c r="H35" s="187"/>
      <c r="I35" s="187"/>
    </row>
    <row r="36" spans="2:15">
      <c r="B36" s="340"/>
      <c r="C36" s="185" t="s">
        <v>2356</v>
      </c>
      <c r="D36" s="185" t="s">
        <v>2148</v>
      </c>
      <c r="E36" s="189" t="s">
        <v>2357</v>
      </c>
      <c r="F36" s="185" t="s">
        <v>547</v>
      </c>
      <c r="G36" s="186"/>
      <c r="H36" s="187"/>
      <c r="I36" s="187"/>
      <c r="L36" s="338" t="s">
        <v>1197</v>
      </c>
      <c r="M36" s="338"/>
      <c r="N36" s="338" t="s">
        <v>1199</v>
      </c>
      <c r="O36" s="338"/>
    </row>
    <row r="37" spans="2:15">
      <c r="B37" s="340"/>
      <c r="C37" s="185" t="s">
        <v>2358</v>
      </c>
      <c r="D37" s="185" t="s">
        <v>1522</v>
      </c>
      <c r="E37" s="189"/>
      <c r="F37" s="185"/>
      <c r="G37" s="186"/>
      <c r="H37" s="187"/>
      <c r="I37" s="187"/>
      <c r="L37" s="17" t="s">
        <v>2309</v>
      </c>
      <c r="M37" s="17" t="s">
        <v>2315</v>
      </c>
      <c r="N37" s="17" t="s">
        <v>2309</v>
      </c>
      <c r="O37" s="17" t="s">
        <v>2315</v>
      </c>
    </row>
    <row r="38" spans="2:15">
      <c r="B38" s="340"/>
      <c r="C38" s="185" t="s">
        <v>2359</v>
      </c>
      <c r="D38" s="185" t="s">
        <v>2148</v>
      </c>
      <c r="E38" s="189" t="s">
        <v>547</v>
      </c>
      <c r="F38" s="185" t="s">
        <v>552</v>
      </c>
      <c r="G38" s="186"/>
      <c r="H38" s="187"/>
      <c r="I38" s="187"/>
      <c r="K38" s="123" t="s">
        <v>2324</v>
      </c>
      <c r="L38" s="17">
        <v>1.2</v>
      </c>
      <c r="M38" s="17">
        <v>-1.2</v>
      </c>
      <c r="N38" s="17">
        <v>2.4</v>
      </c>
      <c r="O38" s="17">
        <v>-2.4</v>
      </c>
    </row>
    <row r="39" spans="2:15">
      <c r="B39" s="340"/>
      <c r="C39" s="185" t="s">
        <v>2360</v>
      </c>
      <c r="D39" s="185" t="s">
        <v>2148</v>
      </c>
      <c r="E39" s="189" t="s">
        <v>547</v>
      </c>
      <c r="F39" s="185" t="s">
        <v>552</v>
      </c>
      <c r="G39" s="186"/>
      <c r="H39" s="187"/>
      <c r="I39" s="187"/>
      <c r="K39" s="123" t="s">
        <v>2326</v>
      </c>
      <c r="L39" s="17">
        <v>1.3</v>
      </c>
      <c r="M39" s="17">
        <v>-1.3</v>
      </c>
      <c r="N39" s="17">
        <v>0</v>
      </c>
      <c r="O39" s="17">
        <v>0</v>
      </c>
    </row>
    <row r="40" spans="2:15">
      <c r="B40" s="340"/>
      <c r="C40" s="185" t="s">
        <v>2361</v>
      </c>
      <c r="D40" s="185" t="s">
        <v>2148</v>
      </c>
      <c r="E40" s="189" t="s">
        <v>547</v>
      </c>
      <c r="F40" s="185" t="s">
        <v>552</v>
      </c>
      <c r="G40" s="186"/>
      <c r="H40" s="187"/>
      <c r="I40" s="187"/>
      <c r="K40" s="123" t="s">
        <v>2329</v>
      </c>
      <c r="L40" s="17">
        <v>0</v>
      </c>
      <c r="M40" s="17">
        <v>0</v>
      </c>
      <c r="N40" s="17">
        <v>0</v>
      </c>
      <c r="O40" s="17">
        <v>0</v>
      </c>
    </row>
    <row r="41" spans="2:15">
      <c r="B41" s="340"/>
      <c r="C41" s="185" t="s">
        <v>2362</v>
      </c>
      <c r="D41" s="185" t="s">
        <v>2148</v>
      </c>
      <c r="E41" s="189" t="s">
        <v>547</v>
      </c>
      <c r="F41" s="185" t="s">
        <v>1333</v>
      </c>
      <c r="G41" s="186"/>
      <c r="H41" s="187"/>
      <c r="I41" s="187"/>
    </row>
    <row r="42" spans="2:15">
      <c r="B42" s="340"/>
      <c r="C42" s="185" t="s">
        <v>2363</v>
      </c>
      <c r="D42" s="185" t="s">
        <v>2148</v>
      </c>
      <c r="E42" s="189" t="s">
        <v>547</v>
      </c>
      <c r="F42" s="185" t="s">
        <v>1333</v>
      </c>
      <c r="G42" s="186"/>
      <c r="H42" s="187"/>
      <c r="I42" s="187"/>
    </row>
    <row r="43" spans="2:15">
      <c r="B43" s="340"/>
      <c r="C43" s="185" t="s">
        <v>2364</v>
      </c>
      <c r="D43" s="185" t="s">
        <v>2148</v>
      </c>
      <c r="E43" s="189" t="s">
        <v>547</v>
      </c>
      <c r="F43" s="185" t="s">
        <v>1333</v>
      </c>
      <c r="G43" s="186"/>
      <c r="H43" s="187"/>
      <c r="I43" s="187"/>
    </row>
    <row r="44" spans="2:15">
      <c r="B44" s="340"/>
      <c r="C44" s="185" t="s">
        <v>2365</v>
      </c>
      <c r="D44" s="185" t="s">
        <v>2148</v>
      </c>
      <c r="E44" s="189" t="s">
        <v>552</v>
      </c>
      <c r="F44" s="185" t="s">
        <v>552</v>
      </c>
      <c r="G44" s="186"/>
      <c r="H44" s="187"/>
      <c r="I44" s="187"/>
    </row>
    <row r="45" spans="2:15">
      <c r="B45" s="340"/>
      <c r="C45" s="185" t="s">
        <v>2366</v>
      </c>
      <c r="D45" s="185" t="s">
        <v>1522</v>
      </c>
      <c r="E45" s="189" t="s">
        <v>547</v>
      </c>
      <c r="F45" s="185" t="s">
        <v>552</v>
      </c>
      <c r="G45" s="186"/>
      <c r="H45" s="187"/>
      <c r="I45" s="187"/>
    </row>
    <row r="46" spans="2:15">
      <c r="B46" s="340"/>
      <c r="C46" s="185" t="s">
        <v>2367</v>
      </c>
      <c r="D46" s="185" t="s">
        <v>1522</v>
      </c>
      <c r="E46" s="189" t="s">
        <v>547</v>
      </c>
      <c r="F46" s="185" t="s">
        <v>552</v>
      </c>
      <c r="G46" s="186"/>
      <c r="H46" s="187"/>
      <c r="I46" s="187"/>
    </row>
    <row r="47" spans="2:15">
      <c r="B47" s="340"/>
      <c r="C47" s="185" t="s">
        <v>2368</v>
      </c>
      <c r="D47" s="185" t="s">
        <v>1522</v>
      </c>
      <c r="E47" s="189" t="s">
        <v>547</v>
      </c>
      <c r="F47" s="185" t="s">
        <v>1333</v>
      </c>
      <c r="G47" s="186"/>
      <c r="H47" s="187"/>
      <c r="I47" s="187"/>
    </row>
    <row r="48" spans="2:15">
      <c r="B48" s="340"/>
      <c r="C48" s="185" t="s">
        <v>2369</v>
      </c>
      <c r="D48" s="185" t="s">
        <v>1522</v>
      </c>
      <c r="E48" s="189" t="s">
        <v>547</v>
      </c>
      <c r="F48" s="185" t="s">
        <v>1333</v>
      </c>
      <c r="G48" s="186"/>
      <c r="H48" s="187"/>
      <c r="I48" s="187"/>
    </row>
    <row r="49" spans="2:9">
      <c r="B49" s="340"/>
      <c r="C49" s="185" t="s">
        <v>2370</v>
      </c>
      <c r="D49" s="185" t="s">
        <v>1522</v>
      </c>
      <c r="E49" s="189" t="s">
        <v>547</v>
      </c>
      <c r="F49" s="185" t="s">
        <v>1333</v>
      </c>
      <c r="G49" s="186"/>
      <c r="H49" s="187"/>
      <c r="I49" s="187"/>
    </row>
    <row r="50" spans="2:9">
      <c r="B50" s="340"/>
      <c r="C50" s="185" t="s">
        <v>2371</v>
      </c>
      <c r="D50" s="185" t="s">
        <v>1522</v>
      </c>
      <c r="E50" s="189" t="s">
        <v>547</v>
      </c>
      <c r="F50" s="185" t="s">
        <v>552</v>
      </c>
      <c r="G50" s="186"/>
      <c r="H50" s="187"/>
      <c r="I50" s="187"/>
    </row>
    <row r="51" spans="2:9">
      <c r="B51" s="340"/>
      <c r="C51" s="185" t="s">
        <v>2372</v>
      </c>
      <c r="D51" s="185" t="s">
        <v>1522</v>
      </c>
      <c r="E51" s="189" t="s">
        <v>552</v>
      </c>
      <c r="F51" s="185" t="s">
        <v>547</v>
      </c>
      <c r="G51" s="186"/>
      <c r="H51" s="187"/>
      <c r="I51" s="187"/>
    </row>
    <row r="52" spans="2:9">
      <c r="B52" s="340"/>
      <c r="C52" s="185" t="s">
        <v>2373</v>
      </c>
      <c r="D52" s="185" t="s">
        <v>543</v>
      </c>
      <c r="E52" s="189" t="s">
        <v>2328</v>
      </c>
      <c r="F52" s="185" t="s">
        <v>545</v>
      </c>
      <c r="G52" s="186"/>
      <c r="H52" s="191"/>
      <c r="I52" s="191"/>
    </row>
    <row r="53" spans="2:9">
      <c r="B53" s="340"/>
      <c r="C53" s="185" t="s">
        <v>2374</v>
      </c>
      <c r="D53" s="185" t="s">
        <v>558</v>
      </c>
      <c r="E53" s="189" t="s">
        <v>2328</v>
      </c>
      <c r="F53" s="185" t="s">
        <v>545</v>
      </c>
      <c r="G53" s="17"/>
    </row>
    <row r="54" spans="2:9">
      <c r="B54" s="340"/>
      <c r="C54" s="185" t="s">
        <v>2375</v>
      </c>
      <c r="D54" s="185"/>
      <c r="E54" s="189" t="s">
        <v>607</v>
      </c>
      <c r="F54" s="185" t="s">
        <v>545</v>
      </c>
      <c r="G54" s="17"/>
    </row>
    <row r="55" spans="2:9">
      <c r="B55" s="340"/>
      <c r="C55" s="185" t="s">
        <v>2376</v>
      </c>
      <c r="D55" s="185"/>
      <c r="E55" s="189" t="s">
        <v>609</v>
      </c>
      <c r="F55" s="185" t="s">
        <v>545</v>
      </c>
      <c r="G55" s="17"/>
    </row>
    <row r="56" spans="2:9">
      <c r="B56" s="340"/>
      <c r="C56" s="185" t="s">
        <v>2377</v>
      </c>
      <c r="D56" s="185" t="s">
        <v>569</v>
      </c>
      <c r="E56" s="189" t="s">
        <v>607</v>
      </c>
      <c r="F56" s="185" t="s">
        <v>545</v>
      </c>
      <c r="G56" s="17"/>
    </row>
    <row r="57" spans="2:9">
      <c r="B57" s="340"/>
      <c r="C57" s="185" t="s">
        <v>2378</v>
      </c>
      <c r="D57" s="185" t="s">
        <v>1522</v>
      </c>
      <c r="E57" s="189" t="s">
        <v>609</v>
      </c>
      <c r="F57" s="185" t="s">
        <v>545</v>
      </c>
      <c r="G57" s="17"/>
    </row>
    <row r="58" spans="2:9">
      <c r="B58" s="340"/>
      <c r="C58" s="185" t="s">
        <v>2379</v>
      </c>
      <c r="D58" s="185" t="s">
        <v>569</v>
      </c>
      <c r="E58" s="189" t="s">
        <v>611</v>
      </c>
      <c r="F58" s="185" t="s">
        <v>545</v>
      </c>
      <c r="G58" s="17"/>
    </row>
    <row r="59" spans="2:9">
      <c r="B59" s="340"/>
      <c r="C59" s="185" t="s">
        <v>2380</v>
      </c>
      <c r="D59" s="185" t="s">
        <v>632</v>
      </c>
      <c r="E59" s="189"/>
      <c r="F59" s="185" t="s">
        <v>545</v>
      </c>
      <c r="G59" s="17"/>
    </row>
    <row r="60" spans="2:9">
      <c r="B60" s="340"/>
      <c r="C60" s="185" t="s">
        <v>2337</v>
      </c>
      <c r="D60" s="185" t="s">
        <v>543</v>
      </c>
      <c r="E60" s="189" t="s">
        <v>2381</v>
      </c>
      <c r="F60" s="185" t="s">
        <v>545</v>
      </c>
      <c r="G60" s="17"/>
    </row>
    <row r="61" spans="2:9">
      <c r="B61" s="340"/>
      <c r="C61" s="185" t="s">
        <v>2382</v>
      </c>
      <c r="D61" s="185" t="s">
        <v>737</v>
      </c>
      <c r="E61" s="189"/>
      <c r="F61" s="185" t="s">
        <v>545</v>
      </c>
      <c r="G61" s="17"/>
    </row>
    <row r="62" spans="2:9">
      <c r="B62" s="340"/>
      <c r="C62" s="185" t="s">
        <v>2383</v>
      </c>
      <c r="D62" s="185" t="s">
        <v>737</v>
      </c>
      <c r="E62" s="189"/>
      <c r="F62" s="185" t="s">
        <v>545</v>
      </c>
      <c r="G62" s="17"/>
    </row>
    <row r="63" spans="2:9">
      <c r="B63" s="340"/>
      <c r="C63" s="185" t="s">
        <v>2384</v>
      </c>
      <c r="D63" s="185" t="s">
        <v>737</v>
      </c>
      <c r="E63" s="189"/>
      <c r="F63" s="185" t="s">
        <v>545</v>
      </c>
      <c r="G63" s="17"/>
    </row>
    <row r="64" spans="2:9">
      <c r="B64" s="340"/>
      <c r="C64" s="185" t="s">
        <v>2385</v>
      </c>
      <c r="D64" s="185" t="s">
        <v>1522</v>
      </c>
      <c r="E64" s="189"/>
      <c r="F64" s="185" t="s">
        <v>545</v>
      </c>
      <c r="G64" s="17"/>
    </row>
    <row r="65" spans="2:7">
      <c r="B65" s="340"/>
      <c r="C65" s="185" t="s">
        <v>2386</v>
      </c>
      <c r="D65" s="185" t="s">
        <v>1522</v>
      </c>
      <c r="E65" s="189"/>
      <c r="F65" s="185" t="s">
        <v>545</v>
      </c>
      <c r="G65" s="17"/>
    </row>
    <row r="66" spans="2:7">
      <c r="B66" s="340"/>
      <c r="C66" s="185" t="s">
        <v>2387</v>
      </c>
      <c r="D66" s="185" t="s">
        <v>543</v>
      </c>
      <c r="E66" s="189" t="s">
        <v>2328</v>
      </c>
      <c r="F66" s="185" t="s">
        <v>552</v>
      </c>
      <c r="G66" s="17"/>
    </row>
    <row r="67" spans="2:7">
      <c r="B67" s="340"/>
      <c r="C67" s="185" t="s">
        <v>2388</v>
      </c>
      <c r="D67" s="185" t="s">
        <v>558</v>
      </c>
      <c r="E67" s="189" t="s">
        <v>2328</v>
      </c>
      <c r="F67" s="185" t="s">
        <v>552</v>
      </c>
      <c r="G67" s="17"/>
    </row>
    <row r="68" spans="2:7">
      <c r="B68" s="340"/>
      <c r="C68" s="185" t="s">
        <v>2389</v>
      </c>
      <c r="D68" s="185" t="s">
        <v>558</v>
      </c>
      <c r="E68" s="189" t="s">
        <v>2328</v>
      </c>
      <c r="F68" s="185" t="s">
        <v>552</v>
      </c>
      <c r="G68" s="17"/>
    </row>
    <row r="69" spans="2:7">
      <c r="B69" s="340"/>
      <c r="C69" s="185" t="s">
        <v>2390</v>
      </c>
      <c r="D69" s="185" t="s">
        <v>558</v>
      </c>
      <c r="E69" s="189" t="s">
        <v>2328</v>
      </c>
      <c r="F69" s="185" t="s">
        <v>552</v>
      </c>
      <c r="G69" s="17"/>
    </row>
    <row r="70" spans="2:7">
      <c r="B70" s="340"/>
      <c r="C70" s="185" t="s">
        <v>2391</v>
      </c>
      <c r="D70" s="185" t="s">
        <v>569</v>
      </c>
      <c r="E70" s="189" t="s">
        <v>2328</v>
      </c>
      <c r="F70" s="185" t="s">
        <v>552</v>
      </c>
      <c r="G70" s="17"/>
    </row>
    <row r="71" spans="2:7">
      <c r="B71" s="340"/>
      <c r="C71" s="185" t="s">
        <v>2392</v>
      </c>
      <c r="D71" s="185" t="s">
        <v>1522</v>
      </c>
      <c r="E71" s="189"/>
      <c r="F71" s="185" t="s">
        <v>552</v>
      </c>
      <c r="G71" s="17"/>
    </row>
    <row r="72" spans="2:7">
      <c r="B72" s="340"/>
      <c r="C72" s="17" t="s">
        <v>2393</v>
      </c>
      <c r="D72" s="185" t="s">
        <v>1522</v>
      </c>
      <c r="E72" s="17"/>
      <c r="F72" s="17"/>
      <c r="G72" s="17"/>
    </row>
    <row r="73" spans="2:7">
      <c r="B73" s="340"/>
      <c r="C73" s="17" t="s">
        <v>2394</v>
      </c>
      <c r="D73" s="185" t="s">
        <v>1522</v>
      </c>
      <c r="E73" s="17"/>
      <c r="F73" s="17"/>
      <c r="G73" s="17"/>
    </row>
    <row r="74" spans="2:7">
      <c r="B74" s="341"/>
      <c r="C74" s="17" t="s">
        <v>2395</v>
      </c>
      <c r="D74" s="185" t="s">
        <v>1522</v>
      </c>
      <c r="E74" s="17"/>
      <c r="F74" s="17"/>
      <c r="G74" s="17"/>
    </row>
    <row r="75" spans="2:7">
      <c r="B75" s="339" t="s">
        <v>1197</v>
      </c>
      <c r="C75" s="185" t="s">
        <v>2396</v>
      </c>
      <c r="D75" s="185" t="s">
        <v>2148</v>
      </c>
      <c r="E75" s="189" t="s">
        <v>547</v>
      </c>
      <c r="F75" s="185" t="s">
        <v>552</v>
      </c>
      <c r="G75" s="17"/>
    </row>
    <row r="76" spans="2:7">
      <c r="B76" s="340"/>
      <c r="C76" s="185" t="s">
        <v>2397</v>
      </c>
      <c r="D76" s="185" t="s">
        <v>2148</v>
      </c>
      <c r="E76" s="189" t="s">
        <v>547</v>
      </c>
      <c r="F76" s="185" t="s">
        <v>552</v>
      </c>
      <c r="G76" s="17"/>
    </row>
    <row r="77" spans="2:7">
      <c r="B77" s="340"/>
      <c r="C77" s="185" t="s">
        <v>2398</v>
      </c>
      <c r="D77" s="185" t="s">
        <v>2148</v>
      </c>
      <c r="E77" s="189" t="s">
        <v>547</v>
      </c>
      <c r="F77" s="185" t="s">
        <v>552</v>
      </c>
      <c r="G77" s="17"/>
    </row>
    <row r="78" spans="2:7">
      <c r="B78" s="340"/>
      <c r="C78" s="185" t="s">
        <v>2399</v>
      </c>
      <c r="D78" s="185" t="s">
        <v>2148</v>
      </c>
      <c r="E78" s="189" t="s">
        <v>547</v>
      </c>
      <c r="F78" s="185" t="s">
        <v>1333</v>
      </c>
      <c r="G78" s="17"/>
    </row>
    <row r="79" spans="2:7">
      <c r="B79" s="340"/>
      <c r="C79" s="185" t="s">
        <v>2400</v>
      </c>
      <c r="D79" s="185" t="s">
        <v>2148</v>
      </c>
      <c r="E79" s="189" t="s">
        <v>547</v>
      </c>
      <c r="F79" s="185" t="s">
        <v>1333</v>
      </c>
      <c r="G79" s="17"/>
    </row>
    <row r="80" spans="2:7">
      <c r="B80" s="340"/>
      <c r="C80" s="185" t="s">
        <v>2401</v>
      </c>
      <c r="D80" s="185" t="s">
        <v>2148</v>
      </c>
      <c r="E80" s="189" t="s">
        <v>547</v>
      </c>
      <c r="F80" s="185" t="s">
        <v>1333</v>
      </c>
      <c r="G80" s="17"/>
    </row>
    <row r="81" spans="2:7">
      <c r="B81" s="340"/>
      <c r="C81" s="185" t="s">
        <v>2402</v>
      </c>
      <c r="D81" s="185" t="s">
        <v>2148</v>
      </c>
      <c r="E81" s="189" t="s">
        <v>552</v>
      </c>
      <c r="F81" s="185" t="s">
        <v>552</v>
      </c>
      <c r="G81" s="17"/>
    </row>
    <row r="82" spans="2:7">
      <c r="B82" s="340"/>
      <c r="C82" s="185" t="s">
        <v>2403</v>
      </c>
      <c r="D82" s="185" t="s">
        <v>1522</v>
      </c>
      <c r="E82" s="189" t="s">
        <v>547</v>
      </c>
      <c r="F82" s="185" t="s">
        <v>552</v>
      </c>
      <c r="G82" s="17"/>
    </row>
    <row r="83" spans="2:7">
      <c r="B83" s="340"/>
      <c r="C83" s="185" t="s">
        <v>2404</v>
      </c>
      <c r="D83" s="185" t="s">
        <v>1522</v>
      </c>
      <c r="E83" s="189" t="s">
        <v>547</v>
      </c>
      <c r="F83" s="185" t="s">
        <v>552</v>
      </c>
      <c r="G83" s="17"/>
    </row>
    <row r="84" spans="2:7">
      <c r="B84" s="340"/>
      <c r="C84" s="185" t="s">
        <v>2405</v>
      </c>
      <c r="D84" s="185" t="s">
        <v>1522</v>
      </c>
      <c r="E84" s="189" t="s">
        <v>547</v>
      </c>
      <c r="F84" s="185" t="s">
        <v>1333</v>
      </c>
      <c r="G84" s="17"/>
    </row>
    <row r="85" spans="2:7">
      <c r="B85" s="340"/>
      <c r="C85" s="185" t="s">
        <v>2406</v>
      </c>
      <c r="D85" s="185" t="s">
        <v>1522</v>
      </c>
      <c r="E85" s="189" t="s">
        <v>547</v>
      </c>
      <c r="F85" s="185" t="s">
        <v>1333</v>
      </c>
      <c r="G85" s="17"/>
    </row>
    <row r="86" spans="2:7">
      <c r="B86" s="340"/>
      <c r="C86" s="185" t="s">
        <v>2407</v>
      </c>
      <c r="D86" s="185" t="s">
        <v>1522</v>
      </c>
      <c r="E86" s="189" t="s">
        <v>547</v>
      </c>
      <c r="F86" s="185" t="s">
        <v>1333</v>
      </c>
      <c r="G86" s="17"/>
    </row>
    <row r="87" spans="2:7">
      <c r="B87" s="340"/>
      <c r="C87" s="185" t="s">
        <v>2408</v>
      </c>
      <c r="D87" s="185" t="s">
        <v>1522</v>
      </c>
      <c r="E87" s="189" t="s">
        <v>547</v>
      </c>
      <c r="F87" s="185" t="s">
        <v>552</v>
      </c>
      <c r="G87" s="17"/>
    </row>
    <row r="88" spans="2:7">
      <c r="B88" s="340"/>
      <c r="C88" s="185" t="s">
        <v>2409</v>
      </c>
      <c r="D88" s="185" t="s">
        <v>1522</v>
      </c>
      <c r="E88" s="189" t="s">
        <v>552</v>
      </c>
      <c r="F88" s="185" t="s">
        <v>547</v>
      </c>
      <c r="G88" s="17"/>
    </row>
    <row r="89" spans="2:7">
      <c r="B89" s="340"/>
      <c r="C89" s="185" t="s">
        <v>2410</v>
      </c>
      <c r="D89" s="185" t="s">
        <v>543</v>
      </c>
      <c r="E89" s="189" t="s">
        <v>2328</v>
      </c>
      <c r="F89" s="185" t="s">
        <v>545</v>
      </c>
      <c r="G89" s="17"/>
    </row>
    <row r="90" spans="2:7">
      <c r="B90" s="340"/>
      <c r="C90" s="185" t="s">
        <v>2411</v>
      </c>
      <c r="D90" s="185" t="s">
        <v>558</v>
      </c>
      <c r="E90" s="189" t="s">
        <v>2328</v>
      </c>
      <c r="F90" s="185" t="s">
        <v>545</v>
      </c>
      <c r="G90" s="17"/>
    </row>
    <row r="91" spans="2:7">
      <c r="B91" s="340"/>
      <c r="C91" s="185" t="s">
        <v>2412</v>
      </c>
      <c r="D91" s="185"/>
      <c r="E91" s="189"/>
      <c r="F91" s="185" t="s">
        <v>545</v>
      </c>
      <c r="G91" s="17"/>
    </row>
    <row r="92" spans="2:7">
      <c r="B92" s="340"/>
      <c r="C92" s="185" t="s">
        <v>2413</v>
      </c>
      <c r="D92" s="185"/>
      <c r="E92" s="189"/>
      <c r="F92" s="185" t="s">
        <v>545</v>
      </c>
      <c r="G92" s="17"/>
    </row>
    <row r="93" spans="2:7">
      <c r="B93" s="340"/>
      <c r="C93" s="185" t="s">
        <v>2414</v>
      </c>
      <c r="D93" s="185" t="s">
        <v>569</v>
      </c>
      <c r="E93" s="189" t="s">
        <v>2328</v>
      </c>
      <c r="F93" s="185" t="s">
        <v>545</v>
      </c>
      <c r="G93" s="17"/>
    </row>
    <row r="94" spans="2:7">
      <c r="B94" s="340"/>
      <c r="C94" s="185" t="s">
        <v>2415</v>
      </c>
      <c r="D94" s="185" t="s">
        <v>1522</v>
      </c>
      <c r="E94" s="189"/>
      <c r="F94" s="185" t="s">
        <v>545</v>
      </c>
      <c r="G94" s="17"/>
    </row>
    <row r="95" spans="2:7">
      <c r="B95" s="340"/>
      <c r="C95" s="185" t="s">
        <v>2416</v>
      </c>
      <c r="D95" s="185" t="s">
        <v>569</v>
      </c>
      <c r="E95" s="189"/>
      <c r="F95" s="185" t="s">
        <v>545</v>
      </c>
      <c r="G95" s="17"/>
    </row>
    <row r="96" spans="2:7">
      <c r="B96" s="340"/>
      <c r="C96" s="185" t="s">
        <v>2417</v>
      </c>
      <c r="D96" s="185" t="s">
        <v>632</v>
      </c>
      <c r="E96" s="189"/>
      <c r="F96" s="185" t="s">
        <v>545</v>
      </c>
      <c r="G96" s="17"/>
    </row>
    <row r="97" spans="2:7">
      <c r="B97" s="340"/>
      <c r="C97" s="185" t="s">
        <v>2337</v>
      </c>
      <c r="D97" s="185" t="s">
        <v>543</v>
      </c>
      <c r="E97" s="189" t="s">
        <v>2418</v>
      </c>
      <c r="F97" s="185" t="s">
        <v>545</v>
      </c>
      <c r="G97" s="17"/>
    </row>
    <row r="98" spans="2:7">
      <c r="B98" s="340"/>
      <c r="C98" s="185" t="s">
        <v>2419</v>
      </c>
      <c r="D98" s="185" t="s">
        <v>737</v>
      </c>
      <c r="E98" s="189"/>
      <c r="F98" s="185" t="s">
        <v>545</v>
      </c>
      <c r="G98" s="17"/>
    </row>
    <row r="99" spans="2:7">
      <c r="B99" s="340"/>
      <c r="C99" s="185" t="s">
        <v>2420</v>
      </c>
      <c r="D99" s="185" t="s">
        <v>737</v>
      </c>
      <c r="E99" s="189"/>
      <c r="F99" s="185" t="s">
        <v>545</v>
      </c>
      <c r="G99" s="17"/>
    </row>
    <row r="100" spans="2:7">
      <c r="B100" s="340"/>
      <c r="C100" s="185" t="s">
        <v>2421</v>
      </c>
      <c r="D100" s="185" t="s">
        <v>737</v>
      </c>
      <c r="E100" s="189"/>
      <c r="F100" s="185" t="s">
        <v>545</v>
      </c>
      <c r="G100" s="17"/>
    </row>
    <row r="101" spans="2:7">
      <c r="B101" s="340"/>
      <c r="C101" s="185" t="s">
        <v>2422</v>
      </c>
      <c r="D101" s="185" t="s">
        <v>1522</v>
      </c>
      <c r="E101" s="189"/>
      <c r="F101" s="185" t="s">
        <v>545</v>
      </c>
      <c r="G101" s="17"/>
    </row>
    <row r="102" spans="2:7">
      <c r="B102" s="340"/>
      <c r="C102" s="185" t="s">
        <v>2423</v>
      </c>
      <c r="D102" s="185" t="s">
        <v>1522</v>
      </c>
      <c r="E102" s="189"/>
      <c r="F102" s="185" t="s">
        <v>545</v>
      </c>
      <c r="G102" s="17"/>
    </row>
    <row r="103" spans="2:7">
      <c r="B103" s="340"/>
      <c r="C103" s="185" t="s">
        <v>2424</v>
      </c>
      <c r="D103" s="185" t="s">
        <v>543</v>
      </c>
      <c r="E103" s="189" t="s">
        <v>2328</v>
      </c>
      <c r="F103" s="185" t="s">
        <v>552</v>
      </c>
      <c r="G103" s="17"/>
    </row>
    <row r="104" spans="2:7">
      <c r="B104" s="340"/>
      <c r="C104" s="185" t="s">
        <v>2425</v>
      </c>
      <c r="D104" s="185" t="s">
        <v>558</v>
      </c>
      <c r="E104" s="189" t="s">
        <v>2328</v>
      </c>
      <c r="F104" s="185" t="s">
        <v>552</v>
      </c>
      <c r="G104" s="17"/>
    </row>
    <row r="105" spans="2:7">
      <c r="B105" s="340"/>
      <c r="C105" s="185" t="s">
        <v>2426</v>
      </c>
      <c r="D105" s="185" t="s">
        <v>558</v>
      </c>
      <c r="E105" s="189" t="s">
        <v>2328</v>
      </c>
      <c r="F105" s="185" t="s">
        <v>552</v>
      </c>
      <c r="G105" s="17"/>
    </row>
    <row r="106" spans="2:7">
      <c r="B106" s="340"/>
      <c r="C106" s="185" t="s">
        <v>2427</v>
      </c>
      <c r="D106" s="185" t="s">
        <v>558</v>
      </c>
      <c r="E106" s="189" t="s">
        <v>2328</v>
      </c>
      <c r="F106" s="185" t="s">
        <v>552</v>
      </c>
      <c r="G106" s="17"/>
    </row>
    <row r="107" spans="2:7">
      <c r="B107" s="340"/>
      <c r="C107" s="185" t="s">
        <v>2428</v>
      </c>
      <c r="D107" s="185" t="s">
        <v>569</v>
      </c>
      <c r="E107" s="189" t="s">
        <v>2328</v>
      </c>
      <c r="F107" s="185" t="s">
        <v>552</v>
      </c>
      <c r="G107" s="17"/>
    </row>
    <row r="108" spans="2:7">
      <c r="B108" s="340"/>
      <c r="C108" s="185" t="s">
        <v>2429</v>
      </c>
      <c r="D108" s="185" t="s">
        <v>2355</v>
      </c>
      <c r="E108" s="189"/>
      <c r="F108" s="185" t="s">
        <v>552</v>
      </c>
      <c r="G108" s="17"/>
    </row>
    <row r="109" spans="2:7">
      <c r="B109" s="340"/>
      <c r="C109" s="185" t="s">
        <v>2430</v>
      </c>
      <c r="D109" s="185" t="s">
        <v>543</v>
      </c>
      <c r="E109" s="189" t="s">
        <v>2328</v>
      </c>
      <c r="F109" s="185" t="s">
        <v>547</v>
      </c>
      <c r="G109" s="185" t="s">
        <v>552</v>
      </c>
    </row>
    <row r="110" spans="2:7">
      <c r="B110" s="340"/>
      <c r="C110" s="185" t="s">
        <v>2431</v>
      </c>
      <c r="D110" s="185" t="s">
        <v>569</v>
      </c>
      <c r="E110" s="189" t="s">
        <v>2328</v>
      </c>
      <c r="F110" s="185" t="s">
        <v>547</v>
      </c>
      <c r="G110" s="185" t="s">
        <v>552</v>
      </c>
    </row>
    <row r="111" spans="2:7">
      <c r="B111" s="340"/>
      <c r="C111" s="185" t="s">
        <v>2432</v>
      </c>
      <c r="D111" s="185" t="s">
        <v>1522</v>
      </c>
      <c r="E111" s="189"/>
      <c r="F111" s="185"/>
      <c r="G111" s="185"/>
    </row>
    <row r="112" spans="2:7">
      <c r="B112" s="340"/>
      <c r="C112" s="185" t="s">
        <v>2433</v>
      </c>
      <c r="D112" s="185" t="s">
        <v>2148</v>
      </c>
      <c r="E112" s="189" t="s">
        <v>547</v>
      </c>
      <c r="F112" s="185" t="s">
        <v>547</v>
      </c>
      <c r="G112" s="185" t="s">
        <v>552</v>
      </c>
    </row>
    <row r="113" spans="2:7">
      <c r="B113" s="340"/>
      <c r="C113" s="185" t="s">
        <v>2434</v>
      </c>
      <c r="D113" s="185" t="s">
        <v>2148</v>
      </c>
      <c r="E113" s="189" t="s">
        <v>547</v>
      </c>
      <c r="F113" s="185" t="s">
        <v>547</v>
      </c>
      <c r="G113" s="185" t="s">
        <v>552</v>
      </c>
    </row>
    <row r="114" spans="2:7">
      <c r="B114" s="340"/>
      <c r="C114" s="185" t="s">
        <v>2435</v>
      </c>
      <c r="D114" s="185" t="s">
        <v>2148</v>
      </c>
      <c r="E114" s="189" t="s">
        <v>547</v>
      </c>
      <c r="F114" s="185" t="s">
        <v>547</v>
      </c>
      <c r="G114" s="185" t="s">
        <v>552</v>
      </c>
    </row>
    <row r="115" spans="2:7">
      <c r="B115" s="340"/>
      <c r="C115" s="185" t="s">
        <v>2436</v>
      </c>
      <c r="D115" s="185" t="s">
        <v>1522</v>
      </c>
      <c r="E115" s="189"/>
      <c r="F115" s="185"/>
      <c r="G115" s="185"/>
    </row>
    <row r="116" spans="2:7">
      <c r="B116" s="340"/>
      <c r="C116" s="185" t="s">
        <v>2437</v>
      </c>
      <c r="D116" s="185" t="s">
        <v>1522</v>
      </c>
      <c r="E116" s="189"/>
      <c r="F116" s="185"/>
      <c r="G116" s="185"/>
    </row>
    <row r="117" spans="2:7">
      <c r="B117" s="340"/>
      <c r="C117" s="185" t="s">
        <v>2438</v>
      </c>
      <c r="D117" s="185" t="s">
        <v>1522</v>
      </c>
      <c r="E117" s="189"/>
      <c r="F117" s="185"/>
      <c r="G117" s="185"/>
    </row>
    <row r="118" spans="2:7">
      <c r="B118" s="340"/>
      <c r="C118" s="185" t="s">
        <v>2439</v>
      </c>
      <c r="D118" s="185" t="s">
        <v>2148</v>
      </c>
      <c r="E118" s="189" t="s">
        <v>1331</v>
      </c>
      <c r="F118" s="185" t="s">
        <v>1333</v>
      </c>
      <c r="G118" s="17"/>
    </row>
    <row r="119" spans="2:7">
      <c r="B119" s="340"/>
      <c r="C119" s="185" t="s">
        <v>2440</v>
      </c>
      <c r="D119" s="185" t="s">
        <v>1522</v>
      </c>
      <c r="E119" s="189"/>
      <c r="F119" s="185"/>
      <c r="G119" s="17"/>
    </row>
    <row r="120" spans="2:7">
      <c r="B120" s="340"/>
      <c r="C120" s="185" t="s">
        <v>2441</v>
      </c>
      <c r="D120" s="185" t="s">
        <v>2148</v>
      </c>
      <c r="E120" s="189" t="s">
        <v>1331</v>
      </c>
      <c r="F120" s="185" t="s">
        <v>1333</v>
      </c>
      <c r="G120" s="17"/>
    </row>
    <row r="121" spans="2:7">
      <c r="B121" s="340"/>
      <c r="C121" s="185" t="s">
        <v>2442</v>
      </c>
      <c r="D121" s="185" t="s">
        <v>1522</v>
      </c>
      <c r="E121" s="189"/>
      <c r="F121" s="185"/>
      <c r="G121" s="17"/>
    </row>
    <row r="122" spans="2:7">
      <c r="B122" s="340"/>
      <c r="C122" s="185" t="s">
        <v>2443</v>
      </c>
      <c r="D122" s="185" t="s">
        <v>2148</v>
      </c>
      <c r="E122" s="189" t="s">
        <v>547</v>
      </c>
      <c r="F122" s="185" t="s">
        <v>552</v>
      </c>
      <c r="G122" s="17"/>
    </row>
    <row r="123" spans="2:7">
      <c r="B123" s="340"/>
      <c r="C123" s="185" t="s">
        <v>2444</v>
      </c>
      <c r="D123" s="185" t="s">
        <v>2148</v>
      </c>
      <c r="E123" s="189" t="s">
        <v>547</v>
      </c>
      <c r="F123" s="185" t="s">
        <v>552</v>
      </c>
      <c r="G123" s="17"/>
    </row>
    <row r="124" spans="2:7">
      <c r="B124" s="340"/>
      <c r="C124" s="185" t="s">
        <v>2445</v>
      </c>
      <c r="D124" s="185" t="s">
        <v>2148</v>
      </c>
      <c r="E124" s="189" t="s">
        <v>547</v>
      </c>
      <c r="F124" s="185" t="s">
        <v>552</v>
      </c>
      <c r="G124" s="17"/>
    </row>
    <row r="125" spans="2:7">
      <c r="B125" s="340"/>
      <c r="C125" s="185" t="s">
        <v>2446</v>
      </c>
      <c r="D125" s="185" t="s">
        <v>2148</v>
      </c>
      <c r="E125" s="189" t="s">
        <v>547</v>
      </c>
      <c r="F125" s="185" t="s">
        <v>1333</v>
      </c>
      <c r="G125" s="17"/>
    </row>
    <row r="126" spans="2:7">
      <c r="B126" s="340"/>
      <c r="C126" s="185" t="s">
        <v>2447</v>
      </c>
      <c r="D126" s="185" t="s">
        <v>2148</v>
      </c>
      <c r="E126" s="189" t="s">
        <v>547</v>
      </c>
      <c r="F126" s="185" t="s">
        <v>1333</v>
      </c>
      <c r="G126" s="17"/>
    </row>
    <row r="127" spans="2:7">
      <c r="B127" s="340"/>
      <c r="C127" s="185" t="s">
        <v>2448</v>
      </c>
      <c r="D127" s="185" t="s">
        <v>2148</v>
      </c>
      <c r="E127" s="189" t="s">
        <v>547</v>
      </c>
      <c r="F127" s="185" t="s">
        <v>1333</v>
      </c>
      <c r="G127" s="17"/>
    </row>
    <row r="128" spans="2:7">
      <c r="B128" s="340"/>
      <c r="C128" s="185" t="s">
        <v>2449</v>
      </c>
      <c r="D128" s="185" t="s">
        <v>2148</v>
      </c>
      <c r="E128" s="189" t="s">
        <v>552</v>
      </c>
      <c r="F128" s="185" t="s">
        <v>552</v>
      </c>
      <c r="G128" s="17"/>
    </row>
    <row r="129" spans="2:7">
      <c r="B129" s="340"/>
      <c r="C129" s="185" t="s">
        <v>2450</v>
      </c>
      <c r="D129" s="185" t="s">
        <v>1522</v>
      </c>
      <c r="E129" s="189" t="s">
        <v>547</v>
      </c>
      <c r="F129" s="185" t="s">
        <v>552</v>
      </c>
      <c r="G129" s="17"/>
    </row>
    <row r="130" spans="2:7">
      <c r="B130" s="340"/>
      <c r="C130" s="185" t="s">
        <v>2451</v>
      </c>
      <c r="D130" s="185" t="s">
        <v>1522</v>
      </c>
      <c r="E130" s="189" t="s">
        <v>547</v>
      </c>
      <c r="F130" s="185" t="s">
        <v>552</v>
      </c>
      <c r="G130" s="17"/>
    </row>
    <row r="131" spans="2:7">
      <c r="B131" s="340"/>
      <c r="C131" s="185" t="s">
        <v>2452</v>
      </c>
      <c r="D131" s="185" t="s">
        <v>1522</v>
      </c>
      <c r="E131" s="189" t="s">
        <v>547</v>
      </c>
      <c r="F131" s="185" t="s">
        <v>1333</v>
      </c>
      <c r="G131" s="17"/>
    </row>
    <row r="132" spans="2:7">
      <c r="B132" s="340"/>
      <c r="C132" s="185" t="s">
        <v>2453</v>
      </c>
      <c r="D132" s="185" t="s">
        <v>1522</v>
      </c>
      <c r="E132" s="189" t="s">
        <v>547</v>
      </c>
      <c r="F132" s="185" t="s">
        <v>1333</v>
      </c>
      <c r="G132" s="17"/>
    </row>
    <row r="133" spans="2:7">
      <c r="B133" s="340"/>
      <c r="C133" s="185" t="s">
        <v>2454</v>
      </c>
      <c r="D133" s="185" t="s">
        <v>1522</v>
      </c>
      <c r="E133" s="189" t="s">
        <v>547</v>
      </c>
      <c r="F133" s="185" t="s">
        <v>1333</v>
      </c>
      <c r="G133" s="17"/>
    </row>
    <row r="134" spans="2:7">
      <c r="B134" s="340"/>
      <c r="C134" s="185" t="s">
        <v>2455</v>
      </c>
      <c r="D134" s="185" t="s">
        <v>1522</v>
      </c>
      <c r="E134" s="189" t="s">
        <v>547</v>
      </c>
      <c r="F134" s="185" t="s">
        <v>552</v>
      </c>
      <c r="G134" s="17"/>
    </row>
    <row r="135" spans="2:7">
      <c r="B135" s="340"/>
      <c r="C135" s="185" t="s">
        <v>2456</v>
      </c>
      <c r="D135" s="185" t="s">
        <v>1522</v>
      </c>
      <c r="E135" s="189" t="s">
        <v>552</v>
      </c>
      <c r="F135" s="185" t="s">
        <v>547</v>
      </c>
      <c r="G135" s="17"/>
    </row>
    <row r="136" spans="2:7">
      <c r="B136" s="340"/>
      <c r="C136" s="185" t="s">
        <v>2457</v>
      </c>
      <c r="D136" s="185" t="s">
        <v>543</v>
      </c>
      <c r="E136" s="189" t="s">
        <v>2328</v>
      </c>
      <c r="F136" s="185" t="s">
        <v>545</v>
      </c>
      <c r="G136" s="17"/>
    </row>
    <row r="137" spans="2:7">
      <c r="B137" s="340"/>
      <c r="C137" s="185" t="s">
        <v>2458</v>
      </c>
      <c r="D137" s="185" t="s">
        <v>558</v>
      </c>
      <c r="E137" s="189" t="s">
        <v>2328</v>
      </c>
      <c r="F137" s="185" t="s">
        <v>545</v>
      </c>
      <c r="G137" s="17"/>
    </row>
    <row r="138" spans="2:7">
      <c r="B138" s="340"/>
      <c r="C138" s="185" t="s">
        <v>2459</v>
      </c>
      <c r="D138" s="185"/>
      <c r="E138" s="189" t="s">
        <v>607</v>
      </c>
      <c r="F138" s="185" t="s">
        <v>545</v>
      </c>
      <c r="G138" s="17"/>
    </row>
    <row r="139" spans="2:7">
      <c r="B139" s="340"/>
      <c r="C139" s="185" t="s">
        <v>2460</v>
      </c>
      <c r="D139" s="185"/>
      <c r="E139" s="189" t="s">
        <v>609</v>
      </c>
      <c r="F139" s="185" t="s">
        <v>545</v>
      </c>
      <c r="G139" s="17"/>
    </row>
    <row r="140" spans="2:7">
      <c r="B140" s="340"/>
      <c r="C140" s="185" t="s">
        <v>2461</v>
      </c>
      <c r="D140" s="185" t="s">
        <v>569</v>
      </c>
      <c r="E140" s="189" t="s">
        <v>607</v>
      </c>
      <c r="F140" s="185" t="s">
        <v>545</v>
      </c>
      <c r="G140" s="17"/>
    </row>
    <row r="141" spans="2:7">
      <c r="B141" s="340"/>
      <c r="C141" s="185" t="s">
        <v>2462</v>
      </c>
      <c r="D141" s="185" t="s">
        <v>1522</v>
      </c>
      <c r="E141" s="189" t="s">
        <v>609</v>
      </c>
      <c r="F141" s="185" t="s">
        <v>545</v>
      </c>
      <c r="G141" s="17"/>
    </row>
    <row r="142" spans="2:7">
      <c r="B142" s="340"/>
      <c r="C142" s="185" t="s">
        <v>2463</v>
      </c>
      <c r="D142" s="185" t="s">
        <v>569</v>
      </c>
      <c r="E142" s="189" t="s">
        <v>611</v>
      </c>
      <c r="F142" s="185" t="s">
        <v>545</v>
      </c>
      <c r="G142" s="17"/>
    </row>
    <row r="143" spans="2:7">
      <c r="B143" s="340"/>
      <c r="C143" s="185" t="s">
        <v>2464</v>
      </c>
      <c r="D143" s="185" t="s">
        <v>632</v>
      </c>
      <c r="E143" s="189"/>
      <c r="F143" s="185" t="s">
        <v>545</v>
      </c>
      <c r="G143" s="17"/>
    </row>
    <row r="144" spans="2:7">
      <c r="B144" s="340"/>
      <c r="C144" s="185" t="s">
        <v>2337</v>
      </c>
      <c r="D144" s="185" t="s">
        <v>543</v>
      </c>
      <c r="E144" s="189" t="s">
        <v>2465</v>
      </c>
      <c r="F144" s="185" t="s">
        <v>545</v>
      </c>
      <c r="G144" s="17"/>
    </row>
    <row r="145" spans="2:7">
      <c r="B145" s="340"/>
      <c r="C145" s="185" t="s">
        <v>2466</v>
      </c>
      <c r="D145" s="185" t="s">
        <v>737</v>
      </c>
      <c r="E145" s="189"/>
      <c r="F145" s="185" t="s">
        <v>545</v>
      </c>
      <c r="G145" s="17"/>
    </row>
    <row r="146" spans="2:7">
      <c r="B146" s="340"/>
      <c r="C146" s="185" t="s">
        <v>2467</v>
      </c>
      <c r="D146" s="185" t="s">
        <v>737</v>
      </c>
      <c r="E146" s="189"/>
      <c r="F146" s="185" t="s">
        <v>545</v>
      </c>
      <c r="G146" s="17"/>
    </row>
    <row r="147" spans="2:7">
      <c r="B147" s="340"/>
      <c r="C147" s="185" t="s">
        <v>2468</v>
      </c>
      <c r="D147" s="185" t="s">
        <v>737</v>
      </c>
      <c r="E147" s="189"/>
      <c r="F147" s="185" t="s">
        <v>545</v>
      </c>
      <c r="G147" s="17"/>
    </row>
    <row r="148" spans="2:7">
      <c r="B148" s="340"/>
      <c r="C148" s="185" t="s">
        <v>2469</v>
      </c>
      <c r="D148" s="185" t="s">
        <v>1522</v>
      </c>
      <c r="E148" s="189"/>
      <c r="F148" s="185" t="s">
        <v>545</v>
      </c>
      <c r="G148" s="17"/>
    </row>
    <row r="149" spans="2:7">
      <c r="B149" s="340"/>
      <c r="C149" s="185" t="s">
        <v>2470</v>
      </c>
      <c r="D149" s="185" t="s">
        <v>1522</v>
      </c>
      <c r="E149" s="189"/>
      <c r="F149" s="185" t="s">
        <v>545</v>
      </c>
      <c r="G149" s="17"/>
    </row>
    <row r="150" spans="2:7">
      <c r="B150" s="340"/>
      <c r="C150" s="185" t="s">
        <v>2471</v>
      </c>
      <c r="D150" s="185" t="s">
        <v>543</v>
      </c>
      <c r="E150" s="189" t="s">
        <v>2328</v>
      </c>
      <c r="F150" s="185" t="s">
        <v>552</v>
      </c>
      <c r="G150" s="17"/>
    </row>
    <row r="151" spans="2:7">
      <c r="B151" s="340"/>
      <c r="C151" s="185" t="s">
        <v>2472</v>
      </c>
      <c r="D151" s="185" t="s">
        <v>558</v>
      </c>
      <c r="E151" s="189" t="s">
        <v>2328</v>
      </c>
      <c r="F151" s="185" t="s">
        <v>552</v>
      </c>
      <c r="G151" s="17"/>
    </row>
    <row r="152" spans="2:7">
      <c r="B152" s="340"/>
      <c r="C152" s="185" t="s">
        <v>2473</v>
      </c>
      <c r="D152" s="185" t="s">
        <v>558</v>
      </c>
      <c r="E152" s="189" t="s">
        <v>2328</v>
      </c>
      <c r="F152" s="185" t="s">
        <v>552</v>
      </c>
      <c r="G152" s="17"/>
    </row>
    <row r="153" spans="2:7">
      <c r="B153" s="340"/>
      <c r="C153" s="185" t="s">
        <v>2474</v>
      </c>
      <c r="D153" s="185" t="s">
        <v>558</v>
      </c>
      <c r="E153" s="189" t="s">
        <v>2328</v>
      </c>
      <c r="F153" s="185" t="s">
        <v>552</v>
      </c>
      <c r="G153" s="17"/>
    </row>
    <row r="154" spans="2:7">
      <c r="B154" s="340"/>
      <c r="C154" s="185" t="s">
        <v>2475</v>
      </c>
      <c r="D154" s="185" t="s">
        <v>569</v>
      </c>
      <c r="E154" s="189" t="s">
        <v>2328</v>
      </c>
      <c r="F154" s="185" t="s">
        <v>552</v>
      </c>
      <c r="G154" s="17"/>
    </row>
    <row r="155" spans="2:7">
      <c r="B155" s="340"/>
      <c r="C155" s="185" t="s">
        <v>2476</v>
      </c>
      <c r="D155" s="185" t="s">
        <v>1522</v>
      </c>
      <c r="E155" s="189"/>
      <c r="F155" s="185" t="s">
        <v>552</v>
      </c>
      <c r="G155" s="17"/>
    </row>
    <row r="156" spans="2:7">
      <c r="B156" s="340"/>
      <c r="C156" s="185" t="s">
        <v>2477</v>
      </c>
      <c r="D156" s="185" t="s">
        <v>543</v>
      </c>
      <c r="E156" s="189" t="s">
        <v>2328</v>
      </c>
      <c r="F156" s="185" t="s">
        <v>547</v>
      </c>
      <c r="G156" s="185" t="s">
        <v>552</v>
      </c>
    </row>
    <row r="157" spans="2:7">
      <c r="B157" s="340"/>
      <c r="C157" s="185" t="s">
        <v>2478</v>
      </c>
      <c r="D157" s="185" t="s">
        <v>569</v>
      </c>
      <c r="E157" s="189" t="s">
        <v>2328</v>
      </c>
      <c r="F157" s="185" t="s">
        <v>547</v>
      </c>
      <c r="G157" s="185" t="s">
        <v>552</v>
      </c>
    </row>
    <row r="158" spans="2:7">
      <c r="B158" s="340"/>
      <c r="C158" s="185" t="s">
        <v>2479</v>
      </c>
      <c r="D158" s="185" t="s">
        <v>1522</v>
      </c>
      <c r="E158" s="189"/>
      <c r="F158" s="185"/>
      <c r="G158" s="185"/>
    </row>
    <row r="159" spans="2:7">
      <c r="B159" s="340"/>
      <c r="C159" s="185" t="s">
        <v>2480</v>
      </c>
      <c r="D159" s="185" t="s">
        <v>2148</v>
      </c>
      <c r="E159" s="189" t="s">
        <v>547</v>
      </c>
      <c r="F159" s="185" t="s">
        <v>547</v>
      </c>
      <c r="G159" s="185" t="s">
        <v>552</v>
      </c>
    </row>
    <row r="160" spans="2:7">
      <c r="B160" s="340"/>
      <c r="C160" s="185" t="s">
        <v>2481</v>
      </c>
      <c r="D160" s="185" t="s">
        <v>2148</v>
      </c>
      <c r="E160" s="189" t="s">
        <v>547</v>
      </c>
      <c r="F160" s="185" t="s">
        <v>547</v>
      </c>
      <c r="G160" s="185" t="s">
        <v>552</v>
      </c>
    </row>
    <row r="161" spans="2:7">
      <c r="B161" s="340"/>
      <c r="C161" s="185" t="s">
        <v>2482</v>
      </c>
      <c r="D161" s="185" t="s">
        <v>2148</v>
      </c>
      <c r="E161" s="189" t="s">
        <v>547</v>
      </c>
      <c r="F161" s="185" t="s">
        <v>547</v>
      </c>
      <c r="G161" s="185" t="s">
        <v>552</v>
      </c>
    </row>
    <row r="162" spans="2:7">
      <c r="B162" s="340"/>
      <c r="C162" s="185" t="s">
        <v>2483</v>
      </c>
      <c r="D162" s="185" t="s">
        <v>1522</v>
      </c>
      <c r="E162" s="189"/>
      <c r="F162" s="185"/>
      <c r="G162" s="185"/>
    </row>
    <row r="163" spans="2:7">
      <c r="B163" s="340"/>
      <c r="C163" s="185" t="s">
        <v>2484</v>
      </c>
      <c r="D163" s="185" t="s">
        <v>1522</v>
      </c>
      <c r="E163" s="189"/>
      <c r="F163" s="185"/>
      <c r="G163" s="185"/>
    </row>
    <row r="164" spans="2:7">
      <c r="B164" s="340"/>
      <c r="C164" s="185" t="s">
        <v>2485</v>
      </c>
      <c r="D164" s="185" t="s">
        <v>1522</v>
      </c>
      <c r="E164" s="189"/>
      <c r="F164" s="185"/>
      <c r="G164" s="185"/>
    </row>
    <row r="165" spans="2:7">
      <c r="B165" s="340"/>
      <c r="C165" s="17" t="s">
        <v>2486</v>
      </c>
      <c r="D165" s="185" t="s">
        <v>1522</v>
      </c>
      <c r="E165" s="17"/>
      <c r="F165" s="17"/>
      <c r="G165" s="17"/>
    </row>
    <row r="166" spans="2:7">
      <c r="B166" s="340"/>
      <c r="C166" s="17" t="s">
        <v>2487</v>
      </c>
      <c r="D166" s="185" t="s">
        <v>1522</v>
      </c>
      <c r="E166" s="17"/>
      <c r="F166" s="17"/>
      <c r="G166" s="17"/>
    </row>
    <row r="167" spans="2:7">
      <c r="B167" s="341"/>
      <c r="C167" s="17" t="s">
        <v>2488</v>
      </c>
      <c r="D167" s="185" t="s">
        <v>1522</v>
      </c>
      <c r="E167" s="17"/>
      <c r="F167" s="17"/>
      <c r="G167" s="17"/>
    </row>
    <row r="168" spans="2:7">
      <c r="B168" s="17"/>
      <c r="C168" s="17"/>
      <c r="D168" s="17"/>
      <c r="E168" s="17"/>
      <c r="F168" s="17"/>
      <c r="G168" s="17"/>
    </row>
    <row r="169" spans="2:7">
      <c r="B169" s="339" t="s">
        <v>403</v>
      </c>
      <c r="C169" s="17" t="s">
        <v>2489</v>
      </c>
      <c r="D169" s="17" t="s">
        <v>561</v>
      </c>
      <c r="E169" s="189" t="s">
        <v>552</v>
      </c>
      <c r="F169" s="185" t="s">
        <v>547</v>
      </c>
      <c r="G169" s="17"/>
    </row>
    <row r="170" spans="2:7">
      <c r="B170" s="340"/>
      <c r="C170" s="17" t="s">
        <v>2490</v>
      </c>
      <c r="D170" s="17" t="s">
        <v>1522</v>
      </c>
      <c r="E170" s="17"/>
      <c r="F170" s="17"/>
      <c r="G170" s="17"/>
    </row>
    <row r="171" spans="2:7">
      <c r="B171" s="340"/>
      <c r="C171" s="17" t="s">
        <v>2491</v>
      </c>
      <c r="D171" s="17" t="s">
        <v>1522</v>
      </c>
      <c r="E171" s="17"/>
      <c r="F171" s="17"/>
      <c r="G171" s="17"/>
    </row>
    <row r="172" spans="2:7">
      <c r="B172" s="17"/>
      <c r="C172" s="17"/>
      <c r="D172" s="17"/>
      <c r="E172" s="17"/>
      <c r="F172" s="17"/>
      <c r="G172" s="17"/>
    </row>
    <row r="173" spans="2:7">
      <c r="B173" s="339" t="s">
        <v>406</v>
      </c>
      <c r="C173" s="17" t="s">
        <v>2492</v>
      </c>
      <c r="D173" s="17" t="s">
        <v>2493</v>
      </c>
      <c r="E173" s="2" t="s">
        <v>2494</v>
      </c>
      <c r="F173" s="17" t="s">
        <v>547</v>
      </c>
      <c r="G173" s="17"/>
    </row>
    <row r="174" spans="2:7">
      <c r="B174" s="340"/>
      <c r="C174" s="17" t="s">
        <v>287</v>
      </c>
      <c r="D174" s="17" t="s">
        <v>2493</v>
      </c>
      <c r="E174" s="17"/>
      <c r="F174" s="17"/>
      <c r="G174" s="17"/>
    </row>
    <row r="175" spans="2:7">
      <c r="B175" s="340"/>
      <c r="C175" s="17" t="s">
        <v>2495</v>
      </c>
      <c r="D175" s="17" t="s">
        <v>2493</v>
      </c>
      <c r="E175" s="17"/>
      <c r="F175" s="17"/>
      <c r="G175" s="17"/>
    </row>
    <row r="176" spans="2:7">
      <c r="B176" s="340"/>
      <c r="C176" s="17" t="s">
        <v>2496</v>
      </c>
      <c r="D176" s="17" t="s">
        <v>2493</v>
      </c>
      <c r="E176" s="17"/>
      <c r="F176" s="17"/>
      <c r="G176" s="17"/>
    </row>
    <row r="177" spans="2:7">
      <c r="B177" s="341"/>
      <c r="C177" s="17" t="s">
        <v>2497</v>
      </c>
      <c r="D177" s="17" t="s">
        <v>2493</v>
      </c>
      <c r="E177" s="17"/>
      <c r="F177" s="17"/>
      <c r="G177" s="17"/>
    </row>
    <row r="178" spans="2:7">
      <c r="B178" s="17"/>
      <c r="C178" s="17"/>
      <c r="D178" s="17"/>
      <c r="E178" s="17"/>
      <c r="F178" s="17"/>
      <c r="G178" s="17"/>
    </row>
    <row r="179" spans="2:7">
      <c r="B179" s="339" t="s">
        <v>408</v>
      </c>
      <c r="C179" s="17" t="s">
        <v>2498</v>
      </c>
      <c r="D179" s="17" t="s">
        <v>561</v>
      </c>
      <c r="E179" s="189" t="s">
        <v>552</v>
      </c>
      <c r="F179" s="185" t="s">
        <v>547</v>
      </c>
      <c r="G179" s="17"/>
    </row>
    <row r="180" spans="2:7">
      <c r="B180" s="340"/>
      <c r="C180" s="17" t="s">
        <v>2499</v>
      </c>
      <c r="D180" s="17" t="s">
        <v>1522</v>
      </c>
      <c r="E180" s="17"/>
      <c r="F180" s="17"/>
      <c r="G180" s="17"/>
    </row>
    <row r="181" spans="2:7">
      <c r="B181" s="340"/>
      <c r="C181" s="17" t="s">
        <v>2500</v>
      </c>
      <c r="D181" s="17" t="s">
        <v>1522</v>
      </c>
      <c r="E181" s="17"/>
      <c r="F181" s="17"/>
      <c r="G181" s="17"/>
    </row>
  </sheetData>
  <mergeCells count="16">
    <mergeCell ref="P27:Q27"/>
    <mergeCell ref="L26:Q26"/>
    <mergeCell ref="R26:S26"/>
    <mergeCell ref="B173:B177"/>
    <mergeCell ref="B179:B181"/>
    <mergeCell ref="L36:M36"/>
    <mergeCell ref="N36:O36"/>
    <mergeCell ref="L12:M12"/>
    <mergeCell ref="N12:O12"/>
    <mergeCell ref="B2:B74"/>
    <mergeCell ref="B75:B167"/>
    <mergeCell ref="B169:B171"/>
    <mergeCell ref="L19:M19"/>
    <mergeCell ref="N19:O19"/>
    <mergeCell ref="L27:M27"/>
    <mergeCell ref="N27:O2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13A7-DCCE-4D71-B1ED-E7C7E427CD06}">
  <dimension ref="A1:H94"/>
  <sheetViews>
    <sheetView topLeftCell="A58" workbookViewId="0">
      <selection activeCell="A5" sqref="A5:XFD5"/>
    </sheetView>
  </sheetViews>
  <sheetFormatPr defaultRowHeight="14.25"/>
  <cols>
    <col min="1" max="1" width="23.42578125" bestFit="1" customWidth="1"/>
    <col min="2" max="2" width="23.42578125" customWidth="1"/>
    <col min="3" max="4" width="24.42578125" bestFit="1" customWidth="1"/>
    <col min="5" max="5" width="32.140625" customWidth="1"/>
    <col min="6" max="6" width="32.42578125" customWidth="1"/>
    <col min="7" max="7" width="5.42578125" bestFit="1" customWidth="1"/>
    <col min="8" max="8" width="12.140625" bestFit="1" customWidth="1"/>
  </cols>
  <sheetData>
    <row r="1" spans="1:8">
      <c r="A1" t="s">
        <v>2501</v>
      </c>
      <c r="C1" t="s">
        <v>2502</v>
      </c>
      <c r="D1" t="s">
        <v>2503</v>
      </c>
      <c r="E1" t="s">
        <v>2504</v>
      </c>
      <c r="F1" t="s">
        <v>2505</v>
      </c>
      <c r="G1" t="s">
        <v>2506</v>
      </c>
      <c r="H1" t="s">
        <v>2507</v>
      </c>
    </row>
    <row r="2" spans="1:8">
      <c r="A2" t="s">
        <v>2508</v>
      </c>
    </row>
    <row r="3" spans="1:8">
      <c r="A3" t="s">
        <v>2509</v>
      </c>
      <c r="D3" s="203">
        <v>43.348073958999997</v>
      </c>
      <c r="G3">
        <v>1</v>
      </c>
      <c r="H3" t="s">
        <v>2510</v>
      </c>
    </row>
    <row r="4" spans="1:8">
      <c r="A4" t="s">
        <v>2511</v>
      </c>
      <c r="C4">
        <v>92.326521873000004</v>
      </c>
      <c r="D4" s="203"/>
      <c r="E4" s="204">
        <v>100.12197494999999</v>
      </c>
      <c r="F4" s="204">
        <v>74.748516082999998</v>
      </c>
      <c r="G4">
        <v>1</v>
      </c>
      <c r="H4" t="s">
        <v>2512</v>
      </c>
    </row>
    <row r="5" spans="1:8">
      <c r="A5" t="s">
        <v>2513</v>
      </c>
      <c r="D5" s="203">
        <v>6353.7340163999997</v>
      </c>
      <c r="E5" s="204"/>
      <c r="F5" s="204"/>
      <c r="G5">
        <v>5</v>
      </c>
      <c r="H5" t="s">
        <v>2514</v>
      </c>
    </row>
    <row r="6" spans="1:8">
      <c r="A6" t="s">
        <v>2515</v>
      </c>
      <c r="D6" s="203">
        <v>35.387516022</v>
      </c>
      <c r="E6" s="204"/>
      <c r="F6" s="204"/>
      <c r="G6">
        <v>6</v>
      </c>
      <c r="H6" t="s">
        <v>2510</v>
      </c>
    </row>
    <row r="7" spans="1:8">
      <c r="A7" t="s">
        <v>2516</v>
      </c>
      <c r="D7" s="203">
        <v>92.037558555999993</v>
      </c>
      <c r="E7" s="204"/>
      <c r="F7" s="204"/>
      <c r="G7">
        <v>10</v>
      </c>
      <c r="H7" t="s">
        <v>2512</v>
      </c>
    </row>
    <row r="8" spans="1:8">
      <c r="A8" t="s">
        <v>2517</v>
      </c>
      <c r="C8">
        <v>91.739058494999995</v>
      </c>
      <c r="E8" s="204">
        <v>99.606513977000006</v>
      </c>
      <c r="F8" s="204">
        <v>73.547840117999996</v>
      </c>
      <c r="G8">
        <v>11</v>
      </c>
      <c r="H8" t="s">
        <v>2512</v>
      </c>
    </row>
    <row r="9" spans="1:8">
      <c r="A9" t="s">
        <v>2518</v>
      </c>
      <c r="D9">
        <v>91.737985610999999</v>
      </c>
      <c r="E9" s="204"/>
      <c r="F9" s="204"/>
      <c r="G9">
        <v>20</v>
      </c>
      <c r="H9" t="s">
        <v>2512</v>
      </c>
    </row>
    <row r="10" spans="1:8">
      <c r="A10" t="s">
        <v>2519</v>
      </c>
      <c r="C10">
        <v>39.181947708000003</v>
      </c>
      <c r="E10" s="204">
        <v>46.397089958000002</v>
      </c>
      <c r="F10" s="204">
        <v>23.733973503000001</v>
      </c>
      <c r="G10">
        <v>21</v>
      </c>
      <c r="H10" t="s">
        <v>2512</v>
      </c>
    </row>
    <row r="11" spans="1:8">
      <c r="A11" t="s">
        <v>2520</v>
      </c>
      <c r="C11">
        <v>555.79888820999997</v>
      </c>
      <c r="E11" s="204">
        <v>898.33509921999996</v>
      </c>
      <c r="F11" s="204">
        <v>498.08895588000001</v>
      </c>
      <c r="G11">
        <v>24</v>
      </c>
      <c r="H11" t="s">
        <v>2521</v>
      </c>
    </row>
    <row r="12" spans="1:8">
      <c r="A12" t="s">
        <v>2522</v>
      </c>
      <c r="C12">
        <v>2.8858184813999999</v>
      </c>
      <c r="E12" s="204">
        <v>12.212991713999999</v>
      </c>
      <c r="F12" s="204">
        <v>2.1288394928000001</v>
      </c>
      <c r="G12">
        <v>25</v>
      </c>
      <c r="H12" t="s">
        <v>2523</v>
      </c>
    </row>
    <row r="13" spans="1:8">
      <c r="A13" t="s">
        <v>2524</v>
      </c>
      <c r="D13">
        <v>39.169073105000002</v>
      </c>
      <c r="E13" s="204"/>
      <c r="F13" s="204"/>
      <c r="G13">
        <v>30</v>
      </c>
      <c r="H13" t="s">
        <v>2512</v>
      </c>
    </row>
    <row r="14" spans="1:8">
      <c r="A14" t="s">
        <v>2525</v>
      </c>
      <c r="C14">
        <v>1038.6054515999999</v>
      </c>
      <c r="E14" s="204">
        <v>1837.1773958000001</v>
      </c>
      <c r="F14" s="204">
        <v>747.84362315999999</v>
      </c>
      <c r="G14">
        <v>32</v>
      </c>
      <c r="H14" t="s">
        <v>2521</v>
      </c>
    </row>
    <row r="15" spans="1:8">
      <c r="A15" t="s">
        <v>2526</v>
      </c>
      <c r="D15">
        <v>663.99991511999997</v>
      </c>
      <c r="E15" s="204"/>
      <c r="F15" s="204"/>
      <c r="G15">
        <v>33</v>
      </c>
      <c r="H15" t="s">
        <v>2521</v>
      </c>
    </row>
    <row r="16" spans="1:8">
      <c r="A16" t="s">
        <v>2527</v>
      </c>
      <c r="D16">
        <v>4.2538642883</v>
      </c>
      <c r="E16" s="204"/>
      <c r="F16" s="204"/>
      <c r="G16">
        <v>34</v>
      </c>
      <c r="H16" t="s">
        <v>2523</v>
      </c>
    </row>
    <row r="17" spans="1:8">
      <c r="A17" t="s">
        <v>2528</v>
      </c>
      <c r="C17">
        <v>519.59300040999995</v>
      </c>
      <c r="E17" s="204">
        <v>889.83094691999997</v>
      </c>
      <c r="F17" s="204">
        <v>293.41793059999998</v>
      </c>
      <c r="G17">
        <v>36</v>
      </c>
      <c r="H17" t="s">
        <v>2521</v>
      </c>
    </row>
    <row r="18" spans="1:8">
      <c r="A18" t="s">
        <v>2529</v>
      </c>
      <c r="C18">
        <v>2.8870105743000001</v>
      </c>
      <c r="E18" s="204">
        <v>12.245178223</v>
      </c>
      <c r="F18" s="204">
        <v>2.1228790282999999</v>
      </c>
      <c r="G18">
        <v>37</v>
      </c>
      <c r="H18" t="s">
        <v>2523</v>
      </c>
    </row>
    <row r="19" spans="1:8">
      <c r="A19" t="s">
        <v>2530</v>
      </c>
      <c r="E19" s="204">
        <v>5097.3169803999999</v>
      </c>
      <c r="F19" s="204">
        <v>5042.3020124000004</v>
      </c>
      <c r="G19">
        <v>40</v>
      </c>
      <c r="H19" t="s">
        <v>2512</v>
      </c>
    </row>
    <row r="20" spans="1:8">
      <c r="A20" t="s">
        <v>2531</v>
      </c>
      <c r="C20">
        <v>533.39302540000006</v>
      </c>
      <c r="E20" s="204"/>
      <c r="F20" s="204"/>
      <c r="G20">
        <v>40</v>
      </c>
      <c r="H20" t="s">
        <v>2521</v>
      </c>
    </row>
    <row r="21" spans="1:8">
      <c r="A21" t="s">
        <v>2532</v>
      </c>
      <c r="D21">
        <v>1217.2869444</v>
      </c>
      <c r="E21" s="204"/>
      <c r="F21" s="204"/>
      <c r="G21">
        <v>41</v>
      </c>
      <c r="H21" t="s">
        <v>2521</v>
      </c>
    </row>
    <row r="22" spans="1:8">
      <c r="A22" t="s">
        <v>2533</v>
      </c>
      <c r="E22" s="204">
        <v>99.335551261999996</v>
      </c>
      <c r="F22" s="204">
        <v>73.832035064999999</v>
      </c>
      <c r="G22">
        <v>43</v>
      </c>
      <c r="H22" t="s">
        <v>2512</v>
      </c>
    </row>
    <row r="23" spans="1:8">
      <c r="A23" t="s">
        <v>2534</v>
      </c>
      <c r="C23">
        <v>77.416181563999999</v>
      </c>
      <c r="E23" s="204"/>
      <c r="F23" s="204"/>
      <c r="G23">
        <v>45</v>
      </c>
      <c r="H23" t="s">
        <v>2512</v>
      </c>
    </row>
    <row r="24" spans="1:8">
      <c r="A24" t="s">
        <v>2535</v>
      </c>
      <c r="D24">
        <v>656.61406517</v>
      </c>
      <c r="E24" s="204"/>
      <c r="F24" s="204"/>
      <c r="G24">
        <v>45</v>
      </c>
      <c r="H24" t="s">
        <v>2521</v>
      </c>
    </row>
    <row r="25" spans="1:8">
      <c r="A25" t="s">
        <v>2536</v>
      </c>
      <c r="D25">
        <v>4.2598247528000002</v>
      </c>
      <c r="E25" s="204"/>
      <c r="F25" s="204"/>
      <c r="G25">
        <v>46</v>
      </c>
      <c r="H25" t="s">
        <v>2523</v>
      </c>
    </row>
    <row r="26" spans="1:8">
      <c r="A26" t="s">
        <v>2537</v>
      </c>
      <c r="D26">
        <v>656.05044365000003</v>
      </c>
      <c r="E26" s="204"/>
      <c r="F26" s="204"/>
      <c r="G26">
        <v>49</v>
      </c>
      <c r="H26" t="s">
        <v>2521</v>
      </c>
    </row>
    <row r="27" spans="1:8">
      <c r="A27" t="s">
        <v>2538</v>
      </c>
      <c r="E27" s="204">
        <v>99.447488785000004</v>
      </c>
      <c r="F27" s="204">
        <v>32.272100449</v>
      </c>
      <c r="G27">
        <v>53</v>
      </c>
      <c r="H27" t="s">
        <v>2512</v>
      </c>
    </row>
    <row r="28" spans="1:8">
      <c r="A28" t="s">
        <v>2539</v>
      </c>
      <c r="D28">
        <v>76.153039931999999</v>
      </c>
      <c r="E28" s="204"/>
      <c r="F28" s="204"/>
      <c r="G28">
        <v>54</v>
      </c>
      <c r="H28" t="s">
        <v>2512</v>
      </c>
    </row>
    <row r="29" spans="1:8">
      <c r="A29" t="s">
        <v>2540</v>
      </c>
      <c r="C29">
        <v>46.019554137999997</v>
      </c>
      <c r="E29" s="204"/>
      <c r="F29" s="204"/>
      <c r="G29">
        <v>55</v>
      </c>
      <c r="H29" t="s">
        <v>2512</v>
      </c>
    </row>
    <row r="30" spans="1:8">
      <c r="A30" t="s">
        <v>2541</v>
      </c>
      <c r="C30">
        <v>5064.0645027</v>
      </c>
      <c r="E30" s="204"/>
      <c r="F30" s="204"/>
      <c r="G30">
        <v>58</v>
      </c>
      <c r="H30" t="s">
        <v>2512</v>
      </c>
    </row>
    <row r="31" spans="1:8">
      <c r="A31" t="s">
        <v>2542</v>
      </c>
      <c r="C31">
        <v>77.796459197999994</v>
      </c>
      <c r="E31" s="204"/>
      <c r="F31" s="204"/>
      <c r="G31">
        <v>61</v>
      </c>
      <c r="H31" t="s">
        <v>2512</v>
      </c>
    </row>
    <row r="32" spans="1:8">
      <c r="A32" t="s">
        <v>2543</v>
      </c>
      <c r="E32" s="204">
        <v>46.290040015999999</v>
      </c>
      <c r="F32" s="204">
        <v>24.842381477</v>
      </c>
      <c r="G32">
        <v>63</v>
      </c>
      <c r="H32" t="s">
        <v>2512</v>
      </c>
    </row>
    <row r="33" spans="1:8">
      <c r="A33" t="s">
        <v>2544</v>
      </c>
      <c r="D33">
        <v>50.658941269000003</v>
      </c>
      <c r="E33" s="204"/>
      <c r="F33" s="204"/>
      <c r="G33">
        <v>64</v>
      </c>
      <c r="H33" t="s">
        <v>2512</v>
      </c>
    </row>
    <row r="34" spans="1:8">
      <c r="A34" t="s">
        <v>2545</v>
      </c>
      <c r="E34" s="204">
        <v>937.62743473</v>
      </c>
      <c r="F34" s="204">
        <v>544.94547843999999</v>
      </c>
      <c r="G34">
        <v>66</v>
      </c>
      <c r="H34" t="s">
        <v>2521</v>
      </c>
    </row>
    <row r="35" spans="1:8">
      <c r="A35" t="s">
        <v>2546</v>
      </c>
      <c r="D35">
        <v>5077.1059990000003</v>
      </c>
      <c r="E35" s="204"/>
      <c r="F35" s="204"/>
      <c r="G35">
        <v>67</v>
      </c>
      <c r="H35" t="s">
        <v>2512</v>
      </c>
    </row>
    <row r="36" spans="1:8">
      <c r="A36" t="s">
        <v>2547</v>
      </c>
      <c r="E36" s="204">
        <v>12.315034866</v>
      </c>
      <c r="F36" s="204">
        <v>2.1409988403</v>
      </c>
      <c r="G36">
        <v>67</v>
      </c>
      <c r="H36" t="s">
        <v>2523</v>
      </c>
    </row>
    <row r="37" spans="1:8">
      <c r="A37" t="s">
        <v>2548</v>
      </c>
      <c r="D37">
        <v>76.342463492999997</v>
      </c>
      <c r="E37" s="204"/>
      <c r="F37" s="204"/>
      <c r="G37">
        <v>70</v>
      </c>
      <c r="H37" t="s">
        <v>2512</v>
      </c>
    </row>
    <row r="38" spans="1:8">
      <c r="A38" t="s">
        <v>2549</v>
      </c>
      <c r="C38">
        <v>77.697992325000001</v>
      </c>
      <c r="E38" s="204"/>
      <c r="F38" s="204"/>
      <c r="G38">
        <v>71</v>
      </c>
      <c r="H38" t="s">
        <v>2512</v>
      </c>
    </row>
    <row r="39" spans="1:8">
      <c r="A39" t="s">
        <v>2550</v>
      </c>
      <c r="E39" s="204">
        <v>1833.0590725</v>
      </c>
      <c r="F39" s="204">
        <v>749.61996078000004</v>
      </c>
      <c r="G39">
        <v>74</v>
      </c>
      <c r="H39" t="s">
        <v>2521</v>
      </c>
    </row>
    <row r="40" spans="1:8">
      <c r="A40" t="s">
        <v>2551</v>
      </c>
      <c r="E40" s="204">
        <v>934.46493149000003</v>
      </c>
      <c r="F40" s="204">
        <v>302.49202251000003</v>
      </c>
      <c r="G40">
        <v>78</v>
      </c>
      <c r="H40" t="s">
        <v>2521</v>
      </c>
    </row>
    <row r="41" spans="1:8">
      <c r="A41" t="s">
        <v>2552</v>
      </c>
      <c r="E41" s="204">
        <v>12.253046036000001</v>
      </c>
      <c r="F41" s="204">
        <v>2.1240711212000001</v>
      </c>
      <c r="G41">
        <v>79</v>
      </c>
      <c r="H41" t="s">
        <v>2523</v>
      </c>
    </row>
    <row r="42" spans="1:8">
      <c r="A42" t="s">
        <v>2553</v>
      </c>
      <c r="D42">
        <v>76.385021210000005</v>
      </c>
      <c r="G42">
        <v>80</v>
      </c>
      <c r="H42" t="s">
        <v>2512</v>
      </c>
    </row>
    <row r="43" spans="1:8">
      <c r="A43" t="s">
        <v>2554</v>
      </c>
      <c r="C43">
        <v>27.163028717</v>
      </c>
      <c r="G43">
        <v>81</v>
      </c>
      <c r="H43" t="s">
        <v>2512</v>
      </c>
    </row>
    <row r="44" spans="1:8">
      <c r="A44" t="s">
        <v>2555</v>
      </c>
      <c r="C44">
        <v>643.40138434999994</v>
      </c>
      <c r="G44">
        <v>84</v>
      </c>
      <c r="H44" t="s">
        <v>2521</v>
      </c>
    </row>
    <row r="45" spans="1:8">
      <c r="A45" t="s">
        <v>2556</v>
      </c>
      <c r="C45">
        <v>2.8989315033</v>
      </c>
      <c r="G45">
        <v>85</v>
      </c>
      <c r="H45" t="s">
        <v>2523</v>
      </c>
    </row>
    <row r="46" spans="1:8">
      <c r="A46" t="s">
        <v>2557</v>
      </c>
      <c r="D46">
        <v>25.020003319000001</v>
      </c>
      <c r="G46">
        <v>90</v>
      </c>
      <c r="H46" t="s">
        <v>2512</v>
      </c>
    </row>
    <row r="47" spans="1:8">
      <c r="A47" t="s">
        <v>2558</v>
      </c>
      <c r="C47">
        <v>1047.1230745</v>
      </c>
      <c r="G47">
        <v>92</v>
      </c>
      <c r="H47" t="s">
        <v>2521</v>
      </c>
    </row>
    <row r="48" spans="1:8">
      <c r="A48" t="s">
        <v>2559</v>
      </c>
      <c r="D48">
        <v>698.38547706999998</v>
      </c>
      <c r="G48">
        <v>93</v>
      </c>
      <c r="H48" t="s">
        <v>2521</v>
      </c>
    </row>
    <row r="49" spans="1:8">
      <c r="A49" t="s">
        <v>2560</v>
      </c>
      <c r="D49">
        <v>4.2779445648000003</v>
      </c>
      <c r="G49">
        <v>94</v>
      </c>
      <c r="H49" t="s">
        <v>2523</v>
      </c>
    </row>
    <row r="50" spans="1:8">
      <c r="A50" t="s">
        <v>2561</v>
      </c>
      <c r="C50">
        <v>579.82242107000002</v>
      </c>
      <c r="G50">
        <v>96</v>
      </c>
      <c r="H50" t="s">
        <v>2521</v>
      </c>
    </row>
    <row r="51" spans="1:8">
      <c r="A51" t="s">
        <v>2562</v>
      </c>
      <c r="C51">
        <v>2.8870105743000001</v>
      </c>
      <c r="G51">
        <v>97</v>
      </c>
      <c r="H51" t="s">
        <v>2523</v>
      </c>
    </row>
    <row r="52" spans="1:8">
      <c r="A52" t="s">
        <v>2563</v>
      </c>
      <c r="C52">
        <v>27.26817131</v>
      </c>
      <c r="G52">
        <v>100</v>
      </c>
      <c r="H52" t="s">
        <v>2512</v>
      </c>
    </row>
    <row r="53" spans="1:8">
      <c r="A53" t="s">
        <v>2564</v>
      </c>
      <c r="D53">
        <v>1213.9395474999999</v>
      </c>
      <c r="G53">
        <v>101</v>
      </c>
      <c r="H53" t="s">
        <v>2521</v>
      </c>
    </row>
    <row r="54" spans="1:8">
      <c r="A54" t="s">
        <v>2565</v>
      </c>
      <c r="C54">
        <v>77.335476874999998</v>
      </c>
      <c r="G54">
        <v>104</v>
      </c>
      <c r="H54" t="s">
        <v>2512</v>
      </c>
    </row>
    <row r="55" spans="1:8">
      <c r="A55" t="s">
        <v>2566</v>
      </c>
      <c r="D55">
        <v>668.78950596000004</v>
      </c>
      <c r="G55">
        <v>105</v>
      </c>
      <c r="H55" t="s">
        <v>2521</v>
      </c>
    </row>
    <row r="56" spans="1:8">
      <c r="A56" t="s">
        <v>2567</v>
      </c>
      <c r="D56">
        <v>4.2610168457000004</v>
      </c>
      <c r="G56">
        <v>106</v>
      </c>
      <c r="H56" t="s">
        <v>2523</v>
      </c>
    </row>
    <row r="57" spans="1:8">
      <c r="A57" t="s">
        <v>2568</v>
      </c>
      <c r="D57">
        <v>25.528907776</v>
      </c>
      <c r="G57">
        <v>109</v>
      </c>
      <c r="H57" t="s">
        <v>2512</v>
      </c>
    </row>
    <row r="58" spans="1:8">
      <c r="A58" t="s">
        <v>2569</v>
      </c>
      <c r="D58">
        <v>75.995922089000004</v>
      </c>
      <c r="G58">
        <v>113</v>
      </c>
      <c r="H58" t="s">
        <v>2512</v>
      </c>
    </row>
    <row r="59" spans="1:8">
      <c r="A59" t="s">
        <v>2570</v>
      </c>
      <c r="C59">
        <v>719.81263161000004</v>
      </c>
      <c r="G59">
        <v>117</v>
      </c>
      <c r="H59" t="s">
        <v>2521</v>
      </c>
    </row>
    <row r="60" spans="1:8">
      <c r="A60" t="s">
        <v>2571</v>
      </c>
      <c r="C60">
        <v>5.6240558623999997</v>
      </c>
      <c r="G60">
        <v>118</v>
      </c>
      <c r="H60" t="s">
        <v>2523</v>
      </c>
    </row>
    <row r="61" spans="1:8">
      <c r="A61" t="s">
        <v>2572</v>
      </c>
      <c r="C61">
        <v>1468.8825607000001</v>
      </c>
      <c r="G61">
        <v>125</v>
      </c>
      <c r="H61" t="s">
        <v>2521</v>
      </c>
    </row>
    <row r="62" spans="1:8">
      <c r="A62" t="s">
        <v>2573</v>
      </c>
      <c r="D62">
        <v>658.16998481999997</v>
      </c>
      <c r="G62">
        <v>126</v>
      </c>
      <c r="H62" t="s">
        <v>2521</v>
      </c>
    </row>
    <row r="63" spans="1:8">
      <c r="A63" t="s">
        <v>2574</v>
      </c>
      <c r="D63">
        <v>4.2079687119000004</v>
      </c>
      <c r="G63">
        <v>127</v>
      </c>
      <c r="H63" t="s">
        <v>2523</v>
      </c>
    </row>
    <row r="64" spans="1:8">
      <c r="A64" t="s">
        <v>2575</v>
      </c>
      <c r="C64">
        <v>684.51499938999996</v>
      </c>
      <c r="G64">
        <v>129</v>
      </c>
      <c r="H64" t="s">
        <v>2521</v>
      </c>
    </row>
    <row r="65" spans="1:8">
      <c r="A65" t="s">
        <v>2576</v>
      </c>
      <c r="C65">
        <v>5.6450366974000001</v>
      </c>
      <c r="G65">
        <v>130</v>
      </c>
      <c r="H65" t="s">
        <v>2523</v>
      </c>
    </row>
    <row r="66" spans="1:8">
      <c r="A66" t="s">
        <v>2577</v>
      </c>
      <c r="C66">
        <v>5071.2211132000002</v>
      </c>
      <c r="G66">
        <v>133</v>
      </c>
      <c r="H66" t="s">
        <v>2512</v>
      </c>
    </row>
    <row r="67" spans="1:8">
      <c r="A67" t="s">
        <v>2578</v>
      </c>
      <c r="D67">
        <v>1166.4769650000001</v>
      </c>
      <c r="G67">
        <v>134</v>
      </c>
      <c r="H67" t="s">
        <v>2521</v>
      </c>
    </row>
    <row r="68" spans="1:8">
      <c r="A68" t="s">
        <v>2579</v>
      </c>
      <c r="C68">
        <v>82.771420479</v>
      </c>
      <c r="G68">
        <v>136</v>
      </c>
      <c r="H68" t="s">
        <v>2512</v>
      </c>
    </row>
    <row r="69" spans="1:8">
      <c r="A69" t="s">
        <v>2580</v>
      </c>
      <c r="D69">
        <v>651.57997608000005</v>
      </c>
      <c r="G69">
        <v>138</v>
      </c>
      <c r="H69" t="s">
        <v>2521</v>
      </c>
    </row>
    <row r="70" spans="1:8">
      <c r="A70" t="s">
        <v>2581</v>
      </c>
      <c r="D70">
        <v>4.2190551758000003</v>
      </c>
      <c r="G70">
        <v>139</v>
      </c>
      <c r="H70" t="s">
        <v>2523</v>
      </c>
    </row>
    <row r="71" spans="1:8">
      <c r="A71" t="s">
        <v>2582</v>
      </c>
      <c r="D71">
        <v>5064.0501975999996</v>
      </c>
      <c r="G71">
        <v>142</v>
      </c>
      <c r="H71" t="s">
        <v>2512</v>
      </c>
    </row>
    <row r="72" spans="1:8">
      <c r="A72" t="s">
        <v>2583</v>
      </c>
      <c r="D72">
        <v>82.879066467000001</v>
      </c>
      <c r="G72">
        <v>145</v>
      </c>
      <c r="H72" t="s">
        <v>2512</v>
      </c>
    </row>
    <row r="73" spans="1:8">
      <c r="A73" t="s">
        <v>2584</v>
      </c>
      <c r="C73">
        <v>82.662105560000001</v>
      </c>
      <c r="G73">
        <v>146</v>
      </c>
      <c r="H73" t="s">
        <v>2512</v>
      </c>
    </row>
    <row r="74" spans="1:8">
      <c r="A74" t="s">
        <v>2585</v>
      </c>
      <c r="D74">
        <v>82.625150680999994</v>
      </c>
      <c r="G74">
        <v>155</v>
      </c>
      <c r="H74" t="s">
        <v>2512</v>
      </c>
    </row>
    <row r="75" spans="1:8">
      <c r="A75" t="s">
        <v>2586</v>
      </c>
      <c r="C75">
        <v>30.794858932</v>
      </c>
      <c r="G75">
        <v>156</v>
      </c>
      <c r="H75" t="s">
        <v>2512</v>
      </c>
    </row>
    <row r="76" spans="1:8">
      <c r="A76" t="s">
        <v>2587</v>
      </c>
      <c r="C76">
        <v>761.37697696999999</v>
      </c>
      <c r="G76">
        <v>159</v>
      </c>
      <c r="H76" t="s">
        <v>2521</v>
      </c>
    </row>
    <row r="77" spans="1:8">
      <c r="A77" t="s">
        <v>2588</v>
      </c>
      <c r="C77">
        <v>5.6638717650999997</v>
      </c>
      <c r="G77">
        <v>160</v>
      </c>
      <c r="H77" t="s">
        <v>2523</v>
      </c>
    </row>
    <row r="78" spans="1:8">
      <c r="A78" t="s">
        <v>2589</v>
      </c>
      <c r="D78">
        <v>32.206058501999998</v>
      </c>
      <c r="G78">
        <v>165</v>
      </c>
      <c r="H78" t="s">
        <v>2512</v>
      </c>
    </row>
    <row r="79" spans="1:8">
      <c r="A79" t="s">
        <v>2590</v>
      </c>
      <c r="C79">
        <v>1469.1258668999999</v>
      </c>
      <c r="G79">
        <v>167</v>
      </c>
      <c r="H79" t="s">
        <v>2521</v>
      </c>
    </row>
    <row r="80" spans="1:8">
      <c r="A80" t="s">
        <v>2591</v>
      </c>
      <c r="D80">
        <v>729.44056988</v>
      </c>
      <c r="G80">
        <v>168</v>
      </c>
      <c r="H80" t="s">
        <v>2521</v>
      </c>
    </row>
    <row r="81" spans="1:8">
      <c r="A81" t="s">
        <v>2592</v>
      </c>
      <c r="D81">
        <v>4.2381286621000003</v>
      </c>
      <c r="G81">
        <v>169</v>
      </c>
      <c r="H81" t="s">
        <v>2523</v>
      </c>
    </row>
    <row r="82" spans="1:8">
      <c r="A82" t="s">
        <v>2593</v>
      </c>
      <c r="C82">
        <v>716.67301655000006</v>
      </c>
      <c r="G82">
        <v>171</v>
      </c>
      <c r="H82" t="s">
        <v>2521</v>
      </c>
    </row>
    <row r="83" spans="1:8">
      <c r="A83" t="s">
        <v>2594</v>
      </c>
      <c r="C83">
        <v>5.6449174880999999</v>
      </c>
      <c r="G83">
        <v>172</v>
      </c>
      <c r="H83" t="s">
        <v>2523</v>
      </c>
    </row>
    <row r="84" spans="1:8">
      <c r="A84" t="s">
        <v>2595</v>
      </c>
      <c r="D84">
        <v>1164.7208929000001</v>
      </c>
      <c r="G84">
        <v>176</v>
      </c>
      <c r="H84" t="s">
        <v>2521</v>
      </c>
    </row>
    <row r="85" spans="1:8">
      <c r="A85" t="s">
        <v>2596</v>
      </c>
      <c r="C85">
        <v>43.053030968000002</v>
      </c>
      <c r="G85">
        <v>178</v>
      </c>
      <c r="H85" t="s">
        <v>2510</v>
      </c>
    </row>
    <row r="86" spans="1:8">
      <c r="A86" t="s">
        <v>2597</v>
      </c>
      <c r="D86">
        <v>701.80749892999995</v>
      </c>
      <c r="G86">
        <v>180</v>
      </c>
      <c r="H86" t="s">
        <v>2521</v>
      </c>
    </row>
    <row r="87" spans="1:8">
      <c r="A87" t="s">
        <v>2598</v>
      </c>
      <c r="D87">
        <v>4.2250156402999997</v>
      </c>
      <c r="G87">
        <v>181</v>
      </c>
      <c r="H87" t="s">
        <v>2523</v>
      </c>
    </row>
    <row r="88" spans="1:8">
      <c r="A88" t="s">
        <v>2599</v>
      </c>
      <c r="C88">
        <v>6666.5984392</v>
      </c>
      <c r="G88">
        <v>182</v>
      </c>
      <c r="H88" t="s">
        <v>2514</v>
      </c>
    </row>
    <row r="89" spans="1:8">
      <c r="A89" t="s">
        <v>2600</v>
      </c>
      <c r="C89">
        <v>34.873008728000002</v>
      </c>
      <c r="G89">
        <v>183</v>
      </c>
      <c r="H89" t="s">
        <v>2510</v>
      </c>
    </row>
    <row r="91" spans="1:8">
      <c r="B91" t="s">
        <v>287</v>
      </c>
      <c r="D91">
        <f>SUM(D3:D7)*20/60000</f>
        <v>2.1748357216456666</v>
      </c>
    </row>
    <row r="92" spans="1:8">
      <c r="B92" t="s">
        <v>1199</v>
      </c>
      <c r="E92">
        <f>SUM(E2:E89)*20/60000</f>
        <v>4.3226789236156664</v>
      </c>
      <c r="F92">
        <f>SUM(F2:F89)*20/60000</f>
        <v>2.8300678729825335</v>
      </c>
    </row>
    <row r="93" spans="1:8">
      <c r="B93" t="s">
        <v>1197</v>
      </c>
    </row>
    <row r="94" spans="1:8">
      <c r="D94">
        <f>SUM(D3:D89)*20/60000</f>
        <v>9.427189866704234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6783C952DBC40BA6185D2252D9267" ma:contentTypeVersion="7" ma:contentTypeDescription="Create a new document." ma:contentTypeScope="" ma:versionID="e06a94ef8e55b9ba961c0327e3a7f903">
  <xsd:schema xmlns:xsd="http://www.w3.org/2001/XMLSchema" xmlns:xs="http://www.w3.org/2001/XMLSchema" xmlns:p="http://schemas.microsoft.com/office/2006/metadata/properties" xmlns:ns2="95a1dc1a-0ae5-46ab-840e-4d017bc4d6e1" xmlns:ns3="d35c3fb8-5a49-45df-a380-7a34d8272ec1" targetNamespace="http://schemas.microsoft.com/office/2006/metadata/properties" ma:root="true" ma:fieldsID="a6378b8f5c502b7ce584ca953207197a" ns2:_="" ns3:_="">
    <xsd:import namespace="95a1dc1a-0ae5-46ab-840e-4d017bc4d6e1"/>
    <xsd:import namespace="d35c3fb8-5a49-45df-a380-7a34d8272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1dc1a-0ae5-46ab-840e-4d017bc4d6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c3fb8-5a49-45df-a380-7a34d8272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5a1dc1a-0ae5-46ab-840e-4d017bc4d6e1" xsi:nil="true"/>
    <SharedWithUsers xmlns="d35c3fb8-5a49-45df-a380-7a34d8272ec1">
      <UserInfo>
        <DisplayName>Venkatraman, Vishak</DisplayName>
        <AccountId>1066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1713BC2-2921-403F-A397-29FF73B2D953}"/>
</file>

<file path=customXml/itemProps2.xml><?xml version="1.0" encoding="utf-8"?>
<ds:datastoreItem xmlns:ds="http://schemas.openxmlformats.org/officeDocument/2006/customXml" ds:itemID="{A8334951-B9BF-4D43-B770-4F8E8B18BA62}"/>
</file>

<file path=customXml/itemProps3.xml><?xml version="1.0" encoding="utf-8"?>
<ds:datastoreItem xmlns:ds="http://schemas.openxmlformats.org/officeDocument/2006/customXml" ds:itemID="{C74660B6-F48B-4DA7-A67E-20DC9EA9FA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Bloomstrom, Jason</dc:creator>
  <cp:keywords>CTPClassification=CTP_IC:VisualMarkings=, CTPClassification=CTP_IC</cp:keywords>
  <dc:description/>
  <cp:lastModifiedBy>Sinha, Vineeta</cp:lastModifiedBy>
  <cp:revision/>
  <dcterms:created xsi:type="dcterms:W3CDTF">2015-11-25T03:03:27Z</dcterms:created>
  <dcterms:modified xsi:type="dcterms:W3CDTF">2026-10-22T21:01:03Z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5f96bdc6-c988-45e3-ad94-cbd6756c8408</vt:lpwstr>
  </property>
  <property fmtid="{D5CDD505-2E9C-101B-9397-08002B2CF9AE}" pid="3" name="CTP_BU">
    <vt:lpwstr>TECHNOLOGY MANUFACTURING GROUP</vt:lpwstr>
  </property>
  <property fmtid="{D5CDD505-2E9C-101B-9397-08002B2CF9AE}" pid="4" name="CTP_TimeStamp">
    <vt:lpwstr>2020-08-19 20:32:36Z</vt:lpwstr>
  </property>
  <property fmtid="{D5CDD505-2E9C-101B-9397-08002B2CF9AE}" pid="5" name="IntelDataClassification">
    <vt:lpwstr>NA</vt:lpwstr>
  </property>
  <property fmtid="{D5CDD505-2E9C-101B-9397-08002B2CF9AE}" pid="6" name="ContentTypeId">
    <vt:lpwstr>0x0101002926783C952DBC40BA6185D2252D9267</vt:lpwstr>
  </property>
  <property fmtid="{D5CDD505-2E9C-101B-9397-08002B2CF9AE}" pid="7" name="CTPClassification">
    <vt:lpwstr>CTP_IC</vt:lpwstr>
  </property>
  <property fmtid="{D5CDD505-2E9C-101B-9397-08002B2CF9AE}" pid="8" name="MSIP_Label_9aa06179-68b3-4e2b-b09b-a2424735516b_Enabled">
    <vt:lpwstr>True</vt:lpwstr>
  </property>
  <property fmtid="{D5CDD505-2E9C-101B-9397-08002B2CF9AE}" pid="9" name="MSIP_Label_9aa06179-68b3-4e2b-b09b-a2424735516b_SiteId">
    <vt:lpwstr>46c98d88-e344-4ed4-8496-4ed7712e255d</vt:lpwstr>
  </property>
  <property fmtid="{D5CDD505-2E9C-101B-9397-08002B2CF9AE}" pid="10" name="MSIP_Label_9aa06179-68b3-4e2b-b09b-a2424735516b_Owner">
    <vt:lpwstr>jason.bloomstrom@intel.com</vt:lpwstr>
  </property>
  <property fmtid="{D5CDD505-2E9C-101B-9397-08002B2CF9AE}" pid="11" name="MSIP_Label_9aa06179-68b3-4e2b-b09b-a2424735516b_SetDate">
    <vt:lpwstr>2020-11-17T20:10:49.6974980Z</vt:lpwstr>
  </property>
  <property fmtid="{D5CDD505-2E9C-101B-9397-08002B2CF9AE}" pid="12" name="MSIP_Label_9aa06179-68b3-4e2b-b09b-a2424735516b_Name">
    <vt:lpwstr>Intel Confidential</vt:lpwstr>
  </property>
  <property fmtid="{D5CDD505-2E9C-101B-9397-08002B2CF9AE}" pid="13" name="MSIP_Label_9aa06179-68b3-4e2b-b09b-a2424735516b_Application">
    <vt:lpwstr>Microsoft Azure Information Protection</vt:lpwstr>
  </property>
  <property fmtid="{D5CDD505-2E9C-101B-9397-08002B2CF9AE}" pid="14" name="MSIP_Label_9aa06179-68b3-4e2b-b09b-a2424735516b_ActionId">
    <vt:lpwstr>2990dadb-2d6a-442d-95d3-f740a945fc76</vt:lpwstr>
  </property>
  <property fmtid="{D5CDD505-2E9C-101B-9397-08002B2CF9AE}" pid="15" name="MSIP_Label_9aa06179-68b3-4e2b-b09b-a2424735516b_Extended_MSFT_Method">
    <vt:lpwstr>Automatic</vt:lpwstr>
  </property>
  <property fmtid="{D5CDD505-2E9C-101B-9397-08002B2CF9AE}" pid="16" name="Sensitivity">
    <vt:lpwstr>Intel Confidential</vt:lpwstr>
  </property>
</Properties>
</file>