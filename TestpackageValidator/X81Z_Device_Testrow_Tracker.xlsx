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intel.sharepoint.com/sites/p1281device/Shared Documents/Testchip/0_X81Z/5_Execution/"/>
    </mc:Choice>
  </mc:AlternateContent>
  <xr:revisionPtr revIDLastSave="0" documentId="8_{2700B6A8-6405-468D-8253-BA1B4AC8E98A}" xr6:coauthVersionLast="47" xr6:coauthVersionMax="47" xr10:uidLastSave="{00000000-0000-0000-0000-000000000000}"/>
  <bookViews>
    <workbookView xWindow="38280" yWindow="45" windowWidth="29040" windowHeight="17520" firstSheet="1" activeTab="1" xr2:uid="{00000000-000D-0000-FFFF-FFFF00000000}"/>
  </bookViews>
  <sheets>
    <sheet name="Row Ownership_CatalogLink" sheetId="10" r:id="rId1"/>
    <sheet name="X81Z_Row_Tracker" sheetId="1" r:id="rId2"/>
    <sheet name="X81Z_SL_Tracker" sheetId="8" r:id="rId3"/>
    <sheet name="Frame" sheetId="4" r:id="rId4"/>
    <sheet name="Seat_Count" sheetId="2" r:id="rId5"/>
    <sheet name="X81Z Content summary" sheetId="7" r:id="rId6"/>
    <sheet name="Automation - TC content" sheetId="6" r:id="rId7"/>
    <sheet name="X81Z_ROS_Tracker" sheetId="5" r:id="rId8"/>
    <sheet name="ROS for ROSPFT" sheetId="9" r:id="rId9"/>
  </sheets>
  <definedNames>
    <definedName name="_xlnm._FilterDatabase" localSheetId="0" hidden="1">'Row Ownership_CatalogLink'!$A$7:$K$7</definedName>
    <definedName name="_xlnm._FilterDatabase" localSheetId="1" hidden="1">X81Z_Row_Tracker!$A$1:$AE$312</definedName>
    <definedName name="_xlnm._FilterDatabase" localSheetId="2" hidden="1">X81Z_SL_Tracker!$A$1:$Y$14</definedName>
  </definedNames>
  <calcPr calcId="191028"/>
  <pivotCaches>
    <pivotCache cacheId="68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0" l="1"/>
  <c r="J42" i="10"/>
  <c r="I42" i="10"/>
  <c r="H42" i="10"/>
  <c r="H23" i="2"/>
  <c r="Z103" i="1" l="1"/>
  <c r="G16" i="7"/>
  <c r="G319" i="1" l="1"/>
  <c r="D26" i="2"/>
  <c r="F26" i="2"/>
  <c r="E26" i="2"/>
  <c r="C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tc={C1CC917E-412A-43B8-9277-C15866667885}</author>
  </authors>
  <commentList>
    <comment ref="N113" authorId="0" shapeId="0" xr:uid="{C1CC917E-412A-43B8-9277-C1586666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Well / GLK</t>
      </text>
    </comment>
  </commentList>
</comments>
</file>

<file path=xl/sharedStrings.xml><?xml version="1.0" encoding="utf-8"?>
<sst xmlns="http://schemas.openxmlformats.org/spreadsheetml/2006/main" count="6034" uniqueCount="988">
  <si>
    <t>Rev0.2 - ww13.4</t>
  </si>
  <si>
    <t>Roles:</t>
  </si>
  <si>
    <t>Definition Coordination​:</t>
  </si>
  <si>
    <r>
      <t xml:space="preserve">main POC for specific category (make TSDR skew requests), responsible for </t>
    </r>
    <r>
      <rPr>
        <b/>
        <sz val="9"/>
        <color rgb="FFC00000"/>
        <rFont val="Aptos"/>
        <family val="2"/>
      </rPr>
      <t>content planning: row definition</t>
    </r>
    <r>
      <rPr>
        <sz val="9"/>
        <color theme="1"/>
        <rFont val="Aptos"/>
        <family val="2"/>
      </rPr>
      <t xml:space="preserve"> / row counting estimation : </t>
    </r>
    <r>
      <rPr>
        <sz val="9"/>
        <color rgb="FFC00000"/>
        <rFont val="Aptos"/>
        <family val="2"/>
      </rPr>
      <t>1st review WW15.1 &amp; final review WW16.3</t>
    </r>
    <r>
      <rPr>
        <sz val="9"/>
        <color theme="1"/>
        <rFont val="Aptos"/>
        <family val="2"/>
      </rPr>
      <t xml:space="preserve"> / to be expanded later (see buddy-checking)</t>
    </r>
  </si>
  <si>
    <t>Template Owner:</t>
  </si>
  <si>
    <t xml:space="preserve">TCE automation lead for specific template. </t>
  </si>
  <si>
    <t>Row Build Owner:</t>
  </si>
  <si>
    <t>row integration, including buildsheet creation (intention vs result verification), DRV cleanup (tight sync w/ template owner), TI</t>
  </si>
  <si>
    <r>
      <t>Area</t>
    </r>
    <r>
      <rPr>
        <b/>
        <sz val="10"/>
        <color rgb="FFFFFFFF"/>
        <rFont val="Aptos"/>
        <family val="2"/>
      </rPr>
      <t>​</t>
    </r>
  </si>
  <si>
    <t>Definition Coordination​</t>
  </si>
  <si>
    <r>
      <t>Item</t>
    </r>
    <r>
      <rPr>
        <b/>
        <sz val="10"/>
        <color rgb="FFFFFFFF"/>
        <rFont val="Aptos"/>
        <family val="2"/>
      </rPr>
      <t>​</t>
    </r>
  </si>
  <si>
    <t>Template</t>
  </si>
  <si>
    <r>
      <t>Template Owner</t>
    </r>
    <r>
      <rPr>
        <b/>
        <sz val="10"/>
        <color rgb="FFFFFFFF"/>
        <rFont val="Aptos"/>
        <family val="2"/>
      </rPr>
      <t>​</t>
    </r>
  </si>
  <si>
    <r>
      <t>Row Build Owner</t>
    </r>
    <r>
      <rPr>
        <b/>
        <sz val="10"/>
        <color rgb="FFFFFFFF"/>
        <rFont val="Aptos"/>
        <family val="2"/>
      </rPr>
      <t>​</t>
    </r>
  </si>
  <si>
    <r>
      <t>Draft Row Budget</t>
    </r>
    <r>
      <rPr>
        <b/>
        <sz val="10"/>
        <color rgb="FFFFFFFF"/>
        <rFont val="Aptos"/>
        <family val="2"/>
      </rPr>
      <t>​</t>
    </r>
    <r>
      <rPr>
        <b/>
        <sz val="10"/>
        <color rgb="FF000000"/>
        <rFont val="Aptos"/>
        <family val="2"/>
      </rPr>
      <t xml:space="preserve"> (WW21)</t>
    </r>
  </si>
  <si>
    <t>content review</t>
  </si>
  <si>
    <t>Row Budget (WW22)</t>
  </si>
  <si>
    <t>Final Row Count (WW30)</t>
  </si>
  <si>
    <t>Catalog link</t>
  </si>
  <si>
    <r>
      <t>Testchip Coordination</t>
    </r>
    <r>
      <rPr>
        <b/>
        <sz val="10"/>
        <color rgb="FFFFFFFF"/>
        <rFont val="Aptos"/>
        <family val="2"/>
      </rPr>
      <t>​</t>
    </r>
  </si>
  <si>
    <r>
      <t> </t>
    </r>
    <r>
      <rPr>
        <sz val="10"/>
        <color rgb="FF525252"/>
        <rFont val="Aptos"/>
        <family val="2"/>
      </rPr>
      <t>​</t>
    </r>
  </si>
  <si>
    <t>Contact/MOL​</t>
  </si>
  <si>
    <t>Domingo</t>
  </si>
  <si>
    <t>Contact (FKTCN)​</t>
  </si>
  <si>
    <t>MOS_PFT</t>
  </si>
  <si>
    <t>Yuti</t>
  </si>
  <si>
    <t>1. Han</t>
  </si>
  <si>
    <t>WW16.4 (9am)</t>
  </si>
  <si>
    <t>P1281_X81Z_MOL_Contact_Catalogue.pptx</t>
  </si>
  <si>
    <t>MOL ECD (Poly, TCN)​</t>
  </si>
  <si>
    <t>FE_ECD/CTM_ECD</t>
  </si>
  <si>
    <t>Bindu/ Sai</t>
  </si>
  <si>
    <t>MOL KLV (VT/VG)​</t>
  </si>
  <si>
    <t>VIA_KLV</t>
  </si>
  <si>
    <t>2. Jason</t>
  </si>
  <si>
    <t>OPEN/SHORT</t>
  </si>
  <si>
    <t>FECHN​</t>
  </si>
  <si>
    <t>FE_VIA_CHN/CTM_CHAIN</t>
  </si>
  <si>
    <t>Negar</t>
  </si>
  <si>
    <t>3. Domingo</t>
  </si>
  <si>
    <t>Domingo/Divya</t>
  </si>
  <si>
    <t>GCN​</t>
  </si>
  <si>
    <t>GCN_CHAIN</t>
  </si>
  <si>
    <t>NIck</t>
  </si>
  <si>
    <t>4. Divya</t>
  </si>
  <si>
    <t>WW17.5</t>
  </si>
  <si>
    <t>GCN_KLV</t>
  </si>
  <si>
    <t>Nick</t>
  </si>
  <si>
    <t>GCN_SHORT</t>
  </si>
  <si>
    <t>ISO_BE (VCX/M0)​</t>
  </si>
  <si>
    <t>ISO_XY/CTM_CMB</t>
  </si>
  <si>
    <t>Woo Seok</t>
  </si>
  <si>
    <t xml:space="preserve">5. Domingo --&gt; BE (Sara) budget </t>
  </si>
  <si>
    <t>WW16.4 (VCX)</t>
  </si>
  <si>
    <t>Aaryan</t>
  </si>
  <si>
    <t>ISO_FE​</t>
  </si>
  <si>
    <t>ISO_XY</t>
  </si>
  <si>
    <t>Sandeep</t>
  </si>
  <si>
    <t>5. Aaryan, 6. Shubhajit, 7. Gilad</t>
  </si>
  <si>
    <t>WW16.4(4pm)</t>
  </si>
  <si>
    <t>MOS​</t>
  </si>
  <si>
    <t>Roberto</t>
  </si>
  <si>
    <t>MATCHING pair​</t>
  </si>
  <si>
    <t xml:space="preserve"> 11. Amey, 9. Roberto</t>
  </si>
  <si>
    <t>WW17.4 (9am)</t>
  </si>
  <si>
    <t>1281-TC_X81Z_Golden-PFT_MAT_GNAC_26ww32.5_v2_catalog.pptx</t>
  </si>
  <si>
    <t>Amrit</t>
  </si>
  <si>
    <t>MLR​</t>
  </si>
  <si>
    <t>MOS_MLR</t>
  </si>
  <si>
    <t>Young</t>
  </si>
  <si>
    <t>10. Amrit</t>
  </si>
  <si>
    <t>WW15.4 (9am)</t>
  </si>
  <si>
    <t>X81Z_Miller_Catalogue.pptx</t>
  </si>
  <si>
    <t>PFT​</t>
  </si>
  <si>
    <t>11. Amey, 9. Roberto</t>
  </si>
  <si>
    <t>Jiun</t>
  </si>
  <si>
    <t>PW_PFT</t>
  </si>
  <si>
    <t xml:space="preserve"> 1. Han, 8. Darpan</t>
  </si>
  <si>
    <t>1281-TC_X81Z_MOS_PFT_PW_FTI_Catalog_v1.pptx</t>
  </si>
  <si>
    <t>1281-TC_X81Z_MOS_PFT_PW_PolyCD_PP_Catelog.pptx</t>
  </si>
  <si>
    <t>Jiun/Amrit</t>
  </si>
  <si>
    <t>PW_MLR</t>
  </si>
  <si>
    <t>WW15.4(4pm)</t>
  </si>
  <si>
    <t xml:space="preserve">1281-TC_X81Z_PW MLR_26WW33.5_Catalog.pptx </t>
  </si>
  <si>
    <t>Jaladhi</t>
  </si>
  <si>
    <t>ROSPFT​</t>
  </si>
  <si>
    <t>CTM_PFT</t>
  </si>
  <si>
    <t>13. Jaladhi, 12. Mehdi</t>
  </si>
  <si>
    <t>ROSPFT catalog</t>
  </si>
  <si>
    <t>LLE​</t>
  </si>
  <si>
    <t>Jaesung</t>
  </si>
  <si>
    <t>LLE​_PFT</t>
  </si>
  <si>
    <t>14. Jaesung, 12. Mehdi, 15. Nupur 8. Darpan, 16. Jiun</t>
  </si>
  <si>
    <t>WW14.5</t>
  </si>
  <si>
    <t>P1281_X81Z_LLE_Catalogue_26WW33.pptx</t>
  </si>
  <si>
    <t>LLE​_MLR</t>
  </si>
  <si>
    <t>10. Amrit, 2. Jason</t>
  </si>
  <si>
    <t>1281-TC_X81Z_LLE MLR_26WW33.5_Catalog.pptx</t>
  </si>
  <si>
    <t>SRAM​</t>
  </si>
  <si>
    <t>Divya</t>
  </si>
  <si>
    <t>BCLA, Res, SNM</t>
  </si>
  <si>
    <t>CTM_PLACER_ROUTER</t>
  </si>
  <si>
    <t>Memory Team</t>
  </si>
  <si>
    <t>X81Z_Etest_Memory_Catalog_26WW33.pptx</t>
  </si>
  <si>
    <t>BitPFT (incl. skews), IREAD</t>
  </si>
  <si>
    <t>Col. Logic</t>
  </si>
  <si>
    <t>WID​</t>
  </si>
  <si>
    <t>Multiple</t>
  </si>
  <si>
    <t>mult. Owners (see content details)</t>
  </si>
  <si>
    <t>PROBE (infra)​</t>
  </si>
  <si>
    <t>Pooja?</t>
  </si>
  <si>
    <t>16. Jiun --&gt; BE budget</t>
  </si>
  <si>
    <t>Scribeline​*</t>
  </si>
  <si>
    <t>Phil/Kawser</t>
  </si>
  <si>
    <t>Scribeline​</t>
  </si>
  <si>
    <t>17. Kawser, Roberto + mult. Owners (see content details)</t>
  </si>
  <si>
    <t>ROS​*</t>
  </si>
  <si>
    <t>Wenjun/Jaladhi</t>
  </si>
  <si>
    <t>ROS​</t>
  </si>
  <si>
    <t>NA</t>
  </si>
  <si>
    <t>AD-Shishir</t>
  </si>
  <si>
    <t>GNAC</t>
  </si>
  <si>
    <t>GNAC, PID-tap</t>
  </si>
  <si>
    <t>CTM_GNAC</t>
  </si>
  <si>
    <t>9. Roberto</t>
  </si>
  <si>
    <t>Multi-Fin</t>
  </si>
  <si>
    <t>ROSPFT</t>
  </si>
  <si>
    <t>TBD</t>
  </si>
  <si>
    <t>LLE</t>
  </si>
  <si>
    <t>14. Jaesung, 12. Mehdi</t>
  </si>
  <si>
    <t>Jiun-hong</t>
  </si>
  <si>
    <t>ADT</t>
  </si>
  <si>
    <t>16. Jiun</t>
  </si>
  <si>
    <t>Analog</t>
  </si>
  <si>
    <t>ADT, HV, EHV</t>
  </si>
  <si>
    <t>PFT</t>
  </si>
  <si>
    <t>1281-TC_X81Z_ADT_Catalog_26WW33.pptx</t>
  </si>
  <si>
    <t>MLR</t>
  </si>
  <si>
    <t>ISO</t>
  </si>
  <si>
    <t>7. Gilad</t>
  </si>
  <si>
    <t>IDR</t>
  </si>
  <si>
    <t>Caine/Roberto</t>
  </si>
  <si>
    <t>WW27~WW30 (4 DBC / 105 each DBC)</t>
  </si>
  <si>
    <t>WW16.5</t>
  </si>
  <si>
    <t>Test Row Name</t>
  </si>
  <si>
    <t>Library</t>
  </si>
  <si>
    <t>Test Row Owner</t>
  </si>
  <si>
    <t>TCE Template</t>
  </si>
  <si>
    <t>Template Owner</t>
  </si>
  <si>
    <t>Any Manual Edits?</t>
  </si>
  <si>
    <t>Area</t>
  </si>
  <si>
    <t>Structure Type</t>
  </si>
  <si>
    <t>Row Description</t>
  </si>
  <si>
    <t>Seat</t>
  </si>
  <si>
    <t>DFP/DFN</t>
  </si>
  <si>
    <t>Duplicate in TC21/22</t>
  </si>
  <si>
    <t>reusable for X81A</t>
  </si>
  <si>
    <t>ECD for X81A</t>
  </si>
  <si>
    <t>Content Owner</t>
  </si>
  <si>
    <t>Spec ready?</t>
  </si>
  <si>
    <t>Spec Link</t>
  </si>
  <si>
    <t>Buildsheet ready?</t>
  </si>
  <si>
    <t>DRV clean?</t>
  </si>
  <si>
    <t>LVS clean?</t>
  </si>
  <si>
    <t>Buddy Check Owner</t>
  </si>
  <si>
    <t>BC Assigned Date</t>
  </si>
  <si>
    <t>BC Close Date</t>
  </si>
  <si>
    <t>Row TI date</t>
  </si>
  <si>
    <t>Final TC seat</t>
  </si>
  <si>
    <t>JIRA Ticket</t>
  </si>
  <si>
    <t>Comments</t>
  </si>
  <si>
    <t>IL Etest PKG</t>
  </si>
  <si>
    <t>EOL Etest PKG</t>
  </si>
  <si>
    <t>TYPE</t>
  </si>
  <si>
    <t>TTE(sec)</t>
  </si>
  <si>
    <t>x81zs_ncl93</t>
  </si>
  <si>
    <t>xtrpfx81z_x81_lay</t>
  </si>
  <si>
    <t>Darpan</t>
  </si>
  <si>
    <t>TCN-BCD</t>
  </si>
  <si>
    <t>DBC3</t>
  </si>
  <si>
    <t>WW34 - DBC1</t>
  </si>
  <si>
    <t>Y (review ww15.1)</t>
  </si>
  <si>
    <t>LINK</t>
  </si>
  <si>
    <t>N</t>
  </si>
  <si>
    <t>x81zs_ncl94</t>
  </si>
  <si>
    <t>DBC4</t>
  </si>
  <si>
    <t>x</t>
  </si>
  <si>
    <t>yes but need to rearranage with more contents</t>
  </si>
  <si>
    <t>Y (review ww17.3)</t>
  </si>
  <si>
    <t>Y</t>
  </si>
  <si>
    <t>TSDR1282-433</t>
  </si>
  <si>
    <t>ENG</t>
  </si>
  <si>
    <t>x81zs_ncl95</t>
  </si>
  <si>
    <t>YES</t>
  </si>
  <si>
    <t>EHV/HV</t>
  </si>
  <si>
    <t>NO, manual edits</t>
  </si>
  <si>
    <t>x81zs_pcl94</t>
  </si>
  <si>
    <t>x81zs_pcl95</t>
  </si>
  <si>
    <t>x81zs_npcl96</t>
  </si>
  <si>
    <t>ADT Bridging Structures</t>
  </si>
  <si>
    <t>x81zs_npm71</t>
  </si>
  <si>
    <t>xtrcapx81z_x81_lay</t>
  </si>
  <si>
    <t>EHV_MLR</t>
  </si>
  <si>
    <t>HV MLR 165CH</t>
  </si>
  <si>
    <t>ww31.2</t>
  </si>
  <si>
    <t>TSDR1282-518, TSDR1282-507</t>
  </si>
  <si>
    <t>x81zs_xm72</t>
  </si>
  <si>
    <t>HV MLR 132CH</t>
  </si>
  <si>
    <t>x81zs_pcl93</t>
  </si>
  <si>
    <t>PW_TCN</t>
  </si>
  <si>
    <t>x81zs_ncl01</t>
  </si>
  <si>
    <t>Amey</t>
  </si>
  <si>
    <t>All CH-LNR exploration w/ LVT, CMOS No-DBI skews on 132H Z5 all VTs, 110H Z3 LVT</t>
  </si>
  <si>
    <t>Y - partial, see DH/Turbo vs no-DBI</t>
  </si>
  <si>
    <t>Y (revised ww22.4)</t>
  </si>
  <si>
    <t>link</t>
  </si>
  <si>
    <t>ww29.5</t>
  </si>
  <si>
    <t>TSDR1282-423</t>
  </si>
  <si>
    <t>M1IL</t>
  </si>
  <si>
    <t>CRITMOS_1</t>
  </si>
  <si>
    <t>POR</t>
  </si>
  <si>
    <t>x81zs_ncl02</t>
  </si>
  <si>
    <t>All-VT, widest LNR each CH + 165-Z6 (UL, S, H)</t>
  </si>
  <si>
    <t>DBC1</t>
  </si>
  <si>
    <t>TSDR1282-410,TSDR1282-411,TSDR1282-416,TSDR1282-423</t>
  </si>
  <si>
    <t>PFT pending DRV; LVS cleanup; BC IP</t>
  </si>
  <si>
    <t>x81zs_ncl03</t>
  </si>
  <si>
    <t>All-VT, narrowest LNR each CH + 165-Z4 (UL, S, H)</t>
  </si>
  <si>
    <t>TSDR1282-410,TSDR1282-416,TSDR1282-423</t>
  </si>
  <si>
    <t>CRITMOS_2</t>
  </si>
  <si>
    <t>x81zs_ncl11</t>
  </si>
  <si>
    <t>UNI: All CH-LNR exploration w/ LVT, CMOS No-DBI skews on 165H Z7 all VTs, 110H Z3 ELVT</t>
  </si>
  <si>
    <t>x81zs_pcl01</t>
  </si>
  <si>
    <t>x81zs_pcl02</t>
  </si>
  <si>
    <t>x81zs_pcl03</t>
  </si>
  <si>
    <t>x81zs_pcl11</t>
  </si>
  <si>
    <t>x81zs_nm01</t>
  </si>
  <si>
    <t>Standard Millers</t>
  </si>
  <si>
    <t>Standard Millers - 132H</t>
  </si>
  <si>
    <t>Y but needs routing update</t>
  </si>
  <si>
    <t>Spec</t>
  </si>
  <si>
    <t>ww29.2</t>
  </si>
  <si>
    <t>ww29.4</t>
  </si>
  <si>
    <t>TSDR1282-518</t>
  </si>
  <si>
    <t>x81zs_nm02</t>
  </si>
  <si>
    <t>Standard Millers - 165H</t>
  </si>
  <si>
    <t>ww28.6</t>
  </si>
  <si>
    <t>ww29.0</t>
  </si>
  <si>
    <t>ww29.1</t>
  </si>
  <si>
    <t>TSDR1282-448, TSDR1282-352, TSDR1282-416</t>
  </si>
  <si>
    <t>x81zs_nm03</t>
  </si>
  <si>
    <t>Standard Millers - 110H</t>
  </si>
  <si>
    <t>x81zs_nm04</t>
  </si>
  <si>
    <t>Standard Millers, 5T, UNI-M1, /D, PFT-like LLE, N/Y DBI+ Y/N Implant - 132H</t>
  </si>
  <si>
    <t>Omair</t>
  </si>
  <si>
    <t>ww30.3</t>
  </si>
  <si>
    <t>ww30.4</t>
  </si>
  <si>
    <t>ww30.6</t>
  </si>
  <si>
    <t>x81zs_pm01</t>
  </si>
  <si>
    <t>ww39.4</t>
  </si>
  <si>
    <t>x81zs_pm02</t>
  </si>
  <si>
    <t>x81zs_pm03</t>
  </si>
  <si>
    <t>x81zs_pm04</t>
  </si>
  <si>
    <t>Standard Millers, 5T, UNI-M1, /D,  PFT-like LLE, N/Y DBI+ Y/N Implant - 132H</t>
  </si>
  <si>
    <t>ww30.5</t>
  </si>
  <si>
    <t>ww31.1</t>
  </si>
  <si>
    <t>x81zs_xm01</t>
  </si>
  <si>
    <t>x81zs_xm02</t>
  </si>
  <si>
    <t>x81zs_xm03</t>
  </si>
  <si>
    <t>x81zs_xpm04</t>
  </si>
  <si>
    <t>ww31.0</t>
  </si>
  <si>
    <t>ww30.2</t>
  </si>
  <si>
    <t>x81zs_nm_ply03</t>
  </si>
  <si>
    <t>Jason</t>
  </si>
  <si>
    <t>PW Miller Skews</t>
  </si>
  <si>
    <t>PLYCD+PP skews - 132H</t>
  </si>
  <si>
    <t>TSDR1282-523</t>
  </si>
  <si>
    <t>Pending Dispo State</t>
  </si>
  <si>
    <t>x81zs_pm_ply03</t>
  </si>
  <si>
    <t>TSDR1282-530</t>
  </si>
  <si>
    <t>x81zs_pm_ply04</t>
  </si>
  <si>
    <t>PLYCD+PP, PLYCDinverTCNCD, PolyCd only and TCN CD only skews - 132H</t>
  </si>
  <si>
    <t>x81zs_fktcn_01</t>
  </si>
  <si>
    <t>Han</t>
  </si>
  <si>
    <t>FKTCN</t>
  </si>
  <si>
    <t>FKTCN 132H Z5 with TCN CD skew</t>
  </si>
  <si>
    <t>Waived</t>
  </si>
  <si>
    <t>TSDR1282-419, TSDR1282-562 (LVS waiver)</t>
  </si>
  <si>
    <t>Ready for Tape-in</t>
  </si>
  <si>
    <t>x81zs_fktcn_02</t>
  </si>
  <si>
    <t>FKTCN 165H Z7 with TCN CD skew</t>
  </si>
  <si>
    <t>x81zs_fktcn_03</t>
  </si>
  <si>
    <t>FKTCN 110H Z1 with TCN CD skew</t>
  </si>
  <si>
    <t>TSDR1282-419,  TSDR1282-573, TSDR1282-562 (LVS waiver)</t>
  </si>
  <si>
    <t>x81zs_vtvg_klv_01a</t>
  </si>
  <si>
    <t>conx81z_x81_lay</t>
  </si>
  <si>
    <t>KLV (VT/VG)​</t>
  </si>
  <si>
    <t>ViaG/ViaT 5-pad Line End enclosure</t>
  </si>
  <si>
    <t>x81zs_vtvg_klv_02</t>
  </si>
  <si>
    <t>ViaG/ViaT KLV with REG/CD Skews</t>
  </si>
  <si>
    <t>TSDR1282-492</t>
  </si>
  <si>
    <t>x81zs_rospft06</t>
  </si>
  <si>
    <t>xtrmiscx81z_x81_lay</t>
  </si>
  <si>
    <t>132H 1LG 1X + 1LG 6X</t>
  </si>
  <si>
    <t>SPEC</t>
  </si>
  <si>
    <t>TSDR1282-615, TSDR1282-609</t>
  </si>
  <si>
    <t>x81zs_rospft08</t>
  </si>
  <si>
    <t>132H 1LG 6X + 2LG 6X</t>
  </si>
  <si>
    <t>x81zs_rospft09</t>
  </si>
  <si>
    <t>x81zs_rospft10</t>
  </si>
  <si>
    <t>x81zs_tcn_gate_klv_01</t>
  </si>
  <si>
    <t>Umesh</t>
  </si>
  <si>
    <t>KLV (PLY)​</t>
  </si>
  <si>
    <t>GATEKLV, TCNKLV</t>
  </si>
  <si>
    <t>TSDR1282-475</t>
  </si>
  <si>
    <t>Ready for tape in</t>
  </si>
  <si>
    <t>x81zs_tcn_gate_klv_02</t>
  </si>
  <si>
    <t>KLV (TCN)​</t>
  </si>
  <si>
    <t>PLY TCN</t>
  </si>
  <si>
    <t>x81zs_tcn_ply_chn_01</t>
  </si>
  <si>
    <t>CHN</t>
  </si>
  <si>
    <t>TCN PLY CHN</t>
  </si>
  <si>
    <t>ww30.7</t>
  </si>
  <si>
    <t>DRC clean</t>
  </si>
  <si>
    <t>x81zs_tcn_ply_chn_02</t>
  </si>
  <si>
    <t>x81zs_epiepitcn03</t>
  </si>
  <si>
    <t>isox81z_x81_lay</t>
  </si>
  <si>
    <t>ISO_FE</t>
  </si>
  <si>
    <t>TCN ETE PGD</t>
  </si>
  <si>
    <t>x81zs_diffiso01_e</t>
  </si>
  <si>
    <t>Shubhajit</t>
  </si>
  <si>
    <t>FTI Leakage</t>
  </si>
  <si>
    <t>WW37</t>
  </si>
  <si>
    <t>Ready for Tapein</t>
  </si>
  <si>
    <t>x81zs_diffchn01</t>
  </si>
  <si>
    <t>EpiTCNM0 Fails</t>
  </si>
  <si>
    <t>TSDR1282-394, TSDR1282-458, TSDR1282-410, TSDR1282-449, TSDR1282-308, TSDR1282-439, TSDR1282-366, TSDR1282-395, TSDR1282-416, TSDR1282-392</t>
  </si>
  <si>
    <t>x81zs_gategate01</t>
  </si>
  <si>
    <t>Gilad</t>
  </si>
  <si>
    <t>Gate ETE PGD, Gate to gate PGD LKG SDR 2track and one track long PLY with max density</t>
  </si>
  <si>
    <t>WW38</t>
  </si>
  <si>
    <t>https://jira.devtools.intel.com/browse/TSDR1282-472</t>
  </si>
  <si>
    <t>x81zs_ctg01</t>
  </si>
  <si>
    <t>Contact-to-Gate, SDR CTG_OGD: 2TRK, 2TRK_NoGLK, 2TRK_NoTLK, 1TRK_W/O_Links</t>
  </si>
  <si>
    <t>y</t>
  </si>
  <si>
    <t>TSDR1282-554</t>
  </si>
  <si>
    <t>x81zs_ctg02</t>
  </si>
  <si>
    <t>Contact-to-Gate, SDR CTG OGD - 2TRK and 1TRK long overlaps between PLY /TCN, + Diff depop and PLY_BLK, + 110HZ1 VCR PGD CD skews</t>
  </si>
  <si>
    <t>x81zs_row01</t>
  </si>
  <si>
    <t>rosx81z_x81_lay</t>
  </si>
  <si>
    <t>ROS</t>
  </si>
  <si>
    <t>x81zs_row02</t>
  </si>
  <si>
    <t>x81zs_row03</t>
  </si>
  <si>
    <t>x81zs_row04</t>
  </si>
  <si>
    <t>x81zs_row05</t>
  </si>
  <si>
    <t>x81zs_row06</t>
  </si>
  <si>
    <t>x81zs_row07</t>
  </si>
  <si>
    <t>x81zs_row08</t>
  </si>
  <si>
    <t>x81zs_row09</t>
  </si>
  <si>
    <t>x81zs_row10</t>
  </si>
  <si>
    <t>x81zs_row11</t>
  </si>
  <si>
    <t>x81zs_row12</t>
  </si>
  <si>
    <t>x81zs_row13</t>
  </si>
  <si>
    <t>x81zs_row14</t>
  </si>
  <si>
    <t>x81zs_row15</t>
  </si>
  <si>
    <t>x81zs_ncl05</t>
  </si>
  <si>
    <t>All-VT (LVT in *cl01), mid LNR 110h, 132h. 165h Z2 (E, U), 165h Z4 (E, U), 165h Z6 E</t>
  </si>
  <si>
    <t>DBC2</t>
  </si>
  <si>
    <t>ww28.5</t>
  </si>
  <si>
    <t>WW29.3</t>
  </si>
  <si>
    <t>TSDR1282-416,TSDR1282-428,TSDR1282-427</t>
  </si>
  <si>
    <t>Pending Dispo</t>
  </si>
  <si>
    <t>x81zs_ncl07</t>
  </si>
  <si>
    <t>'CMOS_80': 1X1 bridge to X80C</t>
  </si>
  <si>
    <t>x81zs_ncl08</t>
  </si>
  <si>
    <t>CMOS_A: widest LNR each CH</t>
  </si>
  <si>
    <t>TSDR1282-410,TSDR1282-416,TSDR1282-420,TSDR1282-423</t>
  </si>
  <si>
    <t>x81zs_ncl09</t>
  </si>
  <si>
    <t>CMOS_A: narrowest LNR each CH</t>
  </si>
  <si>
    <t>x81zs_ncl12</t>
  </si>
  <si>
    <t>UNI: All-VT, widest LNR each CH + 165-Z6 (UL, S, H)</t>
  </si>
  <si>
    <t>TSDR1282-417,TSDR1282-416,TSDR1282-428,TSDR1282-427</t>
  </si>
  <si>
    <t>x81zs_ncl13</t>
  </si>
  <si>
    <t>UNI: All-VT, narrowest LNR each CH + 165-Z4 (UL, S, H)</t>
  </si>
  <si>
    <t>x81zs_ncl15</t>
  </si>
  <si>
    <t>UNI: All-VT (LVT in *cl01), mid LNR 110h, 132h. 165h Z2 (E, U), 165h Z4 (E, U), 165h Z6 E</t>
  </si>
  <si>
    <t>x81zs_ncl17</t>
  </si>
  <si>
    <t>'UNI_80': 1X1 bridge to X80C</t>
  </si>
  <si>
    <t>TSDR1282-414,TSDR1282-416,TSDR1282-423</t>
  </si>
  <si>
    <t>x81zs_pcl05</t>
  </si>
  <si>
    <t>x81zs_pcl07</t>
  </si>
  <si>
    <t>x81zs_pcl08</t>
  </si>
  <si>
    <t>x81zs_pcl09</t>
  </si>
  <si>
    <t>x81zs_pcl12</t>
  </si>
  <si>
    <t>x81zs_pcl13</t>
  </si>
  <si>
    <t>x81zs_pcl15</t>
  </si>
  <si>
    <t>x81zs_pcl17</t>
  </si>
  <si>
    <t>x81zs_npcl18</t>
  </si>
  <si>
    <t>GNAC DOE 10 DUT total</t>
  </si>
  <si>
    <t>ww29.7</t>
  </si>
  <si>
    <t>ww29.3</t>
  </si>
  <si>
    <t>TSDR1282-498</t>
  </si>
  <si>
    <t>x81zs_npxm02</t>
  </si>
  <si>
    <t>5T,  /D, PFT-like LLE- 110H</t>
  </si>
  <si>
    <t>ww30.0</t>
  </si>
  <si>
    <t>x81zs_npxm01</t>
  </si>
  <si>
    <t>Standard Millers, 5T, UNI-M1, /D - 165H</t>
  </si>
  <si>
    <t>x81zs_npm01</t>
  </si>
  <si>
    <t>N/Y DBI+ Y/N Implant, Area skew - 132H</t>
  </si>
  <si>
    <t>x81zs_npxm03</t>
  </si>
  <si>
    <t>N/Y DBI+ Y/N Implant, Area skew, LLE, 5T - 132H</t>
  </si>
  <si>
    <t>x81zs_nm_ply04</t>
  </si>
  <si>
    <t>PLYCDinverTCNCD, PolyCd only and TCN CD only skews- 132H</t>
  </si>
  <si>
    <t>x81zs_rospft01</t>
  </si>
  <si>
    <t>132H 2LG 1X</t>
  </si>
  <si>
    <t>TSDR1282-615</t>
  </si>
  <si>
    <t>x81zs_rospft02</t>
  </si>
  <si>
    <t>x81zs_rospft04</t>
  </si>
  <si>
    <t>132H 1LG 1X</t>
  </si>
  <si>
    <t>ww31.2 (need edit, done, re-check OK)</t>
  </si>
  <si>
    <t>x81zs_rospft05</t>
  </si>
  <si>
    <t>x81zs_rospft07</t>
  </si>
  <si>
    <t>x81zs_epiepi01</t>
  </si>
  <si>
    <t>Epi ETE PGD</t>
  </si>
  <si>
    <t>TSDR1282-416, TCE81-706</t>
  </si>
  <si>
    <t>x81zs_epiepi02</t>
  </si>
  <si>
    <t>EPITCN ETE PGD</t>
  </si>
  <si>
    <t>x81zs_tcntcn01</t>
  </si>
  <si>
    <t>x81zs_epitcn01</t>
  </si>
  <si>
    <t>EPI TCN SDR ETE PGD INLINE</t>
  </si>
  <si>
    <t>x81zs_diffiso02</t>
  </si>
  <si>
    <t>TSDR1282-453</t>
  </si>
  <si>
    <t>Ready for Tapein (few TGFT errors, received waivers, ticket # mentioned)</t>
  </si>
  <si>
    <t>x81zs_diffiso03</t>
  </si>
  <si>
    <t>x81zs_diffiso04</t>
  </si>
  <si>
    <t>x81zs_diffiso05</t>
  </si>
  <si>
    <t>Drop some non-standard structures, high number of violations</t>
  </si>
  <si>
    <t>x81zs_diffchn02</t>
  </si>
  <si>
    <t>x81zs_diffchn03</t>
  </si>
  <si>
    <t>TSDR1282-439, TSDR1282-416</t>
  </si>
  <si>
    <t>Ready for tape-in (29.4)</t>
  </si>
  <si>
    <t>x81zs_diffchn04</t>
  </si>
  <si>
    <t>TSDR1282-439, TSDR1282-416, TSDR1282-395</t>
  </si>
  <si>
    <t>x81zs_gategate02</t>
  </si>
  <si>
    <t>Gate ETE PGD, OC1 and OC2 ( for PLY ETE capacitance) - 2Diff track long PLY, with max density</t>
  </si>
  <si>
    <t xml:space="preserve">Y  </t>
  </si>
  <si>
    <t>x81zs_gategate04</t>
  </si>
  <si>
    <t>Gate ETE PGD, 110HZ1,  gategateETE + OC1</t>
  </si>
  <si>
    <t>x81zs_gategate03</t>
  </si>
  <si>
    <t>Gate ETE PGD</t>
  </si>
  <si>
    <t>WW39</t>
  </si>
  <si>
    <t>TSDR1282-458, TSDR1282-410, TSDR1282-449, TSDR1282-308, TSDR1282-416, TSDR1282-392</t>
  </si>
  <si>
    <t>x81zs_gategate05</t>
  </si>
  <si>
    <t>TSDR1282-453, TSDR1282-494</t>
  </si>
  <si>
    <t>Pending Dispo (TG errors waived, 1 HCK error waived)</t>
  </si>
  <si>
    <t>x81zs_gategate06</t>
  </si>
  <si>
    <t>TSDR1282-453,  TSDR1282-494</t>
  </si>
  <si>
    <t>x81zs_gategate07_b</t>
  </si>
  <si>
    <t>x81zs_gategate08</t>
  </si>
  <si>
    <t>May not need</t>
  </si>
  <si>
    <t>x81zs_ctg03</t>
  </si>
  <si>
    <t>Contact-to-Gate</t>
  </si>
  <si>
    <t>WW37 - DBC1 (~)</t>
  </si>
  <si>
    <t>x81zs_ctg04</t>
  </si>
  <si>
    <t>Contact-to-Gate, Poly DC skew - With fixed SPCR (TCN CD skew) and Fixed TCN (The PLY/TCN SPCR change size)</t>
  </si>
  <si>
    <t>x81zs_ctg05</t>
  </si>
  <si>
    <t>Contact-to-Gate, VCR PGD Reg/CD skews</t>
  </si>
  <si>
    <t>x81zs_ctg06</t>
  </si>
  <si>
    <t>Contact-to-Gate, VCR NUB - OGD CD/Rep skew</t>
  </si>
  <si>
    <t>x81zs_ctg07</t>
  </si>
  <si>
    <t>x81zs_nlle01</t>
  </si>
  <si>
    <t>LLE_PFT</t>
  </si>
  <si>
    <t>Diff JOG</t>
  </si>
  <si>
    <t>Link</t>
  </si>
  <si>
    <t>TSDR1282-467,TSDR1282-410,TSDR1282-433,TSDR1282-413,TSDR1282-416,TSDR1282-471</t>
  </si>
  <si>
    <t>no test</t>
  </si>
  <si>
    <t>LLE_GOLDEN (w/ etest parameter trimming)</t>
  </si>
  <si>
    <t>x81zs_plle01</t>
  </si>
  <si>
    <t>x81zs_nplle02</t>
  </si>
  <si>
    <t>TSDR1282-410,TSDR1282-433,TSDR1282-413,TSDR1282-416</t>
  </si>
  <si>
    <t>x81zs_nlle09</t>
  </si>
  <si>
    <t>FTI Nesting</t>
  </si>
  <si>
    <t>yes but will move to pMUX</t>
  </si>
  <si>
    <t>[TSDR1282-608]</t>
  </si>
  <si>
    <t>x81zs_plle09</t>
  </si>
  <si>
    <t>x81zs_nlle23</t>
  </si>
  <si>
    <t>VT mixing</t>
  </si>
  <si>
    <t>TSDR1282-423, TSDR1282-416</t>
  </si>
  <si>
    <t>RFT. Status=Pending dispo</t>
  </si>
  <si>
    <t>x81zs_plle23</t>
  </si>
  <si>
    <t>x81zs_nlle03</t>
  </si>
  <si>
    <t>LLE_MISC</t>
  </si>
  <si>
    <t>x81zs_plle03</t>
  </si>
  <si>
    <t>x81zs_nlle04</t>
  </si>
  <si>
    <t>x81zs_plle04</t>
  </si>
  <si>
    <t>x81zs_nplle07</t>
  </si>
  <si>
    <t>Tap proximity</t>
  </si>
  <si>
    <t>x81zs_nlle08</t>
  </si>
  <si>
    <t>DIFF ROOST</t>
  </si>
  <si>
    <t>TSDR1282-410, TSDR1282-416,TSDR1282-417</t>
  </si>
  <si>
    <t>x81zs_plle08</t>
  </si>
  <si>
    <t>x81zs_nlle10</t>
  </si>
  <si>
    <t>x81zs_plle10</t>
  </si>
  <si>
    <t>x81zs_nlle11</t>
  </si>
  <si>
    <t>x81zs_plle11</t>
  </si>
  <si>
    <t>x81zs_nlle12</t>
  </si>
  <si>
    <t>x81zs_plle12</t>
  </si>
  <si>
    <t>x81zs_nlle13</t>
  </si>
  <si>
    <t>x81zs_plle13</t>
  </si>
  <si>
    <t>x81zs_nlle14</t>
  </si>
  <si>
    <t>Fin depop</t>
  </si>
  <si>
    <t>Mehdi</t>
  </si>
  <si>
    <t>x81zs_plle14</t>
  </si>
  <si>
    <t>x81zs_nlle15</t>
  </si>
  <si>
    <t>x81zs_plle15</t>
  </si>
  <si>
    <t>x81zs_nlle18</t>
  </si>
  <si>
    <t>Skip track/stacked FTI</t>
  </si>
  <si>
    <t>x81zs_plle18</t>
  </si>
  <si>
    <t>x81zs_nlle19</t>
  </si>
  <si>
    <t>x81zs_plle19</t>
  </si>
  <si>
    <t>x81zs_nlle20a</t>
  </si>
  <si>
    <t>FTI Roosting</t>
  </si>
  <si>
    <t>TSDR1282-596</t>
  </si>
  <si>
    <t>x81zs_plle20</t>
  </si>
  <si>
    <t>x81zs_nlle21</t>
  </si>
  <si>
    <t>x81zs_plle21</t>
  </si>
  <si>
    <t>x81zs_nlle22</t>
  </si>
  <si>
    <t>MG misreg</t>
  </si>
  <si>
    <t>copy and put at top, mid, bot in TC (i.e., plus 2 rows)</t>
  </si>
  <si>
    <t>TSDR1282-423, TSDR1282-416, TSDR1282-451</t>
  </si>
  <si>
    <t>Retrieving data. Wait a few seconds and try to cut or copy again.</t>
  </si>
  <si>
    <t>x81zs_plle22</t>
  </si>
  <si>
    <t>Status=executing tape-in flow</t>
  </si>
  <si>
    <t>x81zs_nlle24</t>
  </si>
  <si>
    <t>x81zs_plle24</t>
  </si>
  <si>
    <t>x81zs_nlle25</t>
  </si>
  <si>
    <t>TSDR1282-423, TSDR1282-416, TSDR1282-328</t>
  </si>
  <si>
    <t>x81zs_plle25</t>
  </si>
  <si>
    <t>x81zs_nlle26</t>
  </si>
  <si>
    <t>x81zs_plle26</t>
  </si>
  <si>
    <t>x81zs_nlle27</t>
  </si>
  <si>
    <t>TSDR1282-423, TSDR1282-416, TSDR1282-328, TSDR1282-450</t>
  </si>
  <si>
    <t>x81zs_plle27</t>
  </si>
  <si>
    <t>x81zs_nlle28</t>
  </si>
  <si>
    <t>x81zs_plle28</t>
  </si>
  <si>
    <t>x81zs_nlle29</t>
  </si>
  <si>
    <t>x81zs_plle29</t>
  </si>
  <si>
    <t>x81zs_nplle30</t>
  </si>
  <si>
    <t>TSDR1282-423, TSDR1282-416, TSDR1282-450</t>
  </si>
  <si>
    <t>x81zs_nplle31</t>
  </si>
  <si>
    <t>NP OGD transition</t>
  </si>
  <si>
    <t>x81zs_nplle32</t>
  </si>
  <si>
    <t>x81zs_nplle33</t>
  </si>
  <si>
    <t>POLYEC, MGC (PFE) Roosting</t>
  </si>
  <si>
    <t>TSDR1282-410,TSDR1282-413,TSDR1282-416,TSDR1282-433,TSDR1282-438</t>
  </si>
  <si>
    <t>x81zs_nlle33</t>
  </si>
  <si>
    <t>POLYEC</t>
  </si>
  <si>
    <t>x81zs_plle33</t>
  </si>
  <si>
    <t>x81zs_nlle37</t>
  </si>
  <si>
    <t>TCN and VCR</t>
  </si>
  <si>
    <t>x81zs_plle37</t>
  </si>
  <si>
    <t>x81zs_nplle39</t>
  </si>
  <si>
    <t>GLK Roosting</t>
  </si>
  <si>
    <t>x81zs_nlle34</t>
  </si>
  <si>
    <t>UDEG</t>
  </si>
  <si>
    <t>LLE_UDEG</t>
  </si>
  <si>
    <t>x81zs_plle34</t>
  </si>
  <si>
    <t>x81zs_nlle35</t>
  </si>
  <si>
    <t>x81zs_plle35</t>
  </si>
  <si>
    <t>x81zs_nplle36</t>
  </si>
  <si>
    <t>x81zs_mncl01</t>
  </si>
  <si>
    <t>xtrmatx81z_x81_lay</t>
  </si>
  <si>
    <t>Matching Pair</t>
  </si>
  <si>
    <t>MP: 110, 132 LVT, 165 (Z2-Z6) LVT</t>
  </si>
  <si>
    <t>Y - but row-level planning will be revised</t>
  </si>
  <si>
    <t>MAT</t>
  </si>
  <si>
    <t>x81zs_mncl02</t>
  </si>
  <si>
    <t>MP: widest LNR each CH - ULVT-LL, SVT, HVT</t>
  </si>
  <si>
    <t>x81zs_mncl04</t>
  </si>
  <si>
    <t>MP: widest LNR each CH - ELVT, ULVT + 165-Z6 LVT, SVT, HVT</t>
  </si>
  <si>
    <t>TSDR1282-416,TSDR1282-428,TSDR1282-427,TSDR1282-452</t>
  </si>
  <si>
    <t>MAT_MISC</t>
  </si>
  <si>
    <t>x81zs_mncl09</t>
  </si>
  <si>
    <t>MP-UNI: 110, 132 LVT, 165 (Z2-Z6) LVT</t>
  </si>
  <si>
    <t>x81zs_mpcl01</t>
  </si>
  <si>
    <t>x81zs_mpcl02</t>
  </si>
  <si>
    <t>x81zs_mpcl04</t>
  </si>
  <si>
    <t>x81zs_mpcl09</t>
  </si>
  <si>
    <t>x81zs_mncl03</t>
  </si>
  <si>
    <t>MP: narrowest LNR each CH - ULVT-LL, SVT, HVT</t>
  </si>
  <si>
    <t>x81zs_mncl05</t>
  </si>
  <si>
    <t>MP: narrowest LNR each CH - ELVT, ULVT + 165-Z4 LVT, SVT, HVT</t>
  </si>
  <si>
    <t>x81zs_mncl07</t>
  </si>
  <si>
    <t>MP-UNI: widest LNR each CH - ELVT, ULVT + MP-CMOS: 165-Z4 ELVT, ULVT, ULVTLL</t>
  </si>
  <si>
    <t>x81zs_mncl10</t>
  </si>
  <si>
    <t>MP-UNI: widest LNR each CH - ULVT-LL, SVT, HVT</t>
  </si>
  <si>
    <t>x81zs_mncl11</t>
  </si>
  <si>
    <t>MP-UNI: narrowest LNR each CH - ULVT-LL, SVT, HVT</t>
  </si>
  <si>
    <t>x81zs_mnpcl08</t>
  </si>
  <si>
    <t>MP-UNI: N/P ELVT, ULVTLL 110ch, 132ch (dropped 165ch)</t>
  </si>
  <si>
    <t>x81zs_mpcl03</t>
  </si>
  <si>
    <t>x81zs_mpcl05</t>
  </si>
  <si>
    <t>x81zs_mpcl07</t>
  </si>
  <si>
    <t>x81zs_mpcl10</t>
  </si>
  <si>
    <t>x81zs_mpcl11</t>
  </si>
  <si>
    <t>x81zs_ncl84</t>
  </si>
  <si>
    <t>FTI-CD</t>
  </si>
  <si>
    <t>Y (review ww14.3)</t>
  </si>
  <si>
    <t>[TSDR1282-400],  [TSDR1282-424],  [TSDR1282-430], [TSDR1282-423], [TSDR1282-416]</t>
  </si>
  <si>
    <t>PW_FTI</t>
  </si>
  <si>
    <t>x81zs_ncl85</t>
  </si>
  <si>
    <t>x81zs_ncl86</t>
  </si>
  <si>
    <t>[TSDR1282-424], [TSDR1282-423], [TSDR1282-416]</t>
  </si>
  <si>
    <t>x81zs_pcl84</t>
  </si>
  <si>
    <t>x81zs_pcl85</t>
  </si>
  <si>
    <t>x81zs_pcl86</t>
  </si>
  <si>
    <t>x81zs_ncl87</t>
  </si>
  <si>
    <t>FTI-REG</t>
  </si>
  <si>
    <t>[TSDR1282-400], [TSDR1282-424], [TSDR1282-430], [TSDR1282-423], [TSDR1282-416],[TSDR1282-432],[TSDR1282-429]</t>
  </si>
  <si>
    <t>x81zs_ncl88</t>
  </si>
  <si>
    <t>[TSDR1282-400], [TSDR1282-424], [TSDR1282-430], [TSDR1282-423], [TSDR1282-416],  [TSDR1282-432]</t>
  </si>
  <si>
    <t>x81zs_ncl89</t>
  </si>
  <si>
    <t>[TSDR1282-400], [TSDR1282-424], [TSDR1282-430], [TSDR1282-423], [TSDR1282-416],  [TSDR1282-429],  [TSDR1282-432]</t>
  </si>
  <si>
    <t>x81zs_ncl90</t>
  </si>
  <si>
    <t>[TSDR1282-400], [TSDR1282-424], [TSDR1282-431], [TSDR1282-423], [TSDR1282-416]</t>
  </si>
  <si>
    <t>x81zs_pcl87</t>
  </si>
  <si>
    <t>[TSDR1282-400], [TSDR1282-424], [TSDR1282-430], [TSDR1282-423], [TSDR1282-416], [TSDR1282-432]</t>
  </si>
  <si>
    <t>x81zs_pcl88</t>
  </si>
  <si>
    <t>x81zs_pcl89</t>
  </si>
  <si>
    <t>[TSDR1282-400], [TSDR1282-424], [TSDR1282-430], [TSDR1282-431], [TSDR1282-416],  [TSDR1282-423],  [TSDR1282-432]</t>
  </si>
  <si>
    <t>x81zs_pcl90a</t>
  </si>
  <si>
    <t>x81zs_ncl71</t>
  </si>
  <si>
    <t>Poly CD &amp; PP skew, POR TCN CD</t>
  </si>
  <si>
    <t>Y (review ww09.1)</t>
  </si>
  <si>
    <t>TSDR1282-419, TSDR1282-531, TSDR1282-532, TSDR1282-552</t>
  </si>
  <si>
    <t>PW_POLY</t>
  </si>
  <si>
    <t>x81zs_ncl72</t>
  </si>
  <si>
    <t>1) PolyCD+PP skew, POR TCN CD, 2) PolyCD+TCNCD skew, POR PP</t>
  </si>
  <si>
    <t>TSDR1282-419, TSDR1282-531, TSDR1282-532</t>
  </si>
  <si>
    <t>x81zs_ncl73</t>
  </si>
  <si>
    <t>1) PolyCD skew only, POR TCN CD &amp; PP , 2) TCNCD skew only, POR POLY CD &amp; PP</t>
  </si>
  <si>
    <t>TSDR1282-419</t>
  </si>
  <si>
    <t>x81zs_pcl71</t>
  </si>
  <si>
    <t>TSDR1282-419, TSDR1282-531, TSDR1282-533,  TSDR1282-552</t>
  </si>
  <si>
    <t>x81zs_pcl72</t>
  </si>
  <si>
    <t>TSDR1282-419, TSDR1282-531, TSDR1282-533,</t>
  </si>
  <si>
    <t>x81zs_pcl73</t>
  </si>
  <si>
    <t>Y (review ww13.1)</t>
  </si>
  <si>
    <t>x81zs_ncl74</t>
  </si>
  <si>
    <t xml:space="preserve"> PXL REG skew</t>
  </si>
  <si>
    <t>TSDR1282-416, TSDR1282-418, TSDR1282-419, TSDR1282-452</t>
  </si>
  <si>
    <t>PW_PXL</t>
  </si>
  <si>
    <t>x81zs_ncl75</t>
  </si>
  <si>
    <t xml:space="preserve"> 1) PXL REG skew, 2) PXL PGD CD skew</t>
  </si>
  <si>
    <t>x81zs_ncl76</t>
  </si>
  <si>
    <t>PXL PGD CD skew</t>
  </si>
  <si>
    <t>TSDR1282-416, TSDR1282-418, TSDR1282-419</t>
  </si>
  <si>
    <t>x81zs_pcl74</t>
  </si>
  <si>
    <t>PXL REG skew</t>
  </si>
  <si>
    <t>x81zs_pcl75</t>
  </si>
  <si>
    <t>x81zs_pcl76</t>
  </si>
  <si>
    <t>x81zs_nm_lle02</t>
  </si>
  <si>
    <t>LLE Miller Skews</t>
  </si>
  <si>
    <t>PXL REG CMOS,UNI-M1 165H</t>
  </si>
  <si>
    <t>ww29.6</t>
  </si>
  <si>
    <t>LLE_MLR</t>
  </si>
  <si>
    <t>x81zs_nm_lle03</t>
  </si>
  <si>
    <t>PXL REG/CD CMOS,UNI-M1 132H</t>
  </si>
  <si>
    <t>WW28.6</t>
  </si>
  <si>
    <t>WW28.7</t>
  </si>
  <si>
    <t>x81zs_nm_lle05</t>
  </si>
  <si>
    <t>PXL CD UNI,CMOS-M1 132H</t>
  </si>
  <si>
    <t>x81zs_pm_lle02</t>
  </si>
  <si>
    <t>x81zs_pm_lle03</t>
  </si>
  <si>
    <t>x81zs_pm_lle05</t>
  </si>
  <si>
    <t>x81zs_xm_lle02</t>
  </si>
  <si>
    <t>x81zs_xm_lle03</t>
  </si>
  <si>
    <t>x81zs_npm_lle03</t>
  </si>
  <si>
    <t>PXL REG/CD UNI, /D- M1 165H</t>
  </si>
  <si>
    <t>ww30.1</t>
  </si>
  <si>
    <t>x81zs_npm_lle01</t>
  </si>
  <si>
    <t>VCR, VCR nub skews 132H</t>
  </si>
  <si>
    <t>x81zs_npm_lle02</t>
  </si>
  <si>
    <t>x81zs_sram01</t>
  </si>
  <si>
    <t>bitsx81z_x81_lay</t>
  </si>
  <si>
    <t>SRAM</t>
  </si>
  <si>
    <t>HCC1, HCC2, HDC4 BITPFTs [PD/PG/PU]</t>
  </si>
  <si>
    <t>Divya/Jaladhi</t>
  </si>
  <si>
    <t>TSDR1282-613</t>
  </si>
  <si>
    <t>pending dispo state</t>
  </si>
  <si>
    <t>x81zs_sram02</t>
  </si>
  <si>
    <t>HDC1, HDC5, HDC6 BITPFTs [PD/PG/PU]</t>
  </si>
  <si>
    <t>x81zs_sram03</t>
  </si>
  <si>
    <t>Yes</t>
  </si>
  <si>
    <t>HDC3, TPRF1, TPRF2 BITPFTs [PD/PG/PU]</t>
  </si>
  <si>
    <t>pending dispo state; waiting on TGSR* approval</t>
  </si>
  <si>
    <t>x81zs_sram04</t>
  </si>
  <si>
    <t>IREADs</t>
  </si>
  <si>
    <t>x81zs_sram05</t>
  </si>
  <si>
    <t>Custom</t>
  </si>
  <si>
    <t>MCT team</t>
  </si>
  <si>
    <t>BCLAs</t>
  </si>
  <si>
    <t>pending dispo state; post-lay simulation has extraction issue; waiting on M1_R_77 approval;</t>
  </si>
  <si>
    <t>x81zs_sram06</t>
  </si>
  <si>
    <t>BCLA_Open</t>
  </si>
  <si>
    <t xml:space="preserve">pending dispo state; </t>
  </si>
  <si>
    <t>x81zs_wid01</t>
  </si>
  <si>
    <t>widx81z_x81_lay</t>
  </si>
  <si>
    <t>MULTIPLE</t>
  </si>
  <si>
    <t>WID</t>
  </si>
  <si>
    <t>x81zs_wid02</t>
  </si>
  <si>
    <t>x81zs_wid03</t>
  </si>
  <si>
    <t>sram content delivered by Divya; pending dispo state</t>
  </si>
  <si>
    <t>x81zs_wid04</t>
  </si>
  <si>
    <t>x81zs_sram07</t>
  </si>
  <si>
    <t>Back-up row for sram03/04 in case TPRF doesn't go through</t>
  </si>
  <si>
    <t>x81zs_sram08</t>
  </si>
  <si>
    <t>devflav skew; no-jog DPI skew; LNR CD skew</t>
  </si>
  <si>
    <t>dropped due to lack of time/resources;</t>
  </si>
  <si>
    <t>x81zs_sram09</t>
  </si>
  <si>
    <t>LNR CD skew</t>
  </si>
  <si>
    <t>WW35</t>
  </si>
  <si>
    <t>x81zs_sram10</t>
  </si>
  <si>
    <t xml:space="preserve">LNR CD skew </t>
  </si>
  <si>
    <t>x81zs_sram11</t>
  </si>
  <si>
    <t>Col logic PFT</t>
  </si>
  <si>
    <t>no col. Logic template enablement for X81Z;</t>
  </si>
  <si>
    <t>x81zs_sram12</t>
  </si>
  <si>
    <t>x81zs_gcn01</t>
  </si>
  <si>
    <t>gcnx81z_x81_lay</t>
  </si>
  <si>
    <t>CTM_ECD, CTM_CHN</t>
  </si>
  <si>
    <t xml:space="preserve">limited POR GCN KLV </t>
  </si>
  <si>
    <t>Divya/Domingo</t>
  </si>
  <si>
    <t>don't have enough time; need to drop GCN content for X81Z;</t>
  </si>
  <si>
    <t>x81zs_sram_pw01</t>
  </si>
  <si>
    <t>CTM_CMB</t>
  </si>
  <si>
    <t>SRAM shorts [process window monitors]</t>
  </si>
  <si>
    <t>x81zs_ncl04</t>
  </si>
  <si>
    <t>Turbo (SDR OPH) + DH-reg.LNR. All-VT, non-LVT (see *cl01) / No DH-165 (S, H) (in *01)</t>
  </si>
  <si>
    <t>Template need</t>
  </si>
  <si>
    <t>x81zs_ncl14</t>
  </si>
  <si>
    <t>UNI: Turbo (SDR OPH) + DH-reg.LNR. All-VT, non-LVT (see *cl01) / No DH-165 (S, H) (in *01)</t>
  </si>
  <si>
    <t>x81zs_pcl04</t>
  </si>
  <si>
    <t>x81zs_pcl14</t>
  </si>
  <si>
    <t>x81zs_mncl06</t>
  </si>
  <si>
    <t>MP: TURBO OPH + 165-Z3 ELVT, ULVT, ULVT-LL</t>
  </si>
  <si>
    <t>x81zs_mpcl06</t>
  </si>
  <si>
    <t>x81zs_npcl19</t>
  </si>
  <si>
    <t>TURBO DOE 18 DUT total (+ 2 OPH w/ Diff_Swap, OPH-stacked)</t>
  </si>
  <si>
    <t>x81zs_nehv01</t>
  </si>
  <si>
    <t>EHV_PFT</t>
  </si>
  <si>
    <t>EHV WPE</t>
  </si>
  <si>
    <t>x81zs_pehv01</t>
  </si>
  <si>
    <t>x81zs_iso71</t>
  </si>
  <si>
    <t>WPE_ISO</t>
  </si>
  <si>
    <t>WPE ISO  - CANCELED!!</t>
  </si>
  <si>
    <t>x81zs_nlle05</t>
  </si>
  <si>
    <t xml:space="preserve">Well proximity </t>
  </si>
  <si>
    <t>x81zs_plle05</t>
  </si>
  <si>
    <t>x81zs_nplle06</t>
  </si>
  <si>
    <t>Turbo Transition</t>
  </si>
  <si>
    <t>x81zs_nlle16</t>
  </si>
  <si>
    <t>WW34</t>
  </si>
  <si>
    <t>x81zs_plle16</t>
  </si>
  <si>
    <t>x81zs_nlle17</t>
  </si>
  <si>
    <t>x81zs_plle17</t>
  </si>
  <si>
    <t>x81zs_nlle38</t>
  </si>
  <si>
    <t>x81zs_plle38</t>
  </si>
  <si>
    <t>5T,  /D, PFT-like LLE 110H</t>
  </si>
  <si>
    <t>x81zs_nm_ply01</t>
  </si>
  <si>
    <t>PLYCD+PP skews - 110H</t>
  </si>
  <si>
    <t>Drop TAP, check routing</t>
  </si>
  <si>
    <t>Might be pushed back to DBC3 or later</t>
  </si>
  <si>
    <t>x81zs_nm_ply02</t>
  </si>
  <si>
    <t>PLYCD+PP skews - 165H</t>
  </si>
  <si>
    <t>x81zs_pm_ply01</t>
  </si>
  <si>
    <t>x81zs_pm_ply02</t>
  </si>
  <si>
    <t>x81zs_nm_lle01</t>
  </si>
  <si>
    <t>PXL REG CMOS,UNI-M1 132H</t>
  </si>
  <si>
    <t>WW34, DRC no concern, need to revise routing</t>
  </si>
  <si>
    <t>PXL skew enabled, woring IP</t>
  </si>
  <si>
    <t>x81zs_nm_lle04</t>
  </si>
  <si>
    <t>PXL CD UNI, TCN Len, VCRNub-M1 132H</t>
  </si>
  <si>
    <t>TCP CD skews is not available in X81Z, no concern in PXL CD skews, need to move routing from M2 to M0</t>
  </si>
  <si>
    <t>x81zs_pm_lle01</t>
  </si>
  <si>
    <t>x81zs_pm_lle04</t>
  </si>
  <si>
    <t>x81zs_xm_lle01</t>
  </si>
  <si>
    <t>x81zs_xm_lle04</t>
  </si>
  <si>
    <t>x81zs_rospft03</t>
  </si>
  <si>
    <t>x81zs_rospft11</t>
  </si>
  <si>
    <t>x81zs_rospft12</t>
  </si>
  <si>
    <t>x81zs_rospft13</t>
  </si>
  <si>
    <t>x81zs_rospft14</t>
  </si>
  <si>
    <t>x81zs_rospft15</t>
  </si>
  <si>
    <t>x81zs_rospft16</t>
  </si>
  <si>
    <t>x81zs_rospft17</t>
  </si>
  <si>
    <t>x81zs_rospft18</t>
  </si>
  <si>
    <t>x81zs_rospft19</t>
  </si>
  <si>
    <t>x81zs_rospft20</t>
  </si>
  <si>
    <t>x81zs_rospft21</t>
  </si>
  <si>
    <t>x81zs_tcn_ply_chn_03</t>
  </si>
  <si>
    <t>buildsheet gen debug in progress</t>
  </si>
  <si>
    <t>x81zs_nmulti01</t>
  </si>
  <si>
    <t>ADT, DIFF JOG</t>
  </si>
  <si>
    <t>WW36</t>
  </si>
  <si>
    <t>Jiun, Jaesung</t>
  </si>
  <si>
    <t>x81zs_pmulti01</t>
  </si>
  <si>
    <t>x81zs_nmulti02</t>
  </si>
  <si>
    <t>LLE_PFT_Multi</t>
  </si>
  <si>
    <t>DIFF JOG, Nesting, Roosting</t>
  </si>
  <si>
    <t>x81zs_pmulti02</t>
  </si>
  <si>
    <t>x81zs_nmulti03</t>
  </si>
  <si>
    <t>VT mixing, NPB</t>
  </si>
  <si>
    <t>x81zs_pmulti03</t>
  </si>
  <si>
    <t>x81zs_nmulti04</t>
  </si>
  <si>
    <t>UDEG, NPB</t>
  </si>
  <si>
    <t>x81zs_pmulti04</t>
  </si>
  <si>
    <t>x81zs_fktcn_04</t>
  </si>
  <si>
    <t>FKTCN LNR N/PMOS skew</t>
  </si>
  <si>
    <t>Dropped in X81A</t>
  </si>
  <si>
    <t>x81zs_fktcn_05</t>
  </si>
  <si>
    <t>New</t>
  </si>
  <si>
    <t>Duplicate in TC21</t>
  </si>
  <si>
    <t>p81z_a10o97_v</t>
  </si>
  <si>
    <t>etslx81z_x81_lay</t>
  </si>
  <si>
    <t>Kawser/Phil</t>
  </si>
  <si>
    <t>yes</t>
  </si>
  <si>
    <t>ROSPFT, 132H (1X and 6X)</t>
  </si>
  <si>
    <t>p81z_b10o97_v</t>
  </si>
  <si>
    <t>ROSPFT, 132H</t>
  </si>
  <si>
    <t>p81z_c10o97_v</t>
  </si>
  <si>
    <t>p81z_s10o97_v</t>
  </si>
  <si>
    <t>SRAM &amp; RF</t>
  </si>
  <si>
    <t>SRAM BITPFT (6x)</t>
  </si>
  <si>
    <t>p81z_e10o97_v</t>
  </si>
  <si>
    <t>IREAD &amp; BITPFT</t>
  </si>
  <si>
    <t>p81z_f10o97_v</t>
  </si>
  <si>
    <t>IREAD &amp; BITPFT, SNM, BCLA</t>
  </si>
  <si>
    <t>p81z_k10o97_v</t>
  </si>
  <si>
    <t>132H Z5 N and P unipolar ADT</t>
  </si>
  <si>
    <t>p81z_g10o97_v</t>
  </si>
  <si>
    <t>ECD, CHN</t>
  </si>
  <si>
    <t>BE &amp; MOL ECD &amp; CHN</t>
  </si>
  <si>
    <t>Domingo, Dongmin</t>
  </si>
  <si>
    <t>p81z_h10o97_v</t>
  </si>
  <si>
    <t>KLV and LKG</t>
  </si>
  <si>
    <t>BE &amp; MOL KLV, FTI LKG</t>
  </si>
  <si>
    <t>Han, Jason, Dongmin</t>
  </si>
  <si>
    <t>p81z_i10o97_v</t>
  </si>
  <si>
    <t>Probecheck</t>
  </si>
  <si>
    <t>Phil</t>
  </si>
  <si>
    <t>p81z_y10o97_v</t>
  </si>
  <si>
    <t>Miller &amp; SERPCOMB</t>
  </si>
  <si>
    <t>Amrit &amp; Dongmin</t>
  </si>
  <si>
    <t>p81z_z10o97_v</t>
  </si>
  <si>
    <t>Sum of Area</t>
  </si>
  <si>
    <t>Column Labels</t>
  </si>
  <si>
    <t>Row Labels</t>
  </si>
  <si>
    <t>DBC1 (WW28)</t>
  </si>
  <si>
    <t>DBC2 (WW29.3)</t>
  </si>
  <si>
    <t>DBC3 (WW29.5)</t>
  </si>
  <si>
    <t>DBC4 (WW30)</t>
  </si>
  <si>
    <t>Grand Total</t>
  </si>
  <si>
    <t>DBC4 WIP</t>
  </si>
  <si>
    <t># of rows required per seat</t>
  </si>
  <si>
    <t>Delta</t>
  </si>
  <si>
    <t>Category</t>
  </si>
  <si>
    <t>Feature/</t>
  </si>
  <si>
    <t>Row budget</t>
  </si>
  <si>
    <t>Remarks</t>
  </si>
  <si>
    <t>Logic</t>
  </si>
  <si>
    <t>110/132/165CH</t>
  </si>
  <si>
    <t xml:space="preserve">PFT/MLR Cap/Matching for Uni/CMOS/CMOS-A </t>
  </si>
  <si>
    <t>110/132CH Turbo</t>
  </si>
  <si>
    <t>No Turbo Cells</t>
  </si>
  <si>
    <r>
      <t xml:space="preserve">Vt mixing, NP OGD transition, Poly EC, UDEG, TCN, VCR, Diff, FTI, GLK, PXL, </t>
    </r>
    <r>
      <rPr>
        <sz val="11"/>
        <color rgb="FF0000FF"/>
        <rFont val="Calibri"/>
        <family val="2"/>
        <scheme val="minor"/>
      </rPr>
      <t>No multi-ins</t>
    </r>
  </si>
  <si>
    <t>Process Skew</t>
  </si>
  <si>
    <r>
      <t xml:space="preserve">Poly CD/pitch, TCN, PXL, FTI, </t>
    </r>
    <r>
      <rPr>
        <sz val="11"/>
        <color rgb="FF0000FF"/>
        <rFont val="Calibri"/>
        <family val="2"/>
        <scheme val="minor"/>
      </rPr>
      <t>No min LNR/GLK</t>
    </r>
  </si>
  <si>
    <t>ADT / AMS</t>
  </si>
  <si>
    <r>
      <t>ADT,</t>
    </r>
    <r>
      <rPr>
        <sz val="11"/>
        <rFont val="Calibri"/>
        <family val="2"/>
        <scheme val="minor"/>
      </rPr>
      <t xml:space="preserve"> 165H HV PFT &amp; MLR,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rgb="FF0000FF"/>
        <rFont val="Calibri"/>
        <family val="2"/>
        <scheme val="minor"/>
      </rPr>
      <t>NO EHV,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Diode, Varactor, </t>
    </r>
    <r>
      <rPr>
        <sz val="11"/>
        <color rgb="FF0000FF"/>
        <rFont val="Calibri"/>
        <family val="2"/>
        <scheme val="minor"/>
      </rPr>
      <t>No RF flicker noise</t>
    </r>
  </si>
  <si>
    <t>Isolation</t>
  </si>
  <si>
    <t>CTG, Gate ETE, EPI ETE, TCN ETE, EPI-TCN, FTI leakage</t>
  </si>
  <si>
    <t>Kelvin/Chain</t>
  </si>
  <si>
    <t>FKTCN, VG/VT/PC KLV, PLY/TCN Chain</t>
  </si>
  <si>
    <t>AD ROS</t>
  </si>
  <si>
    <r>
      <t xml:space="preserve">132H SH/DH + 132H Z5 (32nm LNR) Vt mixed ROS  for WAC+DPM style, ACRg </t>
    </r>
    <r>
      <rPr>
        <sz val="11"/>
        <color rgb="FF0000FF"/>
        <rFont val="Calibri"/>
        <family val="2"/>
        <scheme val="minor"/>
      </rPr>
      <t>(No 110/165H/Turbo cells)</t>
    </r>
  </si>
  <si>
    <t>132H WAC INV only</t>
  </si>
  <si>
    <t xml:space="preserve">GNAC DOE </t>
  </si>
  <si>
    <t>HDC/HCC/TPRF</t>
  </si>
  <si>
    <r>
      <t xml:space="preserve">BITPFTs, Iread, BCLA, </t>
    </r>
    <r>
      <rPr>
        <sz val="11"/>
        <color rgb="FF0000FF"/>
        <rFont val="Calibri"/>
        <family val="2"/>
        <scheme val="minor"/>
      </rPr>
      <t>No SNM, No Colum PFT</t>
    </r>
  </si>
  <si>
    <t>Logic/SRAM</t>
  </si>
  <si>
    <t>Logic PFT/MLR/ROSPFT + SRAM bitPFT/IREAD + VG/VT/VCR KLV + M0/M1/M2 ECD + V0/V1 KLV</t>
  </si>
  <si>
    <t xml:space="preserve">FE Device content in TC seats </t>
  </si>
  <si>
    <t>Features</t>
  </si>
  <si>
    <t>X18Z Automation ECD</t>
  </si>
  <si>
    <t>WW30 DBC/WW32 TI</t>
  </si>
  <si>
    <t>WW32 DBC/WW34 TI</t>
  </si>
  <si>
    <t>VCR SDR + CD/Misreg skew</t>
  </si>
  <si>
    <t>WW11.5/14.1</t>
  </si>
  <si>
    <t>VCRnub SDR + CD/Misreg skew</t>
  </si>
  <si>
    <t>TCP/TCG CD/Misreg skew</t>
  </si>
  <si>
    <t>WW16.3</t>
  </si>
  <si>
    <t>Diff GANG/Roosting</t>
  </si>
  <si>
    <t>WW22.5</t>
  </si>
  <si>
    <t>110/132/165H</t>
  </si>
  <si>
    <t>WW24.3</t>
  </si>
  <si>
    <t xml:space="preserve">Yes  </t>
  </si>
  <si>
    <t>FTI SDR + CD/Misreg skew</t>
  </si>
  <si>
    <t>WW25.3</t>
  </si>
  <si>
    <t>TSDR Tap</t>
  </si>
  <si>
    <t>WW26.1</t>
  </si>
  <si>
    <t>PXL CD/Misreg skew</t>
  </si>
  <si>
    <t>Poly CD</t>
  </si>
  <si>
    <t>WW27.2</t>
  </si>
  <si>
    <t>Poly PP</t>
  </si>
  <si>
    <t>WW28.3</t>
  </si>
  <si>
    <t>GLK CD/Misreg skew</t>
  </si>
  <si>
    <t>No</t>
  </si>
  <si>
    <t>Min LNR skew</t>
  </si>
  <si>
    <t>132OPH</t>
  </si>
  <si>
    <t xml:space="preserve">DFP/DFN </t>
  </si>
  <si>
    <t>Yes OPH</t>
  </si>
  <si>
    <t>x81z_P81ROS_26Q3V1_INV_Z5X8_LVT_R1V1SV_H132P44L12_46_FO3_STG11_TOP_WAC_ww29rspt</t>
  </si>
  <si>
    <t>x81z_P81ROS_26Q3V1_INV_Z5X8_ELVT_R1V1SV_H132P44L12_46_FO3_STG11_TOP_WAC_ww29rspt</t>
  </si>
  <si>
    <t>x81z_P81ROS_26Q3V1_INV_Z5X8_SVT_R1V1SV_H132P44L12_46_FO3_STG11_TOP_WAC_ww29rspt</t>
  </si>
  <si>
    <t>x81z_P81ROS_26Q3V1_INV_Z5X8_HVT_R1V1SV_H132P44L12_46_FO3_STG11_TOP_WAC_ww29rspt</t>
  </si>
  <si>
    <t>x81z_P81ROS_26Q3V1_INV_Z5X8_ULVT_R1V1SV_H132P44L12_46_FO3_STG11_TOP_WAC_ww29rspt</t>
  </si>
  <si>
    <t>x81z_P81ROS_26Q3V1_INV_Z5X8_ULVTLL_R1V1SV_H132P44L12_46_FO3_STG11_TOP_WAC_ww29rspt</t>
  </si>
  <si>
    <t>x81z_P81ROS_26Q3V1_INV_Z5X4_ELVT_R1V1SV_H132P44L12_46_FO3_STG11_TOP_WAC_ww29rspt</t>
  </si>
  <si>
    <t>x81z_P81ROS_26Q3V1_INV_Z5X4_HVT_R1V1SV_H132P44L12_46_FO3_STG11_TOP_WAC_ww29rspt</t>
  </si>
  <si>
    <t>x81z_P81ROS_26Q3V1_INV_Z5X4_SVT_R1V1SV_H132P44L12_46_FO3_STG11_TOP_WAC_ww29rspt</t>
  </si>
  <si>
    <t>x81z_P81ROS_26Q3V1_INV_Z5X4_ULVTLL_R1V1SV_H132P44L12_46_FO3_STG11_TOP_WAC_ww29rspt</t>
  </si>
  <si>
    <t>x81z_P81ROS_26Q3V1_INV_Z5X4_ULVT_R1V1SV_H132P44L12_46_FO3_STG11_TOP_WAC_ww29rspt</t>
  </si>
  <si>
    <t>x81z_P81ROS_26Q3V1_INV_Z5X4_LVT_R1V1SV_H132P44L12_46_FO3_STG11_TOP_WAC_ww29rspt</t>
  </si>
  <si>
    <t>x81z_P81ROS_26Q3V1_INV_Z5X3_ELVT_R1V1SV_H132P44L12_46_FO3_STG11_TOP_WAC_ww29rspt</t>
  </si>
  <si>
    <t>x81z_P81ROS_26Q3V1_INV_Z5X3_HVT_R1V1SV_H132P44L12_46_FO3_STG11_TOP_WAC_ww29rspt</t>
  </si>
  <si>
    <t>x81z_P81ROS_26Q3V1_INV_Z5X3_SVT_R1V1SV_H132P44L12_46_FO3_STG11_TOP_WAC_ww29rspt</t>
  </si>
  <si>
    <t>x81z_P81ROS_26Q3V1_INV_Z5X3_ULVT_R1V1SV_H132P44L12_46_FO3_STG11_TOP_WAC_ww29rspt</t>
  </si>
  <si>
    <t>x81z_P81ROS_26Q3V1_INV_Z5X3_ULVTLL_R1V1SV_H132P44L12_46_FO3_STG11_TOP_WAC_ww29rspt</t>
  </si>
  <si>
    <t>x81z_P81ROS_26Q3V1_INV_Z5X3_LVT_R1V1SV_H132P44L12_46_FO3_STG11_TOP_WAC_ww29rspt</t>
  </si>
  <si>
    <t>x81z_P81ROS_26Q3V1_INV_Z5X2_LVT_R1V1SV_H132P44L12_46_FO3_STG11_TOP_WAC_ww29rspt</t>
  </si>
  <si>
    <t>x81z_P81ROS_26Q3V1_INV_Z5X2_ELVT_R1V1SV_H132P44L12_46_FO3_STG11_TOP_WAC_ww29rspt</t>
  </si>
  <si>
    <t>x81z_P81ROS_26Q3V1_INV_Z5X2_HVT_R1V1SV_H132P44L12_46_FO3_STG11_TOP_WAC_ww29rspt</t>
  </si>
  <si>
    <t>x81z_P81ROS_26Q3V1_INV_Z5X2_SVT_R1V1SV_H132P44L12_46_FO3_STG11_TOP_WAC_ww29rspt</t>
  </si>
  <si>
    <t>x81z_P81ROS_26Q3V1_INV_Z5X2_ULVT_R1V1SV_H132P44L12_46_FO3_STG11_TOP_WAC_ww29rspt</t>
  </si>
  <si>
    <t>x81z_P81ROS_26Q3V1_INV_Z5X2_ULVTLL_R1V1SV_H132P44L12_46_FO3_STG11_TOP_WAC_ww29rspt</t>
  </si>
  <si>
    <t>x81z_P81ROS_26Q3V1_INV_Z5X1_LVT_R1V1SV_H132P44L12_46_FO3_STG11_TOP_WAC_ww29rspt</t>
  </si>
  <si>
    <t>x81z_P81ROS_26Q3V1_INV_Z5X1_ELVT_R1V1SV_H132P44L12_46_FO3_STG11_TOP_WAC_ww29rspt</t>
  </si>
  <si>
    <t>x81z_P81ROS_26Q3V1_INV_Z5X1_HVT_R1V1SV_H132P44L12_46_FO3_STG11_TOP_WAC_ww29rspt</t>
  </si>
  <si>
    <t>x81z_P81ROS_26Q3V1_INV_Z5X1_SVT_R1V1SV_H132P44L12_46_FO3_STG11_TOP_WAC_ww29rspt</t>
  </si>
  <si>
    <t>x81z_P81ROS_26Q3V1_INV_Z5X1_ULVT_R1V1SV_H132P44L12_46_FO3_STG11_TOP_WAC_ww29rspt</t>
  </si>
  <si>
    <t>x81z_P81ROS_26Q3V1_INV_Z5X1_ULVTLL_R1V1SV_H132P44L12_46_FO3_STG11_TOP_WAC_ww29rspt</t>
  </si>
  <si>
    <t>x81z_P81ROS_26Q3V1_INV_Z4X2_ELVT_R1V1SV_H132P44L12_40_FO3_STG11_TOP_WAC_ww29rspt</t>
  </si>
  <si>
    <t>x81z_P81ROS_26Q3V1_INV_Z4X2_LVT_R1V1SV_H132P44L12_40_FO3_STG11_TOP_WAC_ww29rspt</t>
  </si>
  <si>
    <t>x81z_P81ROS_26Q3V1_INV_Z4X2_HVT_R1V1SV_H132P44L12_40_FO3_STG11_TOP_WAC_ww29rspt</t>
  </si>
  <si>
    <t>x81z_P81ROS_26Q3V1_INV_Z4X2_SVT_R1V1SV_H132P44L12_40_FO3_STG11_TOP_WAC_ww29rspt</t>
  </si>
  <si>
    <t>x81z_P81ROS_26Q3V1_INV_Z4X2_ULVT_R1V1SV_H132P44L12_40_FO3_STG11_TOP_WAC_ww29rspt</t>
  </si>
  <si>
    <t>x81z_P81ROS_26Q3V1_INV_Z4X2_ULVTLL_R1V1SV_H132P44L12_40_FO3_STG11_TOP_WAC_ww29rspt</t>
  </si>
  <si>
    <t>x81z_P81ROS_26Q3V1_INV_Z4X1_ELVT_R1V1SV_H132P44L12_40_FO3_STG11_TOP_WAC_ww29rspt</t>
  </si>
  <si>
    <t>x81z_P81ROS_26Q3V1_INV_Z4X1_LVT_R1V1SV_H132P44L12_40_FO3_STG11_TOP_WAC_ww29rspt</t>
  </si>
  <si>
    <t>x81z_P81ROS_26Q3V1_INV_Z4X1_HVT_R1V1SV_H132P44L12_40_FO3_STG11_TOP_WAC_ww29rspt</t>
  </si>
  <si>
    <t>x81z_P81ROS_26Q3V1_INV_Z4X1_SVT_R1V1SV_H132P44L12_40_FO3_STG11_TOP_WAC_ww29rspt</t>
  </si>
  <si>
    <t>x81z_P81ROS_26Q3V1_INV_Z4X1_ULVT_R1V1SV_H132P44L12_40_FO3_STG11_TOP_WAC_ww29rspt</t>
  </si>
  <si>
    <t>x81z_P81ROS_26Q3V1_INV_Z4X1_ULVTLL_R1V1SV_H132P44L12_40_FO3_STG11_TOP_WAC_ww29rspt</t>
  </si>
  <si>
    <t>x81z_P81ROS_26Q3V1_INV_Z3X1_ULVTLL_R1V1SV_H132P44L12_35_FO3_STG11_TOP_WAC_ww29rspt</t>
  </si>
  <si>
    <t>x81z_P81ROS_26Q3V1_INV_Z3X1_HVT_R1V1SV_H132P44L12_35_FO3_STG11_TOP_WAC_ww29rspt</t>
  </si>
  <si>
    <t>x81z_P81ROS_26Q3V1_INV_Z3X1_ELVT_R1V1SV_H132P44L12_35_FO3_STG11_TOP_WAC_ww29rspt</t>
  </si>
  <si>
    <t>x81z_P81ROS_26Q3V1_INV_Z3X1_SVT_R1V1SV_H132P44L12_35_FO3_STG11_TOP_WAC_ww29rspt</t>
  </si>
  <si>
    <t>x81z_P81ROS_26Q3V1_INV_Z3X1_ULVT_R1V1SV_H132P44L12_35_FO3_STG11_TOP_WAC_ww29rspt</t>
  </si>
  <si>
    <t>x81z_P81ROS_26Q3V1_INV_Z3X1_LVT_R1V1SV_H132P44L12_35_FO3_STG11_TOP_WAC_ww29rspt</t>
  </si>
  <si>
    <t>x81z_P81ROS_26Q3V1_INV_Z3X2_ELVT_R1V1SV_H132P44L12_35_FO3_STG11_TOP_WAC_ww29rspt</t>
  </si>
  <si>
    <t>x81z_P81ROS_26Q3V1_INV_Z3X2_LVT_R1V1SV_H132P44L12_35_FO3_STG11_TOP_WAC_ww29rspt</t>
  </si>
  <si>
    <t>x81z_P81ROS_26Q3V1_INV_Z3X2_SVT_R1V1SV_H132P44L12_35_FO3_STG11_TOP_WAC_ww29rspt</t>
  </si>
  <si>
    <t>x81z_P81ROS_26Q3V1_INV_Z3X2_HVT_R1V1SV_H132P44L12_35_FO3_STG11_TOP_WAC_ww29rspt</t>
  </si>
  <si>
    <t>x81z_P81ROS_26Q3V1_INV_Z3X2_ULVT_R1V1SV_H132P44L12_35_FO3_STG11_TOP_WAC_ww29rspt</t>
  </si>
  <si>
    <t>x81z_P81ROS_26Q3V1_INV_Z3X2_ULVTLL_R1V1SV_H132P44L12_35_FO3_STG11_TOP_WAC_ww29rspt</t>
  </si>
  <si>
    <t>x81z_P81ROS_26Q3V1_INV_Z2X2_HVT_R1V1SV_H132P44L12_31_FO3_STG11_TOP_WAC_ww29rspt</t>
  </si>
  <si>
    <t>x81z_P81ROS_26Q3V1_INV_Z2X2_SVT_R1V1SV_H132P44L12_31_FO3_STG11_TOP_WAC_ww29rspt</t>
  </si>
  <si>
    <t>x81z_P81ROS_26Q3V1_INV_Z2X2_ELVT_R1V1SV_H132P44L12_31_FO3_STG11_TOP_WAC_ww29rspt</t>
  </si>
  <si>
    <t>x81z_P81ROS_26Q3V1_INV_Z2X2_ULVT_R1V1SV_H132P44L12_31_FO3_STG11_TOP_WAC_ww29rspt</t>
  </si>
  <si>
    <t>x81z_P81ROS_26Q3V1_INV_Z2X2_ULVTLL_R1V1SV_H132P44L12_31_FO3_STG11_TOP_WAC_ww29rspt</t>
  </si>
  <si>
    <t>x81z_P81ROS_26Q3V1_INV_Z2X2_LVT_R1V1SV_H132P44L12_31_FO3_STG11_TOP_WAC_ww29rspt</t>
  </si>
  <si>
    <t>x81z_P81ROS_26Q3V1_INV_Z2X1_HVT_R1V1SV_H132P44L12_31_FO3_STG11_TOP_WAC_ww29rspt</t>
  </si>
  <si>
    <t>x81z_P81ROS_26Q3V1_INV_Z2X1_LVT_R1V1SV_H132P44L12_31_FO3_STG11_TOP_WAC_ww29rspt</t>
  </si>
  <si>
    <t>x81z_P81ROS_26Q3V1_INV_Z2X1_SVT_R1V1SV_H132P44L12_31_FO3_STG11_TOP_WAC_ww29rspt</t>
  </si>
  <si>
    <t>x81z_P81ROS_26Q3V1_INV_Z2X1_ELVT_R1V1SV_H132P44L12_31_FO3_STG11_TOP_WAC_ww29rspt</t>
  </si>
  <si>
    <t>x81z_P81ROS_26Q3V1_INV_Z2X1_ULVT_R1V1SV_H132P44L12_31_FO3_STG11_TOP_WAC_ww29rspt</t>
  </si>
  <si>
    <t>x81z_P81ROS_26Q3V1_INV_Z2X1_ULVTLL_R1V1SV_H132P44L12_31_FO3_STG11_TOP_WAC_ww29rspt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</si>
</sst>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Inherit"/>
    </font>
    <font>
      <sz val="11"/>
      <color rgb="FF00B050"/>
      <name val="Calibri"/>
      <family val="2"/>
    </font>
    <font>
      <sz val="11"/>
      <color rgb="FF9C5700"/>
      <name val="Calibri"/>
      <family val="2"/>
      <scheme val="minor"/>
    </font>
    <font>
      <sz val="9"/>
      <color theme="1"/>
      <name val="Aptos"/>
      <family val="2"/>
    </font>
    <font>
      <sz val="11"/>
      <color theme="1"/>
      <name val="Aptos"/>
      <family val="2"/>
    </font>
    <font>
      <b/>
      <sz val="9"/>
      <color theme="1"/>
      <name val="Aptos"/>
      <family val="2"/>
    </font>
    <font>
      <b/>
      <sz val="9"/>
      <color rgb="FFC00000"/>
      <name val="Aptos"/>
      <family val="2"/>
    </font>
    <font>
      <sz val="9"/>
      <color rgb="FFC00000"/>
      <name val="Aptos"/>
      <family val="2"/>
    </font>
    <font>
      <b/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0"/>
      <color theme="0"/>
      <name val="Aptos"/>
      <family val="2"/>
    </font>
    <font>
      <sz val="10"/>
      <color rgb="FF000000"/>
      <name val="Aptos"/>
      <family val="2"/>
    </font>
    <font>
      <sz val="10"/>
      <color rgb="FF525252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sz val="11"/>
      <name val="Aptos"/>
      <family val="2"/>
    </font>
    <font>
      <sz val="10"/>
      <color rgb="FF000000"/>
      <name val="Calibri"/>
      <family val="2"/>
      <scheme val="minor"/>
    </font>
    <font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C00000"/>
        <bgColor indexed="64"/>
      </patternFill>
    </fill>
    <fill>
      <patternFill patternType="solid">
        <fgColor rgb="FFDEEAF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1" fillId="4" borderId="0" applyNumberFormat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1" xfId="0" applyFont="1" applyBorder="1"/>
    <xf numFmtId="0" fontId="10" fillId="0" borderId="1" xfId="0" applyFont="1" applyBorder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4" fillId="2" borderId="1" xfId="0" applyFont="1" applyFill="1" applyBorder="1"/>
    <xf numFmtId="0" fontId="6" fillId="0" borderId="0" xfId="1"/>
    <xf numFmtId="0" fontId="2" fillId="2" borderId="1" xfId="0" applyFont="1" applyFill="1" applyBorder="1"/>
    <xf numFmtId="0" fontId="17" fillId="0" borderId="0" xfId="0" applyFont="1" applyAlignment="1">
      <alignment horizontal="left"/>
    </xf>
    <xf numFmtId="0" fontId="17" fillId="0" borderId="0" xfId="0" applyFont="1"/>
    <xf numFmtId="0" fontId="16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5" fillId="0" borderId="0" xfId="0" applyFont="1" applyAlignment="1">
      <alignment horizontal="left"/>
    </xf>
    <xf numFmtId="0" fontId="19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0" fontId="6" fillId="0" borderId="0" xfId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0" fillId="0" borderId="0" xfId="0" applyFont="1"/>
    <xf numFmtId="0" fontId="2" fillId="0" borderId="7" xfId="0" applyFont="1" applyBorder="1" applyAlignment="1">
      <alignment horizontal="center"/>
    </xf>
    <xf numFmtId="0" fontId="12" fillId="0" borderId="7" xfId="0" applyFont="1" applyBorder="1"/>
    <xf numFmtId="0" fontId="12" fillId="0" borderId="0" xfId="0" applyFont="1"/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6" fillId="0" borderId="0" xfId="1" applyAlignment="1">
      <alignment horizontal="left" vertical="center" wrapText="1" indent="1"/>
    </xf>
    <xf numFmtId="16" fontId="0" fillId="0" borderId="0" xfId="0" applyNumberFormat="1" applyAlignment="1">
      <alignment horizontal="left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7" fillId="0" borderId="8" xfId="0" applyFont="1" applyBorder="1" applyAlignment="1">
      <alignment vertical="center" readingOrder="1"/>
    </xf>
    <xf numFmtId="0" fontId="29" fillId="5" borderId="8" xfId="0" applyFont="1" applyFill="1" applyBorder="1" applyAlignment="1">
      <alignment vertical="center" readingOrder="1"/>
    </xf>
    <xf numFmtId="0" fontId="27" fillId="6" borderId="11" xfId="0" applyFont="1" applyFill="1" applyBorder="1" applyAlignment="1">
      <alignment vertical="center" readingOrder="1"/>
    </xf>
    <xf numFmtId="0" fontId="30" fillId="6" borderId="12" xfId="0" applyFont="1" applyFill="1" applyBorder="1" applyAlignment="1">
      <alignment vertical="center" readingOrder="1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vertical="center" readingOrder="1"/>
    </xf>
    <xf numFmtId="0" fontId="30" fillId="0" borderId="14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0" fillId="0" borderId="3" xfId="0" applyFont="1" applyBorder="1" applyAlignment="1">
      <alignment vertical="center"/>
    </xf>
    <xf numFmtId="0" fontId="33" fillId="0" borderId="9" xfId="0" applyFont="1" applyBorder="1" applyAlignment="1">
      <alignment vertical="center" readingOrder="1"/>
    </xf>
    <xf numFmtId="0" fontId="33" fillId="0" borderId="8" xfId="0" applyFont="1" applyBorder="1" applyAlignment="1">
      <alignment vertical="center" readingOrder="1"/>
    </xf>
    <xf numFmtId="0" fontId="30" fillId="0" borderId="8" xfId="0" applyFont="1" applyBorder="1" applyAlignment="1">
      <alignment vertical="center"/>
    </xf>
    <xf numFmtId="0" fontId="30" fillId="0" borderId="8" xfId="0" applyFont="1" applyBorder="1" applyAlignment="1">
      <alignment vertical="center" readingOrder="1"/>
    </xf>
    <xf numFmtId="0" fontId="30" fillId="0" borderId="9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0" fillId="0" borderId="4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1" fontId="30" fillId="0" borderId="2" xfId="2" applyNumberFormat="1" applyFont="1" applyFill="1" applyBorder="1" applyAlignment="1">
      <alignment vertical="center"/>
    </xf>
    <xf numFmtId="1" fontId="30" fillId="0" borderId="14" xfId="2" applyNumberFormat="1" applyFont="1" applyFill="1" applyBorder="1" applyAlignment="1">
      <alignment vertical="center"/>
    </xf>
    <xf numFmtId="0" fontId="27" fillId="0" borderId="9" xfId="0" applyFont="1" applyBorder="1" applyAlignment="1">
      <alignment vertical="center" readingOrder="1"/>
    </xf>
    <xf numFmtId="0" fontId="27" fillId="0" borderId="2" xfId="0" applyFont="1" applyBorder="1" applyAlignment="1">
      <alignment horizontal="center" vertical="center" readingOrder="1"/>
    </xf>
    <xf numFmtId="0" fontId="27" fillId="0" borderId="1" xfId="0" applyFont="1" applyBorder="1" applyAlignment="1">
      <alignment horizontal="center" vertical="center" readingOrder="1"/>
    </xf>
    <xf numFmtId="1" fontId="35" fillId="0" borderId="2" xfId="1" applyNumberFormat="1" applyFont="1" applyFill="1" applyBorder="1" applyAlignment="1">
      <alignment vertical="center"/>
    </xf>
    <xf numFmtId="1" fontId="30" fillId="0" borderId="1" xfId="2" applyNumberFormat="1" applyFont="1" applyFill="1" applyBorder="1" applyAlignment="1">
      <alignment vertical="center"/>
    </xf>
    <xf numFmtId="1" fontId="30" fillId="0" borderId="7" xfId="2" applyNumberFormat="1" applyFont="1" applyFill="1" applyBorder="1" applyAlignment="1">
      <alignment vertical="center"/>
    </xf>
    <xf numFmtId="1" fontId="30" fillId="0" borderId="9" xfId="2" applyNumberFormat="1" applyFont="1" applyFill="1" applyBorder="1" applyAlignment="1">
      <alignment vertical="center"/>
    </xf>
    <xf numFmtId="1" fontId="30" fillId="0" borderId="13" xfId="2" applyNumberFormat="1" applyFont="1" applyFill="1" applyBorder="1" applyAlignment="1">
      <alignment vertical="center"/>
    </xf>
    <xf numFmtId="1" fontId="30" fillId="0" borderId="9" xfId="0" applyNumberFormat="1" applyFont="1" applyBorder="1" applyAlignment="1">
      <alignment vertical="center"/>
    </xf>
    <xf numFmtId="1" fontId="30" fillId="0" borderId="13" xfId="0" applyNumberFormat="1" applyFont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3" fillId="0" borderId="1" xfId="0" applyFont="1" applyBorder="1" applyAlignment="1">
      <alignment horizontal="left" vertical="center"/>
    </xf>
    <xf numFmtId="0" fontId="36" fillId="0" borderId="0" xfId="0" applyFont="1" applyAlignment="1">
      <alignment vertical="center"/>
    </xf>
    <xf numFmtId="1" fontId="33" fillId="0" borderId="0" xfId="0" applyNumberFormat="1" applyFont="1" applyAlignment="1">
      <alignment vertical="center"/>
    </xf>
    <xf numFmtId="1" fontId="30" fillId="0" borderId="13" xfId="0" applyNumberFormat="1" applyFont="1" applyBorder="1" applyAlignment="1">
      <alignment vertical="center" readingOrder="1"/>
    </xf>
    <xf numFmtId="1" fontId="32" fillId="0" borderId="14" xfId="0" applyNumberFormat="1" applyFont="1" applyBorder="1" applyAlignment="1">
      <alignment vertical="center"/>
    </xf>
    <xf numFmtId="1" fontId="32" fillId="0" borderId="1" xfId="0" applyNumberFormat="1" applyFont="1" applyBorder="1" applyAlignment="1">
      <alignment vertical="center"/>
    </xf>
    <xf numFmtId="1" fontId="30" fillId="0" borderId="14" xfId="0" applyNumberFormat="1" applyFont="1" applyBorder="1" applyAlignment="1">
      <alignment vertical="center"/>
    </xf>
    <xf numFmtId="1" fontId="30" fillId="0" borderId="18" xfId="0" applyNumberFormat="1" applyFont="1" applyBorder="1" applyAlignment="1">
      <alignment vertical="center"/>
    </xf>
    <xf numFmtId="1" fontId="30" fillId="0" borderId="2" xfId="0" applyNumberFormat="1" applyFont="1" applyBorder="1" applyAlignment="1">
      <alignment vertical="center"/>
    </xf>
    <xf numFmtId="1" fontId="30" fillId="0" borderId="21" xfId="0" applyNumberFormat="1" applyFont="1" applyBorder="1" applyAlignment="1">
      <alignment vertical="center"/>
    </xf>
    <xf numFmtId="1" fontId="30" fillId="0" borderId="7" xfId="0" applyNumberFormat="1" applyFont="1" applyBorder="1" applyAlignment="1">
      <alignment vertical="center"/>
    </xf>
    <xf numFmtId="1" fontId="23" fillId="0" borderId="0" xfId="0" applyNumberFormat="1" applyFont="1" applyAlignment="1">
      <alignment vertical="center"/>
    </xf>
    <xf numFmtId="0" fontId="6" fillId="0" borderId="1" xfId="1" applyBorder="1"/>
    <xf numFmtId="0" fontId="2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" fontId="36" fillId="0" borderId="2" xfId="0" applyNumberFormat="1" applyFont="1" applyBorder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" fontId="23" fillId="0" borderId="1" xfId="0" applyNumberFormat="1" applyFont="1" applyBorder="1" applyAlignment="1">
      <alignment vertical="center"/>
    </xf>
    <xf numFmtId="0" fontId="16" fillId="0" borderId="1" xfId="0" applyFont="1" applyBorder="1"/>
    <xf numFmtId="1" fontId="6" fillId="0" borderId="1" xfId="1" applyNumberFormat="1" applyBorder="1" applyAlignment="1">
      <alignment vertical="center"/>
    </xf>
    <xf numFmtId="0" fontId="6" fillId="0" borderId="0" xfId="1" applyAlignment="1">
      <alignment vertical="center"/>
    </xf>
    <xf numFmtId="0" fontId="6" fillId="0" borderId="1" xfId="1" applyBorder="1" applyAlignment="1">
      <alignment wrapText="1"/>
    </xf>
    <xf numFmtId="0" fontId="6" fillId="0" borderId="1" xfId="1" applyBorder="1" applyAlignment="1">
      <alignment horizontal="center" vertical="center"/>
    </xf>
    <xf numFmtId="0" fontId="6" fillId="0" borderId="1" xfId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" fontId="6" fillId="0" borderId="1" xfId="1" applyNumberFormat="1" applyBorder="1" applyAlignment="1">
      <alignment horizontal="left" vertical="center"/>
    </xf>
    <xf numFmtId="0" fontId="33" fillId="0" borderId="8" xfId="0" applyFont="1" applyBorder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3" fillId="0" borderId="15" xfId="0" applyFont="1" applyBorder="1" applyAlignment="1">
      <alignment horizontal="left" vertical="center" readingOrder="1"/>
    </xf>
    <xf numFmtId="0" fontId="33" fillId="0" borderId="20" xfId="0" applyFont="1" applyBorder="1" applyAlignment="1">
      <alignment horizontal="left" vertical="center" readingOrder="1"/>
    </xf>
    <xf numFmtId="0" fontId="33" fillId="0" borderId="16" xfId="0" applyFont="1" applyBorder="1" applyAlignment="1">
      <alignment horizontal="left" vertical="center" readingOrder="1"/>
    </xf>
    <xf numFmtId="1" fontId="36" fillId="0" borderId="14" xfId="0" applyNumberFormat="1" applyFont="1" applyBorder="1" applyAlignment="1">
      <alignment horizontal="center" vertical="center"/>
    </xf>
    <xf numFmtId="1" fontId="36" fillId="0" borderId="7" xfId="0" applyNumberFormat="1" applyFont="1" applyBorder="1" applyAlignment="1">
      <alignment horizontal="center" vertical="center"/>
    </xf>
    <xf numFmtId="1" fontId="36" fillId="0" borderId="18" xfId="0" applyNumberFormat="1" applyFont="1" applyBorder="1" applyAlignment="1">
      <alignment horizontal="center" vertical="center"/>
    </xf>
    <xf numFmtId="0" fontId="33" fillId="0" borderId="8" xfId="0" applyFont="1" applyBorder="1" applyAlignment="1">
      <alignment horizontal="left" vertical="center" wrapText="1"/>
    </xf>
    <xf numFmtId="0" fontId="27" fillId="6" borderId="9" xfId="0" applyFont="1" applyFill="1" applyBorder="1" applyAlignment="1">
      <alignment vertical="center" readingOrder="1"/>
    </xf>
    <xf numFmtId="0" fontId="27" fillId="6" borderId="10" xfId="0" applyFont="1" applyFill="1" applyBorder="1" applyAlignment="1">
      <alignment vertical="center" readingOrder="1"/>
    </xf>
    <xf numFmtId="0" fontId="27" fillId="6" borderId="11" xfId="0" applyFont="1" applyFill="1" applyBorder="1" applyAlignment="1">
      <alignment vertical="center" readingOrder="1"/>
    </xf>
    <xf numFmtId="0" fontId="33" fillId="0" borderId="17" xfId="0" applyFont="1" applyBorder="1" applyAlignment="1">
      <alignment horizontal="left" vertical="center" readingOrder="1"/>
    </xf>
    <xf numFmtId="0" fontId="33" fillId="0" borderId="4" xfId="0" applyFont="1" applyBorder="1" applyAlignment="1">
      <alignment horizontal="left" vertical="center" readingOrder="1"/>
    </xf>
    <xf numFmtId="0" fontId="33" fillId="0" borderId="5" xfId="0" applyFont="1" applyBorder="1" applyAlignment="1">
      <alignment horizontal="left" vertical="center" readingOrder="1"/>
    </xf>
    <xf numFmtId="1" fontId="30" fillId="0" borderId="4" xfId="0" applyNumberFormat="1" applyFont="1" applyBorder="1" applyAlignment="1">
      <alignment horizontal="right" vertical="center"/>
    </xf>
    <xf numFmtId="1" fontId="30" fillId="0" borderId="5" xfId="0" applyNumberFormat="1" applyFont="1" applyBorder="1" applyAlignment="1">
      <alignment horizontal="right" vertical="center"/>
    </xf>
    <xf numFmtId="1" fontId="30" fillId="0" borderId="6" xfId="0" applyNumberFormat="1" applyFont="1" applyBorder="1" applyAlignment="1">
      <alignment horizontal="right" vertical="center"/>
    </xf>
    <xf numFmtId="0" fontId="33" fillId="0" borderId="19" xfId="0" applyFont="1" applyBorder="1" applyAlignment="1">
      <alignment horizontal="left" vertical="center" readingOrder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3">
    <cellStyle name="Hyperlink" xfId="1" builtinId="8"/>
    <cellStyle name="Neutral" xfId="2" builtinId="28"/>
    <cellStyle name="Normal" xfId="0" builtinId="0"/>
  </cellStyles>
  <dxfs count="1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font>
        <color rgb="FF0000FF"/>
      </font>
    </dxf>
    <dxf>
      <font>
        <b val="0"/>
      </font>
    </dxf>
    <dxf>
      <fill>
        <patternFill patternType="solid">
          <bgColor rgb="FFFFFF00"/>
        </patternFill>
      </fill>
    </dxf>
    <dxf>
      <font>
        <color rgb="FF0000FF"/>
      </font>
    </dxf>
    <dxf>
      <fill>
        <patternFill patternType="solid">
          <bgColor rgb="FFFFFF00"/>
        </patternFill>
      </fill>
    </dxf>
    <dxf>
      <font>
        <color rgb="FF0000FF"/>
      </font>
    </dxf>
    <dxf>
      <fill>
        <patternFill patternType="solid">
          <bgColor rgb="FFFFFF00"/>
        </patternFill>
      </fill>
    </dxf>
    <dxf>
      <font>
        <color rgb="FF0000FF"/>
      </font>
    </dxf>
    <dxf>
      <fill>
        <patternFill patternType="solid">
          <bgColor rgb="FFFFFF00"/>
        </patternFill>
      </fill>
    </dxf>
    <dxf>
      <font>
        <color rgb="FF0000FF"/>
      </font>
    </dxf>
    <dxf>
      <font>
        <color rgb="FF0000FF"/>
      </font>
    </dxf>
    <dxf>
      <fill>
        <patternFill patternType="solid">
          <bgColor rgb="FFFFFF00"/>
        </patternFill>
      </fill>
    </dxf>
    <dxf>
      <font>
        <color rgb="FF0000FF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FF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0000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1</xdr:rowOff>
    </xdr:from>
    <xdr:to>
      <xdr:col>12</xdr:col>
      <xdr:colOff>593882</xdr:colOff>
      <xdr:row>84</xdr:row>
      <xdr:rowOff>73268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4DFBAD-9DB6-484B-AC77-B10CCAF2F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" y="7520941"/>
          <a:ext cx="16118542" cy="75713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10</xdr:col>
      <xdr:colOff>949472</xdr:colOff>
      <xdr:row>138</xdr:row>
      <xdr:rowOff>117536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A5280-B143-4F2B-A843-B2FE129B4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8760" y="15384780"/>
          <a:ext cx="9985522" cy="9627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123380</xdr:colOff>
      <xdr:row>1</xdr:row>
      <xdr:rowOff>147812</xdr:rowOff>
    </xdr:from>
    <xdr:to>
      <xdr:col>16</xdr:col>
      <xdr:colOff>550612</xdr:colOff>
      <xdr:row>50</xdr:row>
      <xdr:rowOff>171450</xdr:rowOff>
    </xdr:to>
    <xdr:pic>
      <xdr:nvPicPr>
        <xdr:cNvPr id="4" name="x_image_0">
          <a:extLst>
            <a:ext uri="{FF2B5EF4-FFF2-40B4-BE49-F238E27FC236}">
              <a16:creationId xmlns:a16="http://schemas.microsoft.com/office/drawing/2014/main" id="{20ACB7A8-C20D-D47C-EC1A-CEE0ED16D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980" y="338312"/>
          <a:ext cx="9571232" cy="9358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57150</xdr:colOff>
      <xdr:row>5</xdr:row>
      <xdr:rowOff>64770</xdr:rowOff>
    </xdr:from>
    <xdr:to>
      <xdr:col>39</xdr:col>
      <xdr:colOff>58852</xdr:colOff>
      <xdr:row>42</xdr:row>
      <xdr:rowOff>110177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CCE34260-57E3-94D3-06D4-818941E33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9550" y="1017270"/>
          <a:ext cx="12193702" cy="68589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44161</xdr:colOff>
      <xdr:row>2</xdr:row>
      <xdr:rowOff>177685</xdr:rowOff>
    </xdr:from>
    <xdr:to>
      <xdr:col>22</xdr:col>
      <xdr:colOff>345800</xdr:colOff>
      <xdr:row>23</xdr:row>
      <xdr:rowOff>35098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46C60-741E-5EF2-E6EB-A9B3B8BD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0997" y="537903"/>
          <a:ext cx="5795658" cy="3854103"/>
        </a:xfrm>
        <a:prstGeom prst="rect">
          <a:avLst/>
        </a:prstGeom>
      </xdr:spPr>
    </xdr:pic>
    <xdr:clientData/>
  </xdr:twoCellAnchor>
  <xdr:twoCellAnchor>
    <xdr:from>
      <xdr:col>13</xdr:col>
      <xdr:colOff>203143</xdr:colOff>
      <xdr:row>22</xdr:row>
      <xdr:rowOff>34464</xdr:rowOff>
    </xdr:from>
    <xdr:to>
      <xdr:col>14</xdr:col>
      <xdr:colOff>382906</xdr:colOff>
      <xdr:row>23</xdr:row>
      <xdr:rowOff>106854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2E4D2B-00A5-F96C-58D1-39A86AC3E692}"/>
            </a:ext>
          </a:extLst>
        </xdr:cNvPr>
        <xdr:cNvSpPr txBox="1"/>
      </xdr:nvSpPr>
      <xdr:spPr>
        <a:xfrm>
          <a:off x="10219979" y="3996864"/>
          <a:ext cx="789363" cy="252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00FF"/>
              </a:solidFill>
            </a:rPr>
            <a:t>WW29.2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e, Luke" id="{387BBE96-2BA4-408B-B52C-2F00EED25525}" userId="S::luke.lee@intel.com::8e218f87-c8c3-4cb4-bcca-0b8d9483cbf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Luke" refreshedDate="46253.474629976852" createdVersion="8" refreshedVersion="8" minRefreshableVersion="3" recordCount="292" xr:uid="{B026CB59-9857-4398-B21F-610DD59E0085}">
  <cacheSource type="worksheet">
    <worksheetSource ref="A1:AA293" sheet="X81Z_Row_Tracker"/>
  </cacheSource>
  <cacheFields count="27">
    <cacheField name="Test Row Name" numFmtId="0">
      <sharedItems/>
    </cacheField>
    <cacheField name="Library" numFmtId="0">
      <sharedItems containsBlank="1"/>
    </cacheField>
    <cacheField name="Test Row Owner" numFmtId="0">
      <sharedItems count="19">
        <s v="Divya"/>
        <s v="Amey"/>
        <s v="Roberto"/>
        <s v="Han"/>
        <s v="Darpan"/>
        <s v="Jiun"/>
        <s v="Amrit"/>
        <s v="Gilad"/>
        <s v="Jaesung"/>
        <s v="Jason"/>
        <s v="Jaladhi"/>
        <s v="Domingo"/>
        <s v="Aaryan"/>
        <s v="Shubhajit"/>
        <s v="Darpan, Amey" u="1"/>
        <s v="Darpan, Jaesung" u="1"/>
        <s v="Jaesung, Darpan" u="1"/>
        <s v="Nupur" u="1"/>
        <s v="Mehdi" u="1"/>
      </sharedItems>
    </cacheField>
    <cacheField name="TCE Template" numFmtId="0">
      <sharedItems containsBlank="1" count="12">
        <s v="CTM_PFT"/>
        <s v="Custom"/>
        <s v="MOS_PFT"/>
        <s v="CTM_ECD, CTM_CHN"/>
        <s v="CTM_CMB"/>
        <s v="MOS_MLR"/>
        <s v="ISO"/>
        <s v="VIA_KLV"/>
        <s v="MULTIPLE"/>
        <s v="FE_ECD/CTM_ECD"/>
        <s v="FE_VIA_CHN/CTM_CHAIN"/>
        <m/>
      </sharedItems>
    </cacheField>
    <cacheField name="Template Owner" numFmtId="0">
      <sharedItems containsBlank="1"/>
    </cacheField>
    <cacheField name="Any Manual Edits?" numFmtId="0">
      <sharedItems containsBlank="1"/>
    </cacheField>
    <cacheField name="Area" numFmtId="0">
      <sharedItems containsSemiMixedTypes="0" containsString="0" containsNumber="1" containsInteger="1" minValue="0" maxValue="1"/>
    </cacheField>
    <cacheField name="Structure Type" numFmtId="0">
      <sharedItems containsBlank="1" count="22">
        <s v="SRAM"/>
        <s v="PFT"/>
        <s v="Matching Pair"/>
        <s v="PW_PFT"/>
        <s v="ADT"/>
        <s v="EHV_PFT"/>
        <s v="EHV_MLR"/>
        <s v="WPE_ISO"/>
        <s v="LLE_PFT"/>
        <s v="Standard Millers"/>
        <s v="PW Miller Skews"/>
        <s v="LLE Miller Skews"/>
        <s v="FKTCN"/>
        <s v="KLV (VT/VG)​"/>
        <s v="ROSPFT"/>
        <s v="WID"/>
        <s v="KLV (PLY)​"/>
        <s v="KLV (TCN)​"/>
        <s v="CHN"/>
        <s v="ISO_FE"/>
        <m/>
        <s v="LLE_PFT_Multi"/>
      </sharedItems>
    </cacheField>
    <cacheField name="Row Description" numFmtId="0">
      <sharedItems containsBlank="1"/>
    </cacheField>
    <cacheField name="Seat" numFmtId="0">
      <sharedItems containsBlank="1" count="5">
        <s v="DBC3"/>
        <s v="DBC4"/>
        <s v="DBC1"/>
        <s v="DBC2"/>
        <m u="1"/>
      </sharedItems>
    </cacheField>
    <cacheField name="DFP/DFN" numFmtId="0">
      <sharedItems containsBlank="1"/>
    </cacheField>
    <cacheField name="Duplicate in TC21/22" numFmtId="0">
      <sharedItems containsBlank="1"/>
    </cacheField>
    <cacheField name="reusable for X81A" numFmtId="0">
      <sharedItems containsBlank="1"/>
    </cacheField>
    <cacheField name="ECD for X81A" numFmtId="0">
      <sharedItems containsBlank="1"/>
    </cacheField>
    <cacheField name="Content Owner" numFmtId="0">
      <sharedItems/>
    </cacheField>
    <cacheField name="Spec ready?" numFmtId="0">
      <sharedItems containsBlank="1"/>
    </cacheField>
    <cacheField name="Spec Link" numFmtId="0">
      <sharedItems containsBlank="1"/>
    </cacheField>
    <cacheField name="Buildsheet ready?" numFmtId="0">
      <sharedItems containsBlank="1"/>
    </cacheField>
    <cacheField name="DRV clean?" numFmtId="0">
      <sharedItems containsBlank="1"/>
    </cacheField>
    <cacheField name="LVS clean?" numFmtId="0">
      <sharedItems containsBlank="1"/>
    </cacheField>
    <cacheField name="Buddy Check Owner" numFmtId="0">
      <sharedItems containsBlank="1"/>
    </cacheField>
    <cacheField name="BC Assigned Date" numFmtId="0">
      <sharedItems containsDate="1" containsBlank="1" containsMixedTypes="1" minDate="2026-07-02T00:00:00" maxDate="2026-07-29T00:00:00"/>
    </cacheField>
    <cacheField name="BC Close Date" numFmtId="0">
      <sharedItems containsDate="1" containsBlank="1" containsMixedTypes="1" minDate="2026-07-03T00:00:00" maxDate="1899-12-30T00:00:00"/>
    </cacheField>
    <cacheField name="Row TI date" numFmtId="0">
      <sharedItems containsDate="1" containsBlank="1" containsMixedTypes="1" minDate="2026-07-26T00:00:00" maxDate="2026-07-30T00:00:00"/>
    </cacheField>
    <cacheField name="Final TC seat" numFmtId="0">
      <sharedItems containsNonDate="0" containsString="0" containsBlank="1"/>
    </cacheField>
    <cacheField name="JIRA Ticket" numFmtId="0">
      <sharedItems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s v="x81zs_sram01"/>
    <s v="bitsx81z_x81_lay"/>
    <x v="0"/>
    <x v="0"/>
    <s v="Nick"/>
    <m/>
    <n v="1"/>
    <x v="0"/>
    <s v="HCC1, HCC2, HDC4 BITPFTs [PD/PG/PU]"/>
    <x v="0"/>
    <m/>
    <m/>
    <s v="N"/>
    <m/>
    <s v="Divya/Jaladhi"/>
    <s v="Y"/>
    <m/>
    <s v="Y"/>
    <s v="Y"/>
    <m/>
    <s v="Jaladhi"/>
    <d v="2026-07-27T00:00:00"/>
    <d v="2026-07-27T00:00:00"/>
    <d v="2026-07-28T00:00:00"/>
    <m/>
    <s v="TSDR1282-613"/>
    <s v="pending dispo state"/>
  </r>
  <r>
    <s v="x81zs_sram02"/>
    <s v="bitsx81z_x81_lay"/>
    <x v="0"/>
    <x v="0"/>
    <s v="Nick"/>
    <m/>
    <n v="1"/>
    <x v="0"/>
    <s v="HDC1, HDC5, HDC6 BITPFTs [PD/PG/PU]"/>
    <x v="0"/>
    <m/>
    <m/>
    <s v="N"/>
    <m/>
    <s v="Divya/Jaladhi"/>
    <s v="Y"/>
    <m/>
    <s v="Y"/>
    <s v="Y"/>
    <m/>
    <s v="Jaladhi"/>
    <d v="2026-07-27T00:00:00"/>
    <d v="2026-07-27T00:00:00"/>
    <d v="2026-07-28T00:00:00"/>
    <m/>
    <s v="TSDR1282-613"/>
    <s v="pending dispo state"/>
  </r>
  <r>
    <s v="x81zs_sram03"/>
    <s v="bitsx81z_x81_lay"/>
    <x v="0"/>
    <x v="0"/>
    <s v="Nick"/>
    <s v="Yes"/>
    <n v="1"/>
    <x v="0"/>
    <s v="HDC3, TPRF1, TPRF2 BITPFTs [PD/PG/PU]"/>
    <x v="0"/>
    <m/>
    <m/>
    <s v="N"/>
    <m/>
    <s v="Divya/Jaladhi"/>
    <s v="Y"/>
    <m/>
    <s v="Y"/>
    <s v="Y"/>
    <m/>
    <s v="Jaladhi"/>
    <d v="2026-07-27T00:00:00"/>
    <d v="2026-07-27T00:00:00"/>
    <d v="2026-07-28T00:00:00"/>
    <m/>
    <s v="TSDR1282-613"/>
    <s v="pending dispo state; waiting on TGSR* approval"/>
  </r>
  <r>
    <s v="x81zs_sram04"/>
    <s v="bitsx81z_x81_lay"/>
    <x v="0"/>
    <x v="0"/>
    <s v="Nick"/>
    <s v="Yes"/>
    <n v="1"/>
    <x v="0"/>
    <s v="IREADs"/>
    <x v="0"/>
    <m/>
    <m/>
    <s v="N"/>
    <m/>
    <s v="Divya/Jaladhi"/>
    <s v="Y"/>
    <m/>
    <s v="Y"/>
    <s v="Y"/>
    <m/>
    <s v="Jaladhi"/>
    <d v="2026-07-28T00:00:00"/>
    <d v="2026-07-28T00:00:00"/>
    <d v="2026-07-28T00:00:00"/>
    <m/>
    <s v="TSDR1282-613"/>
    <s v="pending dispo state; waiting on TGSR* approval"/>
  </r>
  <r>
    <s v="x81zs_sram05"/>
    <s v="bitsx81z_x81_lay"/>
    <x v="0"/>
    <x v="1"/>
    <s v="MCT team"/>
    <s v="Yes"/>
    <n v="1"/>
    <x v="0"/>
    <s v="BCLAs"/>
    <x v="1"/>
    <m/>
    <m/>
    <s v="N"/>
    <m/>
    <s v="Divya/Jaladhi"/>
    <s v="Y"/>
    <m/>
    <m/>
    <m/>
    <m/>
    <s v="Jaladhi"/>
    <m/>
    <m/>
    <d v="2026-07-29T00:00:00"/>
    <m/>
    <s v="TSDR1282-613"/>
    <s v="pending dispo state; post-lay simulation has extraction issue; waiting on M1_R_77 approval;"/>
  </r>
  <r>
    <s v="x81zs_sram06"/>
    <s v="bitsx81z_x81_lay"/>
    <x v="0"/>
    <x v="1"/>
    <s v="MCT team"/>
    <s v="Yes"/>
    <n v="1"/>
    <x v="0"/>
    <s v="BCLA_Open"/>
    <x v="1"/>
    <m/>
    <m/>
    <s v="N"/>
    <m/>
    <s v="Divya/Jaladhi"/>
    <s v="Y"/>
    <m/>
    <m/>
    <m/>
    <m/>
    <s v="Jaladhi"/>
    <m/>
    <m/>
    <d v="2026-07-29T00:00:00"/>
    <m/>
    <s v="TSDR1282-613"/>
    <s v="pending dispo state; "/>
  </r>
  <r>
    <s v="x81zs_sram07"/>
    <s v="bitsx81z_x81_lay"/>
    <x v="0"/>
    <x v="1"/>
    <s v="MCT team"/>
    <m/>
    <n v="1"/>
    <x v="0"/>
    <s v="Back-up row for sram03/04 in case TPRF doesn't go through"/>
    <x v="1"/>
    <m/>
    <m/>
    <m/>
    <m/>
    <s v="Divya/Jaladhi"/>
    <s v="Y"/>
    <m/>
    <m/>
    <m/>
    <m/>
    <m/>
    <m/>
    <m/>
    <d v="2026-07-28T00:00:00"/>
    <m/>
    <s v="TSDR1282-613"/>
    <s v="pending dispo state"/>
  </r>
  <r>
    <s v="x81zs_sram08"/>
    <s v="bitsx81z_x81_lay"/>
    <x v="0"/>
    <x v="0"/>
    <s v="Nick"/>
    <m/>
    <n v="0"/>
    <x v="0"/>
    <s v="devflav skew; no-jog DPI skew; LNR CD skew"/>
    <x v="1"/>
    <m/>
    <m/>
    <m/>
    <m/>
    <s v="Divya/Jaladhi"/>
    <s v="Y"/>
    <m/>
    <m/>
    <m/>
    <m/>
    <m/>
    <m/>
    <m/>
    <m/>
    <m/>
    <m/>
    <s v="dropped due to lack of time/resources;"/>
  </r>
  <r>
    <s v="x81zs_sram09"/>
    <s v="bitsx81z_x81_lay"/>
    <x v="0"/>
    <x v="0"/>
    <s v="Nick"/>
    <m/>
    <n v="0"/>
    <x v="0"/>
    <s v="LNR CD skew"/>
    <x v="1"/>
    <m/>
    <m/>
    <m/>
    <s v="WW35"/>
    <s v="Divya/Jaladhi"/>
    <m/>
    <m/>
    <m/>
    <m/>
    <m/>
    <m/>
    <m/>
    <m/>
    <m/>
    <m/>
    <m/>
    <m/>
  </r>
  <r>
    <s v="x81zs_sram10"/>
    <s v="bitsx81z_x81_lay"/>
    <x v="0"/>
    <x v="0"/>
    <s v="Nick"/>
    <m/>
    <n v="0"/>
    <x v="0"/>
    <s v="LNR CD skew "/>
    <x v="1"/>
    <m/>
    <m/>
    <m/>
    <s v="WW35"/>
    <s v="Divya/Jaladhi"/>
    <m/>
    <m/>
    <m/>
    <m/>
    <m/>
    <m/>
    <m/>
    <m/>
    <m/>
    <m/>
    <m/>
    <m/>
  </r>
  <r>
    <s v="x81zs_sram11"/>
    <s v="bitsx81z_x81_lay"/>
    <x v="0"/>
    <x v="2"/>
    <s v="Yuti"/>
    <m/>
    <n v="0"/>
    <x v="0"/>
    <s v="Col logic PFT"/>
    <x v="1"/>
    <m/>
    <m/>
    <m/>
    <m/>
    <s v="Divya/Jaladhi"/>
    <s v="Y"/>
    <m/>
    <m/>
    <m/>
    <m/>
    <m/>
    <m/>
    <m/>
    <m/>
    <m/>
    <m/>
    <s v="no col. Logic template enablement for X81Z;"/>
  </r>
  <r>
    <s v="x81zs_sram12"/>
    <s v="bitsx81z_x81_lay"/>
    <x v="0"/>
    <x v="2"/>
    <s v="Yuti"/>
    <m/>
    <n v="0"/>
    <x v="0"/>
    <s v="Col logic PFT"/>
    <x v="1"/>
    <m/>
    <m/>
    <m/>
    <m/>
    <s v="Divya/Jaladhi"/>
    <s v="Y"/>
    <m/>
    <m/>
    <m/>
    <m/>
    <m/>
    <m/>
    <m/>
    <m/>
    <m/>
    <m/>
    <s v="no col. Logic template enablement for X81Z;"/>
  </r>
  <r>
    <s v="x81zs_gcn01"/>
    <s v="gcnx81z_x81_lay"/>
    <x v="0"/>
    <x v="3"/>
    <s v="Nick"/>
    <m/>
    <n v="0"/>
    <x v="0"/>
    <s v="limited POR GCN KLV "/>
    <x v="1"/>
    <m/>
    <m/>
    <s v="N"/>
    <s v="WW35"/>
    <s v="Divya/Domingo"/>
    <m/>
    <m/>
    <m/>
    <m/>
    <m/>
    <m/>
    <m/>
    <m/>
    <m/>
    <m/>
    <m/>
    <s v="don't have enough time; need to drop GCN content for X81Z;"/>
  </r>
  <r>
    <s v="x81zs_sram_pw01"/>
    <s v="gcnx81z_x81_lay"/>
    <x v="0"/>
    <x v="4"/>
    <s v="Nick"/>
    <m/>
    <n v="0"/>
    <x v="0"/>
    <s v="SRAM shorts [process window monitors]"/>
    <x v="0"/>
    <m/>
    <m/>
    <m/>
    <m/>
    <s v="Divya/Domingo"/>
    <m/>
    <m/>
    <m/>
    <m/>
    <m/>
    <m/>
    <m/>
    <m/>
    <m/>
    <m/>
    <m/>
    <m/>
  </r>
  <r>
    <s v="x81zs_ncl01"/>
    <s v="xtrpfx81z_x81_lay"/>
    <x v="1"/>
    <x v="2"/>
    <s v="Yuti"/>
    <m/>
    <n v="1"/>
    <x v="1"/>
    <s v="All CH-LNR exploration w/ LVT, CMOS No-DBI skews on 132H Z5 all VTs, 110H Z3 LVT"/>
    <x v="0"/>
    <s v="x"/>
    <s v="Y"/>
    <s v="Y - partial, see DH/Turbo vs no-DBI"/>
    <m/>
    <s v="Roberto"/>
    <s v="Y (revised ww22.4)"/>
    <s v="link"/>
    <s v="Y"/>
    <s v="Y"/>
    <s v="Y"/>
    <s v="Roberto"/>
    <s v="ww29.5"/>
    <s v="ww29.5"/>
    <m/>
    <m/>
    <s v="TSDR1282-423"/>
    <m/>
  </r>
  <r>
    <s v="x81zs_ncl02"/>
    <s v="xtrpfx81z_x81_lay"/>
    <x v="1"/>
    <x v="2"/>
    <s v="Yuti"/>
    <m/>
    <n v="1"/>
    <x v="1"/>
    <s v="All-VT, widest LNR each CH + 165-Z6 (UL, S, H)"/>
    <x v="2"/>
    <m/>
    <s v="Y"/>
    <s v="Y"/>
    <m/>
    <s v="Roberto"/>
    <s v="Y (revised ww22.4)"/>
    <s v="link"/>
    <s v="Y"/>
    <s v="N"/>
    <s v="Y"/>
    <s v="Jiun"/>
    <d v="2026-07-04T00:00:00"/>
    <m/>
    <m/>
    <m/>
    <s v="TSDR1282-410,TSDR1282-411,TSDR1282-416,TSDR1282-423"/>
    <s v="PFT pending DRV; LVS cleanup; BC IP"/>
  </r>
  <r>
    <s v="x81zs_ncl03"/>
    <s v="xtrpfx81z_x81_lay"/>
    <x v="1"/>
    <x v="2"/>
    <s v="Yuti"/>
    <m/>
    <n v="1"/>
    <x v="1"/>
    <s v="All-VT, narrowest LNR each CH + 165-Z4 (UL, S, H)"/>
    <x v="2"/>
    <m/>
    <m/>
    <s v="Y"/>
    <m/>
    <s v="Roberto"/>
    <s v="Y (revised ww22.4)"/>
    <s v="link"/>
    <s v="Y"/>
    <s v="N"/>
    <s v="Y"/>
    <s v="Jiun"/>
    <d v="2026-07-04T00:00:00"/>
    <m/>
    <m/>
    <m/>
    <s v="TSDR1282-410,TSDR1282-416,TSDR1282-423"/>
    <s v="PFT pending DRV; LVS cleanup; BC IP"/>
  </r>
  <r>
    <s v="x81zs_ncl04"/>
    <s v="xtrpfx81z_x81_lay"/>
    <x v="2"/>
    <x v="2"/>
    <s v="Yuti"/>
    <m/>
    <n v="0"/>
    <x v="1"/>
    <s v="Turbo (SDR OPH) + DH-reg.LNR. All-VT, non-LVT (see *cl01) / No DH-165 (S, H) (in *01)"/>
    <x v="0"/>
    <s v="x"/>
    <m/>
    <m/>
    <s v="Template need"/>
    <s v="Roberto"/>
    <s v="Y (revised ww22.4)"/>
    <s v="link"/>
    <s v="N"/>
    <s v="N"/>
    <s v="N"/>
    <m/>
    <m/>
    <m/>
    <m/>
    <m/>
    <m/>
    <m/>
  </r>
  <r>
    <s v="x81zs_ncl05"/>
    <s v="xtrpfx81z_x81_lay"/>
    <x v="2"/>
    <x v="2"/>
    <s v="Yuti"/>
    <m/>
    <n v="1"/>
    <x v="1"/>
    <s v="All-VT (LVT in *cl01), mid LNR 110h, 132h. 165h Z2 (E, U), 165h Z4 (E, U), 165h Z6 E"/>
    <x v="3"/>
    <m/>
    <m/>
    <s v="Y"/>
    <m/>
    <s v="Roberto"/>
    <s v="Y (revised ww22.4)"/>
    <s v="link"/>
    <s v="Y"/>
    <s v="Y"/>
    <s v="Y"/>
    <s v="Amey"/>
    <s v="ww28.5"/>
    <s v="WW29.3"/>
    <s v="ww29.1"/>
    <m/>
    <s v="TSDR1282-416,TSDR1282-428,TSDR1282-427"/>
    <s v="Pending Dispo"/>
  </r>
  <r>
    <s v="x81zs_ncl07"/>
    <s v="xtrpfx81z_x81_lay"/>
    <x v="1"/>
    <x v="2"/>
    <s v="Yuti"/>
    <m/>
    <n v="1"/>
    <x v="1"/>
    <s v="'CMOS_80': 1X1 bridge to X80C"/>
    <x v="2"/>
    <m/>
    <m/>
    <s v="Y"/>
    <m/>
    <s v="Roberto"/>
    <s v="Y (revised ww22.4)"/>
    <s v="link"/>
    <s v="Y"/>
    <s v="N"/>
    <s v="Y"/>
    <s v="Jiun"/>
    <d v="2026-07-04T00:00:00"/>
    <m/>
    <m/>
    <m/>
    <s v="TSDR1282-410,TSDR1282-416,TSDR1282-423"/>
    <s v="PFT pending DRV; LVS cleanup; BC IP"/>
  </r>
  <r>
    <s v="x81zs_ncl08"/>
    <s v="xtrpfx81z_x81_lay"/>
    <x v="1"/>
    <x v="2"/>
    <s v="Yuti"/>
    <m/>
    <n v="1"/>
    <x v="1"/>
    <s v="CMOS_A: widest LNR each CH"/>
    <x v="2"/>
    <m/>
    <m/>
    <s v="Y"/>
    <m/>
    <s v="Roberto"/>
    <s v="Y (revised ww22.4)"/>
    <s v="link"/>
    <s v="Y"/>
    <s v="N"/>
    <s v="Y"/>
    <s v="Jiun"/>
    <d v="2026-07-04T00:00:00"/>
    <m/>
    <m/>
    <m/>
    <s v="TSDR1282-410,TSDR1282-416,TSDR1282-420,TSDR1282-423"/>
    <s v="PFT pending DRV; LVS cleanup; BC IP"/>
  </r>
  <r>
    <s v="x81zs_ncl09"/>
    <s v="xtrpfx81z_x81_lay"/>
    <x v="1"/>
    <x v="2"/>
    <s v="Yuti"/>
    <m/>
    <n v="1"/>
    <x v="1"/>
    <s v="CMOS_A: narrowest LNR each CH"/>
    <x v="2"/>
    <m/>
    <m/>
    <s v="Y"/>
    <m/>
    <s v="Roberto"/>
    <s v="Y (revised ww22.4)"/>
    <s v="link"/>
    <s v="Y"/>
    <s v="N"/>
    <s v="Y"/>
    <s v="Jiun"/>
    <d v="2026-07-04T00:00:00"/>
    <m/>
    <m/>
    <m/>
    <s v="TSDR1282-410,TSDR1282-416,TSDR1282-420,TSDR1282-423"/>
    <s v="PFT pending DRV; LVS cleanup; BC IP"/>
  </r>
  <r>
    <s v="x81zs_ncl11"/>
    <s v="xtrpfx81z_x81_lay"/>
    <x v="1"/>
    <x v="2"/>
    <s v="Yuti"/>
    <m/>
    <n v="1"/>
    <x v="1"/>
    <s v="UNI: All CH-LNR exploration w/ LVT, CMOS No-DBI skews on 165H Z7 all VTs, 110H Z3 ELVT"/>
    <x v="0"/>
    <m/>
    <s v="Y"/>
    <s v="Y - partial, see DH/Turbo vs no-DBI"/>
    <m/>
    <s v="Roberto"/>
    <s v="Y (revised ww22.4)"/>
    <s v="link"/>
    <s v="Y"/>
    <s v="Y"/>
    <s v="Y"/>
    <s v="Roberto"/>
    <s v="ww29.5"/>
    <s v="ww29.5"/>
    <m/>
    <m/>
    <s v="TSDR1282-423"/>
    <m/>
  </r>
  <r>
    <s v="x81zs_ncl12"/>
    <s v="xtrpfx81z_x81_lay"/>
    <x v="2"/>
    <x v="2"/>
    <s v="Yuti"/>
    <m/>
    <n v="1"/>
    <x v="1"/>
    <s v="UNI: All-VT, widest LNR each CH + 165-Z6 (UL, S, H)"/>
    <x v="2"/>
    <m/>
    <m/>
    <s v="Y"/>
    <m/>
    <s v="Roberto"/>
    <s v="Y (revised ww22.4)"/>
    <s v="link"/>
    <s v="Y"/>
    <s v="Y"/>
    <s v="Y"/>
    <s v="Amey"/>
    <d v="2026-07-05T00:00:00"/>
    <n v="28.2"/>
    <s v="ww28.5"/>
    <m/>
    <s v="TSDR1282-417,TSDR1282-416,TSDR1282-428,TSDR1282-427"/>
    <s v="Pending Dispo"/>
  </r>
  <r>
    <s v="x81zs_ncl13"/>
    <s v="xtrpfx81z_x81_lay"/>
    <x v="2"/>
    <x v="2"/>
    <s v="Yuti"/>
    <m/>
    <n v="1"/>
    <x v="1"/>
    <s v="UNI: All-VT, narrowest LNR each CH + 165-Z4 (UL, S, H)"/>
    <x v="2"/>
    <m/>
    <m/>
    <s v="Y"/>
    <m/>
    <s v="Roberto"/>
    <s v="Y (revised ww22.4)"/>
    <s v="link"/>
    <s v="Y"/>
    <s v="Y"/>
    <s v="Y"/>
    <s v="Amey"/>
    <d v="2026-07-05T00:00:00"/>
    <n v="28.2"/>
    <s v="ww28.5"/>
    <m/>
    <s v="TSDR1282-416,TSDR1282-428,TSDR1282-427"/>
    <s v="Pending Dispo"/>
  </r>
  <r>
    <s v="x81zs_ncl14"/>
    <s v="xtrpfx81z_x81_lay"/>
    <x v="2"/>
    <x v="2"/>
    <s v="Yuti"/>
    <m/>
    <n v="0"/>
    <x v="1"/>
    <s v="UNI: Turbo (SDR OPH) + DH-reg.LNR. All-VT, non-LVT (see *cl01) / No DH-165 (S, H) (in *01)"/>
    <x v="0"/>
    <m/>
    <m/>
    <m/>
    <s v="Template need"/>
    <s v="Roberto"/>
    <s v="Y (revised ww22.4)"/>
    <s v="link"/>
    <s v="N"/>
    <s v="N"/>
    <s v="N"/>
    <m/>
    <m/>
    <m/>
    <m/>
    <m/>
    <m/>
    <m/>
  </r>
  <r>
    <s v="x81zs_ncl15"/>
    <s v="xtrpfx81z_x81_lay"/>
    <x v="2"/>
    <x v="2"/>
    <s v="Yuti"/>
    <m/>
    <n v="1"/>
    <x v="1"/>
    <s v="UNI: All-VT (LVT in *cl01), mid LNR 110h, 132h. 165h Z2 (E, U), 165h Z4 (E, U), 165h Z6 E"/>
    <x v="3"/>
    <m/>
    <m/>
    <s v="Y"/>
    <m/>
    <s v="Roberto"/>
    <s v="Y (revised ww22.4)"/>
    <s v="link"/>
    <s v="Y"/>
    <s v="Y"/>
    <s v="Y"/>
    <s v="Amey"/>
    <s v="ww28.5"/>
    <s v="WW29.3"/>
    <s v="ww29.1"/>
    <m/>
    <s v="TSDR1282-416,TSDR1282-428,TSDR1282-427"/>
    <s v="Pending Dispo"/>
  </r>
  <r>
    <s v="x81zs_ncl17"/>
    <s v="xtrpfx81z_x81_lay"/>
    <x v="1"/>
    <x v="2"/>
    <s v="Yuti"/>
    <m/>
    <n v="1"/>
    <x v="1"/>
    <s v="'UNI_80': 1X1 bridge to X80C"/>
    <x v="2"/>
    <m/>
    <m/>
    <s v="Y"/>
    <m/>
    <s v="Roberto"/>
    <s v="Y (revised ww22.4)"/>
    <s v="link"/>
    <s v="Y"/>
    <s v="N"/>
    <s v="Y"/>
    <s v="Jiun"/>
    <d v="2026-07-04T00:00:00"/>
    <m/>
    <m/>
    <m/>
    <s v="TSDR1282-414,TSDR1282-416,TSDR1282-423"/>
    <s v="PFT pending DRV; LVS cleanup; BC IP"/>
  </r>
  <r>
    <s v="x81zs_pcl01"/>
    <s v="xtrpfx81z_x81_lay"/>
    <x v="1"/>
    <x v="2"/>
    <s v="Yuti"/>
    <m/>
    <n v="1"/>
    <x v="1"/>
    <s v="All CH-LNR exploration w/ LVT, CMOS No-DBI skews on 132H Z5 all VTs, 110H Z3 LVT"/>
    <x v="0"/>
    <s v="x"/>
    <s v="Y"/>
    <s v="Y - partial, see DH/Turbo vs no-DBI"/>
    <m/>
    <s v="Roberto"/>
    <s v="Y (revised ww22.4)"/>
    <s v="link"/>
    <s v="Y"/>
    <s v="Y"/>
    <s v="Y"/>
    <s v="Roberto"/>
    <s v="ww29.5"/>
    <s v="ww29.5"/>
    <m/>
    <m/>
    <s v="TSDR1282-423"/>
    <m/>
  </r>
  <r>
    <s v="x81zs_pcl02"/>
    <s v="xtrpfx81z_x81_lay"/>
    <x v="1"/>
    <x v="2"/>
    <s v="Yuti"/>
    <m/>
    <n v="1"/>
    <x v="1"/>
    <s v="All-VT, widest LNR each CH + 165-Z6 (UL, S, H)"/>
    <x v="2"/>
    <m/>
    <s v="Y"/>
    <s v="Y"/>
    <m/>
    <s v="Roberto"/>
    <s v="Y (revised ww22.4)"/>
    <s v="link"/>
    <s v="Y"/>
    <s v="N"/>
    <s v="N"/>
    <s v="Jiun"/>
    <d v="2026-07-04T00:00:00"/>
    <m/>
    <m/>
    <m/>
    <s v="TSDR1282-410,TSDR1282-411,TSDR1282-416,TSDR1282-423"/>
    <s v="PFT pending DRV; LVS cleanup; BC IP"/>
  </r>
  <r>
    <s v="x81zs_pcl03"/>
    <s v="xtrpfx81z_x81_lay"/>
    <x v="1"/>
    <x v="2"/>
    <s v="Yuti"/>
    <m/>
    <n v="1"/>
    <x v="1"/>
    <s v="All-VT, narrowest LNR each CH + 165-Z4 (UL, S, H)"/>
    <x v="2"/>
    <m/>
    <m/>
    <s v="Y"/>
    <m/>
    <s v="Roberto"/>
    <s v="Y (revised ww22.4)"/>
    <s v="link"/>
    <s v="Y"/>
    <s v="N"/>
    <s v="Y"/>
    <s v="Jiun"/>
    <d v="2026-07-04T00:00:00"/>
    <m/>
    <m/>
    <m/>
    <s v="TSDR1282-410,TSDR1282-416,TSDR1282-423"/>
    <s v="PFT pending DRV; LVS cleanup; BC IP"/>
  </r>
  <r>
    <s v="x81zs_pcl04"/>
    <s v="xtrpfx81z_x81_lay"/>
    <x v="2"/>
    <x v="2"/>
    <s v="Yuti"/>
    <m/>
    <n v="0"/>
    <x v="1"/>
    <s v="Turbo (SDR OPH) + DH-reg.LNR. All-VT, non-LVT (see *cl01) / No DH-165 (S, H) (in *01)"/>
    <x v="0"/>
    <s v="x"/>
    <m/>
    <m/>
    <s v="Template need"/>
    <s v="Roberto"/>
    <s v="Y (revised ww22.4)"/>
    <s v="link"/>
    <s v="N"/>
    <s v="N"/>
    <s v="N"/>
    <m/>
    <m/>
    <m/>
    <m/>
    <m/>
    <m/>
    <m/>
  </r>
  <r>
    <s v="x81zs_pcl05"/>
    <s v="xtrpfx81z_x81_lay"/>
    <x v="2"/>
    <x v="2"/>
    <s v="Yuti"/>
    <m/>
    <n v="1"/>
    <x v="1"/>
    <s v="All-VT (LVT in *cl01), mid LNR 110h, 132h. 165h Z2 (E, U), 165h Z4 (E, U), 165h Z6 E"/>
    <x v="3"/>
    <m/>
    <m/>
    <s v="Y"/>
    <m/>
    <s v="Roberto"/>
    <s v="Y (revised ww22.4)"/>
    <s v="link"/>
    <s v="Y"/>
    <s v="Y"/>
    <s v="Y"/>
    <s v="Amey"/>
    <s v="ww28.5"/>
    <s v="WW29.3"/>
    <s v="ww29.1"/>
    <m/>
    <s v="TSDR1282-416,TSDR1282-428,TSDR1282-427"/>
    <s v="Pending Dispo"/>
  </r>
  <r>
    <s v="x81zs_pcl07"/>
    <s v="xtrpfx81z_x81_lay"/>
    <x v="1"/>
    <x v="2"/>
    <s v="Yuti"/>
    <m/>
    <n v="1"/>
    <x v="1"/>
    <s v="'CMOS_80': 1X1 bridge to X80C"/>
    <x v="2"/>
    <m/>
    <m/>
    <s v="Y"/>
    <m/>
    <s v="Roberto"/>
    <s v="Y (revised ww22.4)"/>
    <s v="link"/>
    <s v="Y"/>
    <s v="N"/>
    <s v="Y"/>
    <s v="Jiun"/>
    <d v="2026-07-04T00:00:00"/>
    <m/>
    <m/>
    <m/>
    <s v="TSDR1282-410,TSDR1282-416,TSDR1282-423"/>
    <s v="PFT pending DRV; LVS cleanup; BC IP"/>
  </r>
  <r>
    <s v="x81zs_pcl08"/>
    <s v="xtrpfx81z_x81_lay"/>
    <x v="1"/>
    <x v="2"/>
    <s v="Yuti"/>
    <m/>
    <n v="1"/>
    <x v="1"/>
    <s v="CMOS_A: widest LNR each CH"/>
    <x v="2"/>
    <m/>
    <m/>
    <s v="Y"/>
    <m/>
    <s v="Roberto"/>
    <s v="Y (revised ww22.4)"/>
    <s v="link"/>
    <s v="Y"/>
    <s v="N"/>
    <s v="Y"/>
    <s v="Jiun"/>
    <d v="2026-07-04T00:00:00"/>
    <m/>
    <m/>
    <m/>
    <s v="TSDR1282-410,TSDR1282-416,TSDR1282-420,TSDR1282-423"/>
    <s v="PFT pending DRV; LVS cleanup; BC IP"/>
  </r>
  <r>
    <s v="x81zs_pcl09"/>
    <s v="xtrpfx81z_x81_lay"/>
    <x v="1"/>
    <x v="2"/>
    <s v="Yuti"/>
    <m/>
    <n v="1"/>
    <x v="1"/>
    <s v="CMOS_A: narrowest LNR each CH"/>
    <x v="2"/>
    <m/>
    <m/>
    <s v="Y"/>
    <m/>
    <s v="Roberto"/>
    <s v="Y (revised ww22.4)"/>
    <s v="link"/>
    <s v="Y"/>
    <s v="N"/>
    <s v="Y"/>
    <s v="Jiun"/>
    <d v="2026-07-04T00:00:00"/>
    <m/>
    <m/>
    <m/>
    <s v="TSDR1282-410,TSDR1282-416,TSDR1282-420,TSDR1282-423"/>
    <s v="PFT pending DRV; LVS cleanup; BC IP"/>
  </r>
  <r>
    <s v="x81zs_pcl11"/>
    <s v="xtrpfx81z_x81_lay"/>
    <x v="1"/>
    <x v="2"/>
    <s v="Yuti"/>
    <m/>
    <n v="1"/>
    <x v="1"/>
    <s v="UNI: All CH-LNR exploration w/ LVT, CMOS No-DBI skews on 165H Z7 all VTs, 110H Z3 ELVT"/>
    <x v="0"/>
    <m/>
    <s v="Y"/>
    <s v="Y - partial, see DH/Turbo vs no-DBI"/>
    <m/>
    <s v="Roberto"/>
    <s v="Y (revised ww22.4)"/>
    <s v="link"/>
    <s v="Y"/>
    <s v="Y"/>
    <s v="Y"/>
    <s v="Roberto"/>
    <s v="ww29.5"/>
    <s v="ww29.5"/>
    <m/>
    <m/>
    <s v="TSDR1282-423"/>
    <m/>
  </r>
  <r>
    <s v="x81zs_pcl12"/>
    <s v="xtrpfx81z_x81_lay"/>
    <x v="2"/>
    <x v="2"/>
    <s v="Yuti"/>
    <m/>
    <n v="1"/>
    <x v="1"/>
    <s v="UNI: All-VT, widest LNR each CH + 165-Z6 (UL, S, H)"/>
    <x v="2"/>
    <m/>
    <m/>
    <s v="Y"/>
    <m/>
    <s v="Roberto"/>
    <s v="Y (revised ww22.4)"/>
    <s v="link"/>
    <s v="Y"/>
    <s v="Y"/>
    <s v="Y"/>
    <s v="Amey"/>
    <d v="2026-07-05T00:00:00"/>
    <n v="28.2"/>
    <s v="ww28.5"/>
    <m/>
    <s v="TSDR1282-417,TSDR1282-416,TSDR1282-428,TSDR1282-427"/>
    <s v="Pending Dispo"/>
  </r>
  <r>
    <s v="x81zs_pcl13"/>
    <s v="xtrpfx81z_x81_lay"/>
    <x v="2"/>
    <x v="2"/>
    <s v="Yuti"/>
    <m/>
    <n v="1"/>
    <x v="1"/>
    <s v="UNI: All-VT, narrowest LNR each CH + 165-Z4 (UL, S, H)"/>
    <x v="2"/>
    <m/>
    <m/>
    <s v="Y"/>
    <m/>
    <s v="Roberto"/>
    <s v="Y (revised ww22.4)"/>
    <s v="link"/>
    <s v="Y"/>
    <s v="Y"/>
    <s v="Y"/>
    <s v="Amey"/>
    <d v="2026-07-05T00:00:00"/>
    <n v="28.2"/>
    <s v="ww28.5"/>
    <m/>
    <s v="TSDR1282-416,TSDR1282-428,TSDR1282-427"/>
    <s v="Pending Dispo"/>
  </r>
  <r>
    <s v="x81zs_pcl14"/>
    <s v="xtrpfx81z_x81_lay"/>
    <x v="2"/>
    <x v="2"/>
    <s v="Yuti"/>
    <m/>
    <n v="0"/>
    <x v="1"/>
    <s v="UNI: Turbo (SDR OPH) + DH-reg.LNR. All-VT, non-LVT (see *cl01) / No DH-165 (S, H) (in *01)"/>
    <x v="0"/>
    <m/>
    <m/>
    <m/>
    <s v="Template need"/>
    <s v="Roberto"/>
    <s v="Y (revised ww22.4)"/>
    <s v="link"/>
    <s v="N"/>
    <s v="N"/>
    <s v="N"/>
    <m/>
    <m/>
    <m/>
    <m/>
    <m/>
    <m/>
    <m/>
  </r>
  <r>
    <s v="x81zs_pcl15"/>
    <s v="xtrpfx81z_x81_lay"/>
    <x v="2"/>
    <x v="2"/>
    <s v="Yuti"/>
    <m/>
    <n v="1"/>
    <x v="1"/>
    <s v="UNI: All-VT (LVT in *cl01), mid LNR 110h, 132h. 165h Z2 (E, U), 165h Z4 (E, U), 165h Z6 E"/>
    <x v="3"/>
    <m/>
    <m/>
    <s v="Y"/>
    <m/>
    <s v="Roberto"/>
    <s v="Y (revised ww22.4)"/>
    <s v="link"/>
    <s v="Y"/>
    <s v="Y"/>
    <s v="Y"/>
    <s v="Amey"/>
    <s v="ww28.5"/>
    <s v="WW29.3"/>
    <s v="ww29.1"/>
    <m/>
    <s v="TSDR1282-417,TSDR1282-416,TSDR1282-428,TSDR1282-427"/>
    <s v="Pending Dispo"/>
  </r>
  <r>
    <s v="x81zs_pcl17"/>
    <s v="xtrpfx81z_x81_lay"/>
    <x v="1"/>
    <x v="2"/>
    <s v="Yuti"/>
    <m/>
    <n v="1"/>
    <x v="1"/>
    <s v="'UNI_80': 1X1 bridge to X80C"/>
    <x v="2"/>
    <m/>
    <m/>
    <s v="Y"/>
    <m/>
    <s v="Roberto"/>
    <s v="Y (revised ww22.4)"/>
    <s v="link"/>
    <s v="Y"/>
    <s v="N"/>
    <s v="Y"/>
    <s v="Jiun"/>
    <d v="2026-07-04T00:00:00"/>
    <m/>
    <m/>
    <m/>
    <s v="TSDR1282-410,TSDR1282-416,TSDR1282-420,TSDR1282-423"/>
    <s v="PFT pending DRV; LVS cleanup; BC IP"/>
  </r>
  <r>
    <s v="x81zs_mncl01"/>
    <s v="xtrmatx81z_x81_lay"/>
    <x v="2"/>
    <x v="2"/>
    <s v="Yuti"/>
    <m/>
    <n v="1"/>
    <x v="2"/>
    <s v="MP: 110, 132 LVT, 165 (Z2-Z6) LVT"/>
    <x v="2"/>
    <m/>
    <m/>
    <s v="Y - but row-level planning will be revised"/>
    <m/>
    <s v="Roberto"/>
    <s v="Y (revised ww22.4)"/>
    <s v="link"/>
    <s v="Y"/>
    <s v="Y"/>
    <s v="Y"/>
    <s v="Amey"/>
    <d v="2026-07-05T00:00:00"/>
    <n v="28.2"/>
    <s v="ww28.5"/>
    <m/>
    <s v="TSDR1282-416,TSDR1282-428,TSDR1282-427"/>
    <s v="Pending Dispo"/>
  </r>
  <r>
    <s v="x81zs_mncl02"/>
    <s v="xtrmatx81z_x81_lay"/>
    <x v="1"/>
    <x v="2"/>
    <s v="Yuti"/>
    <m/>
    <n v="1"/>
    <x v="2"/>
    <s v="MP: widest LNR each CH - ULVT-LL, SVT, HVT"/>
    <x v="3"/>
    <m/>
    <m/>
    <s v="Y - but row-level planning will be revised"/>
    <m/>
    <s v="Roberto"/>
    <s v="Y (revised ww22.4)"/>
    <s v="link"/>
    <s v="Y"/>
    <s v="Y"/>
    <s v="Y"/>
    <s v="Roberto"/>
    <s v="ww29.2"/>
    <s v="ww29.2"/>
    <m/>
    <m/>
    <s v="TSDR1282-410,TSDR1282-416,TSDR1282-423"/>
    <m/>
  </r>
  <r>
    <s v="x81zs_mncl03"/>
    <s v="xtrmatx81z_x81_lay"/>
    <x v="2"/>
    <x v="2"/>
    <s v="Yuti"/>
    <m/>
    <n v="1"/>
    <x v="2"/>
    <s v="MP: narrowest LNR each CH - ULVT-LL, SVT, HVT"/>
    <x v="3"/>
    <m/>
    <m/>
    <s v="Y - but row-level planning will be revised"/>
    <m/>
    <s v="Roberto"/>
    <s v="Y (revised ww22.4)"/>
    <s v="link"/>
    <s v="Y"/>
    <s v="Y"/>
    <s v="Y"/>
    <s v="Amey"/>
    <s v="ww28.5"/>
    <s v="WW29.3"/>
    <s v="ww29.1"/>
    <m/>
    <s v="TSDR1282-416,TSDR1282-428,TSDR1282-427"/>
    <s v="Pending Dispo"/>
  </r>
  <r>
    <s v="x81zs_mncl04"/>
    <s v="xtrmatx81z_x81_lay"/>
    <x v="2"/>
    <x v="2"/>
    <s v="Yuti"/>
    <m/>
    <n v="1"/>
    <x v="2"/>
    <s v="MP: widest LNR each CH - ELVT, ULVT + 165-Z6 LVT, SVT, HVT"/>
    <x v="3"/>
    <m/>
    <m/>
    <s v="Y - but row-level planning will be revised"/>
    <m/>
    <s v="Roberto"/>
    <s v="Y (revised ww22.4)"/>
    <s v="link"/>
    <s v="Y"/>
    <s v="Y"/>
    <s v="Y"/>
    <s v="Amey"/>
    <s v="ww28.5"/>
    <s v="WW29.3"/>
    <s v="ww29.1"/>
    <m/>
    <s v="TSDR1282-416,TSDR1282-428,TSDR1282-427,TSDR1282-452"/>
    <s v="Pending Dispo"/>
  </r>
  <r>
    <s v="x81zs_mncl05"/>
    <s v="xtrmatx81z_x81_lay"/>
    <x v="2"/>
    <x v="2"/>
    <s v="Yuti"/>
    <m/>
    <n v="1"/>
    <x v="2"/>
    <s v="MP: narrowest LNR each CH - ELVT, ULVT + 165-Z4 LVT, SVT, HVT"/>
    <x v="2"/>
    <m/>
    <m/>
    <s v="Y - but row-level planning will be revised"/>
    <m/>
    <s v="Roberto"/>
    <s v="Y (revised ww22.4)"/>
    <s v="link"/>
    <s v="Y"/>
    <s v="Y"/>
    <s v="Y"/>
    <s v="Amey"/>
    <d v="2026-07-05T00:00:00"/>
    <n v="28.2"/>
    <s v="ww28.5"/>
    <m/>
    <s v="TSDR1282-416,TSDR1282-428,TSDR1282-427"/>
    <s v="Pending Dispo"/>
  </r>
  <r>
    <s v="x81zs_mncl06"/>
    <s v="xtrmatx81z_x81_lay"/>
    <x v="2"/>
    <x v="2"/>
    <s v="Yuti"/>
    <m/>
    <n v="0"/>
    <x v="2"/>
    <s v="MP: TURBO OPH + 165-Z3 ELVT, ULVT, ULVT-LL"/>
    <x v="0"/>
    <m/>
    <m/>
    <m/>
    <s v="Template need"/>
    <s v="Roberto"/>
    <s v="Y (revised ww22.4)"/>
    <s v="link"/>
    <s v="N"/>
    <s v="N"/>
    <s v="N"/>
    <m/>
    <m/>
    <m/>
    <m/>
    <m/>
    <m/>
    <m/>
  </r>
  <r>
    <s v="x81zs_mncl07"/>
    <s v="xtrmatx81z_x81_lay"/>
    <x v="2"/>
    <x v="2"/>
    <s v="Yuti"/>
    <m/>
    <n v="1"/>
    <x v="2"/>
    <s v="MP-UNI: widest LNR each CH - ELVT, ULVT + MP-CMOS: 165-Z4 ELVT, ULVT, ULVTLL"/>
    <x v="2"/>
    <m/>
    <m/>
    <s v="Y - but row-level planning will be revised"/>
    <m/>
    <s v="Roberto"/>
    <s v="Y (revised ww22.4)"/>
    <s v="link"/>
    <s v="Y"/>
    <s v="Y"/>
    <s v="Y"/>
    <s v="Amey"/>
    <d v="2026-07-05T00:00:00"/>
    <n v="28.2"/>
    <s v="ww28.5"/>
    <m/>
    <s v="TSDR1282-416,TSDR1282-428,TSDR1282-427"/>
    <s v="Pending Dispo"/>
  </r>
  <r>
    <s v="x81zs_mncl09"/>
    <s v="xtrmatx81z_x81_lay"/>
    <x v="2"/>
    <x v="2"/>
    <s v="Yuti"/>
    <m/>
    <n v="1"/>
    <x v="2"/>
    <s v="MP-UNI: 110, 132 LVT, 165 (Z2-Z6) LVT"/>
    <x v="3"/>
    <m/>
    <m/>
    <s v="Y - but row-level planning will be revised"/>
    <m/>
    <s v="Roberto"/>
    <s v="Y (revised ww22.4)"/>
    <s v="link"/>
    <s v="Y"/>
    <s v="Y"/>
    <s v="Y"/>
    <s v="Amey"/>
    <s v="ww28.5"/>
    <s v="WW29.3"/>
    <s v="ww29.1"/>
    <m/>
    <s v="TSDR1282-416,TSDR1282-428,TSDR1282-427"/>
    <s v="Pending Dispo"/>
  </r>
  <r>
    <s v="x81zs_mncl10"/>
    <s v="xtrmatx81z_x81_lay"/>
    <x v="1"/>
    <x v="2"/>
    <s v="Yuti"/>
    <m/>
    <n v="1"/>
    <x v="2"/>
    <s v="MP-UNI: widest LNR each CH - ULVT-LL, SVT, HVT"/>
    <x v="3"/>
    <m/>
    <m/>
    <s v="Y - but row-level planning will be revised"/>
    <m/>
    <s v="Roberto"/>
    <s v="Y (revised ww22.4)"/>
    <s v="link"/>
    <s v="Y"/>
    <s v="Y"/>
    <s v="Y"/>
    <s v="Roberto"/>
    <s v="ww29.2"/>
    <s v="ww29.2"/>
    <m/>
    <m/>
    <s v="TSDR1282-410,TSDR1282-416,TSDR1282-423"/>
    <m/>
  </r>
  <r>
    <s v="x81zs_mncl11"/>
    <s v="xtrmatx81z_x81_lay"/>
    <x v="1"/>
    <x v="2"/>
    <s v="Yuti"/>
    <m/>
    <n v="1"/>
    <x v="2"/>
    <s v="MP-UNI: narrowest LNR each CH - ULVT-LL, SVT, HVT"/>
    <x v="3"/>
    <m/>
    <m/>
    <s v="Y - but row-level planning will be revised"/>
    <m/>
    <s v="Roberto"/>
    <s v="Y (revised ww22.4)"/>
    <s v="link"/>
    <s v="Y"/>
    <s v="Y"/>
    <s v="Y"/>
    <s v="Roberto"/>
    <s v="ww29.2"/>
    <s v="ww29.2"/>
    <m/>
    <m/>
    <s v="TSDR1282-410,TSDR1282-416,TSDR1282-423"/>
    <m/>
  </r>
  <r>
    <s v="x81zs_mnpcl08"/>
    <s v="xtrmatx81z_x81_lay"/>
    <x v="1"/>
    <x v="2"/>
    <s v="Yuti"/>
    <m/>
    <n v="1"/>
    <x v="2"/>
    <s v="MP-UNI: N/P ELVT, ULVTLL 110ch, 132ch (dropped 165ch)"/>
    <x v="3"/>
    <m/>
    <m/>
    <s v="Y - but row-level planning will be revised"/>
    <m/>
    <s v="Roberto"/>
    <s v="Y (revised ww22.4)"/>
    <s v="link"/>
    <s v="Y"/>
    <s v="Y"/>
    <s v="Y"/>
    <s v="Roberto"/>
    <s v="ww29.2"/>
    <s v="ww29.2"/>
    <m/>
    <m/>
    <s v="TSDR1282-410,TSDR1282-416,TSDR1282-423"/>
    <m/>
  </r>
  <r>
    <s v="x81zs_mpcl01"/>
    <s v="xtrmatx81z_x81_lay"/>
    <x v="2"/>
    <x v="2"/>
    <s v="Yuti"/>
    <m/>
    <n v="1"/>
    <x v="2"/>
    <s v="MP: 110, 132 LVT, 165 (Z2-Z6) LVT"/>
    <x v="2"/>
    <m/>
    <m/>
    <s v="Y - but row-level planning will be revised"/>
    <m/>
    <s v="Roberto"/>
    <s v="Y (revised ww22.4)"/>
    <s v="link"/>
    <s v="Y"/>
    <s v="Y"/>
    <s v="Y"/>
    <s v="Amey"/>
    <d v="2026-07-05T00:00:00"/>
    <n v="28.2"/>
    <s v="ww28.5"/>
    <m/>
    <s v="TSDR1282-416,TSDR1282-428,TSDR1282-427"/>
    <s v="Pending Dispo"/>
  </r>
  <r>
    <s v="x81zs_mpcl02"/>
    <s v="xtrmatx81z_x81_lay"/>
    <x v="1"/>
    <x v="2"/>
    <s v="Yuti"/>
    <m/>
    <n v="1"/>
    <x v="2"/>
    <s v="MP: widest LNR each CH - ULVT-LL, SVT, HVT"/>
    <x v="3"/>
    <m/>
    <m/>
    <s v="Y - but row-level planning will be revised"/>
    <m/>
    <s v="Roberto"/>
    <s v="Y (revised ww22.4)"/>
    <s v="link"/>
    <s v="Y"/>
    <s v="Y"/>
    <s v="Y"/>
    <s v="Roberto"/>
    <s v="ww29.2"/>
    <s v="ww29.2"/>
    <m/>
    <m/>
    <s v="TSDR1282-410,TSDR1282-416,TSDR1282-423"/>
    <m/>
  </r>
  <r>
    <s v="x81zs_mpcl03"/>
    <s v="xtrmatx81z_x81_lay"/>
    <x v="2"/>
    <x v="2"/>
    <s v="Yuti"/>
    <m/>
    <n v="1"/>
    <x v="2"/>
    <s v="MP: narrowest LNR each CH - ULVT-LL, SVT, HVT"/>
    <x v="3"/>
    <m/>
    <m/>
    <s v="Y - but row-level planning will be revised"/>
    <m/>
    <s v="Roberto"/>
    <s v="Y (revised ww22.4)"/>
    <s v="link"/>
    <s v="Y"/>
    <s v="Y"/>
    <s v="Y"/>
    <s v="Amey"/>
    <s v="ww28.5"/>
    <s v="WW29.3"/>
    <s v="ww29.1"/>
    <m/>
    <s v="TSDR1282-416,TSDR1282-428,TSDR1282-427"/>
    <s v="Pending Dispo"/>
  </r>
  <r>
    <s v="x81zs_mpcl04"/>
    <s v="xtrmatx81z_x81_lay"/>
    <x v="2"/>
    <x v="2"/>
    <s v="Yuti"/>
    <m/>
    <n v="1"/>
    <x v="2"/>
    <s v="MP: widest LNR each CH - ELVT, ULVT + 165-Z6 LVT, SVT, HVT"/>
    <x v="3"/>
    <m/>
    <m/>
    <s v="Y - but row-level planning will be revised"/>
    <m/>
    <s v="Roberto"/>
    <s v="Y (revised ww22.4)"/>
    <s v="link"/>
    <s v="Y"/>
    <s v="Y"/>
    <s v="Y"/>
    <s v="Amey"/>
    <s v="ww28.5"/>
    <s v="WW29.3"/>
    <s v="ww29.1"/>
    <m/>
    <s v="TSDR1282-416,TSDR1282-428,TSDR1282-427"/>
    <s v="Pending Dispo"/>
  </r>
  <r>
    <s v="x81zs_mpcl05"/>
    <s v="xtrmatx81z_x81_lay"/>
    <x v="2"/>
    <x v="2"/>
    <s v="Yuti"/>
    <m/>
    <n v="1"/>
    <x v="2"/>
    <s v="MP: narrowest LNR each CH - ELVT, ULVT + 165-Z4 LVT, SVT, HVT"/>
    <x v="2"/>
    <m/>
    <m/>
    <s v="Y - but row-level planning will be revised"/>
    <m/>
    <s v="Roberto"/>
    <s v="Y (revised ww22.4)"/>
    <s v="link"/>
    <s v="Y"/>
    <s v="Y"/>
    <s v="Y"/>
    <s v="Amey"/>
    <d v="2026-07-05T00:00:00"/>
    <n v="28.2"/>
    <s v="ww28.5"/>
    <m/>
    <s v="TSDR1282-416,TSDR1282-428,TSDR1282-427"/>
    <s v="Pending Dispo"/>
  </r>
  <r>
    <s v="x81zs_mpcl06"/>
    <s v="xtrmatx81z_x81_lay"/>
    <x v="2"/>
    <x v="2"/>
    <s v="Yuti"/>
    <m/>
    <n v="0"/>
    <x v="2"/>
    <s v="MP: TURBO OPH + 165-Z3 ELVT, ULVT, ULVT-LL"/>
    <x v="0"/>
    <m/>
    <m/>
    <m/>
    <s v="Template need"/>
    <s v="Roberto"/>
    <s v="Y (revised ww22.4)"/>
    <s v="link"/>
    <s v="N"/>
    <s v="N"/>
    <s v="N"/>
    <m/>
    <m/>
    <m/>
    <m/>
    <m/>
    <m/>
    <m/>
  </r>
  <r>
    <s v="x81zs_mpcl07"/>
    <s v="xtrmatx81z_x81_lay"/>
    <x v="2"/>
    <x v="2"/>
    <s v="Yuti"/>
    <m/>
    <n v="1"/>
    <x v="2"/>
    <s v="MP-UNI: widest LNR each CH - ELVT, ULVT + MP-CMOS: 165-Z4 ELVT, ULVT, ULVTLL"/>
    <x v="2"/>
    <m/>
    <m/>
    <s v="Y - but row-level planning will be revised"/>
    <m/>
    <s v="Roberto"/>
    <s v="Y (revised ww22.4)"/>
    <s v="link"/>
    <s v="Y"/>
    <s v="Y"/>
    <s v="Y"/>
    <s v="Amey"/>
    <d v="2026-07-05T00:00:00"/>
    <n v="28.2"/>
    <s v="ww28.5"/>
    <m/>
    <s v="TSDR1282-416,TSDR1282-428,TSDR1282-427"/>
    <s v="Pending Dispo"/>
  </r>
  <r>
    <s v="x81zs_mpcl09"/>
    <s v="xtrmatx81z_x81_lay"/>
    <x v="2"/>
    <x v="2"/>
    <s v="Yuti"/>
    <m/>
    <n v="1"/>
    <x v="2"/>
    <s v="MP-UNI: 110, 132 LVT, 165 (Z2-Z6) LVT"/>
    <x v="3"/>
    <m/>
    <m/>
    <s v="Y - but row-level planning will be revised"/>
    <m/>
    <s v="Roberto"/>
    <s v="Y (revised ww22.4)"/>
    <s v="link"/>
    <s v="Y"/>
    <s v="Y"/>
    <s v="Y"/>
    <s v="Amey"/>
    <s v="ww28.5"/>
    <s v="WW29.3"/>
    <s v="ww29.1"/>
    <m/>
    <s v="TSDR1282-416,TSDR1282-428,TSDR1282-427"/>
    <s v="Pending Dispo"/>
  </r>
  <r>
    <s v="x81zs_mpcl10"/>
    <s v="xtrmatx81z_x81_lay"/>
    <x v="1"/>
    <x v="2"/>
    <s v="Yuti"/>
    <m/>
    <n v="1"/>
    <x v="2"/>
    <s v="MP-UNI: widest LNR each CH - ULVT-LL, SVT, HVT"/>
    <x v="3"/>
    <m/>
    <m/>
    <s v="Y - but row-level planning will be revised"/>
    <m/>
    <s v="Roberto"/>
    <s v="Y (revised ww22.4)"/>
    <s v="link"/>
    <s v="Y"/>
    <s v="Y"/>
    <s v="Y"/>
    <s v="Roberto"/>
    <s v="ww29.2"/>
    <s v="ww29.2"/>
    <m/>
    <m/>
    <s v="TSDR1282-410,TSDR1282-416,TSDR1282-423"/>
    <m/>
  </r>
  <r>
    <s v="x81zs_mpcl11"/>
    <s v="xtrmatx81z_x81_lay"/>
    <x v="1"/>
    <x v="2"/>
    <s v="Yuti"/>
    <m/>
    <n v="1"/>
    <x v="2"/>
    <s v="MP-UNI: narrowest LNR each CH - ULVT-LL, SVT, HVT"/>
    <x v="3"/>
    <m/>
    <m/>
    <s v="Y - but row-level planning will be revised"/>
    <m/>
    <s v="Roberto"/>
    <s v="Y (revised ww22.4)"/>
    <s v="link"/>
    <s v="Y"/>
    <s v="Y"/>
    <s v="Y"/>
    <s v="Roberto"/>
    <s v="ww29.2"/>
    <s v="ww29.2"/>
    <m/>
    <m/>
    <s v="TSDR1282-410,TSDR1282-416,TSDR1282-423"/>
    <m/>
  </r>
  <r>
    <s v="x81zs_npcl18"/>
    <s v="xtrpfx81z_x81_lay"/>
    <x v="2"/>
    <x v="2"/>
    <s v="Yuti"/>
    <m/>
    <n v="1"/>
    <x v="1"/>
    <s v="GNAC DOE 10 DUT total"/>
    <x v="0"/>
    <m/>
    <s v="Y"/>
    <s v="Y"/>
    <m/>
    <s v="Roberto"/>
    <s v="Y (revised ww22.4)"/>
    <s v="link"/>
    <s v="Y"/>
    <s v="Y"/>
    <s v="Y"/>
    <s v="Amey"/>
    <m/>
    <s v="ww29.7"/>
    <s v="ww29.3"/>
    <m/>
    <s v="TSDR1282-498"/>
    <s v="Pending Dispo"/>
  </r>
  <r>
    <s v="x81zs_npcl19"/>
    <s v="xtrpfx81z_x81_lay"/>
    <x v="2"/>
    <x v="2"/>
    <s v="Yuti"/>
    <m/>
    <n v="0"/>
    <x v="1"/>
    <s v="TURBO DOE 18 DUT total (+ 2 OPH w/ Diff_Swap, OPH-stacked)"/>
    <x v="0"/>
    <m/>
    <m/>
    <m/>
    <s v="Template need"/>
    <s v="Roberto"/>
    <s v="Y (revised ww22.4)"/>
    <s v="link"/>
    <s v="N"/>
    <s v="N"/>
    <s v="N"/>
    <m/>
    <m/>
    <m/>
    <m/>
    <m/>
    <m/>
    <m/>
  </r>
  <r>
    <s v="x81zs_ncl71"/>
    <s v="xtrpfx81z_x81_lay"/>
    <x v="3"/>
    <x v="2"/>
    <s v="Yuti"/>
    <m/>
    <n v="1"/>
    <x v="3"/>
    <s v="Poly CD &amp; PP skew, POR TCN CD"/>
    <x v="1"/>
    <m/>
    <m/>
    <m/>
    <m/>
    <s v="Jiun"/>
    <s v="Y (review ww09.1)"/>
    <s v="link"/>
    <s v="Y"/>
    <s v="Y"/>
    <s v="Y"/>
    <s v="Jiun"/>
    <s v="ww30.6"/>
    <s v="ww30.6"/>
    <d v="2026-07-26T00:00:00"/>
    <m/>
    <s v="TSDR1282-419, TSDR1282-531, TSDR1282-532, TSDR1282-552"/>
    <s v="Ready for Tape-in"/>
  </r>
  <r>
    <s v="x81zs_ncl72"/>
    <s v="xtrpfx81z_x81_lay"/>
    <x v="3"/>
    <x v="2"/>
    <s v="Yuti"/>
    <m/>
    <n v="1"/>
    <x v="3"/>
    <s v="1) PolyCD+PP skew, POR TCN CD, 2) PolyCD+TCNCD skew, POR PP"/>
    <x v="1"/>
    <m/>
    <m/>
    <m/>
    <m/>
    <s v="Jiun"/>
    <s v="Y (review ww09.1)"/>
    <s v="link"/>
    <s v="Y"/>
    <s v="Y"/>
    <s v="Y"/>
    <s v="Jiun"/>
    <s v="ww30.6"/>
    <s v="ww30.6"/>
    <d v="2026-07-26T00:00:00"/>
    <m/>
    <s v="TSDR1282-419, TSDR1282-531, TSDR1282-532"/>
    <s v="Ready for Tape-in"/>
  </r>
  <r>
    <s v="x81zs_ncl73"/>
    <s v="xtrpfx81z_x81_lay"/>
    <x v="3"/>
    <x v="2"/>
    <s v="Yuti"/>
    <m/>
    <n v="1"/>
    <x v="3"/>
    <s v="1) PolyCD skew only, POR TCN CD &amp; PP , 2) TCNCD skew only, POR POLY CD &amp; PP"/>
    <x v="1"/>
    <m/>
    <m/>
    <m/>
    <m/>
    <s v="Jiun"/>
    <s v="Y (review ww09.1)"/>
    <s v="link"/>
    <s v="Y"/>
    <s v="Y"/>
    <s v="Y"/>
    <s v="Jiun"/>
    <s v="ww30.6"/>
    <s v="ww30.6"/>
    <d v="2026-07-26T00:00:00"/>
    <m/>
    <s v="TSDR1282-419"/>
    <s v="Ready for Tape-in"/>
  </r>
  <r>
    <s v="x81zs_pcl71"/>
    <s v="xtrpfx81z_x81_lay"/>
    <x v="3"/>
    <x v="2"/>
    <s v="Yuti"/>
    <m/>
    <n v="1"/>
    <x v="3"/>
    <s v="Poly CD &amp; PP skew, POR TCN CD"/>
    <x v="1"/>
    <m/>
    <m/>
    <m/>
    <m/>
    <s v="Jiun"/>
    <s v="Y (review ww09.1)"/>
    <s v="link"/>
    <s v="Y"/>
    <s v="Y"/>
    <s v="Y"/>
    <s v="Jiun"/>
    <s v="ww30.6"/>
    <s v="ww30.6"/>
    <d v="2026-07-27T00:00:00"/>
    <m/>
    <s v="TSDR1282-419, TSDR1282-531, TSDR1282-533,  TSDR1282-552"/>
    <s v="Ready for Tape-in"/>
  </r>
  <r>
    <s v="x81zs_pcl72"/>
    <s v="xtrpfx81z_x81_lay"/>
    <x v="3"/>
    <x v="2"/>
    <s v="Yuti"/>
    <m/>
    <n v="1"/>
    <x v="3"/>
    <s v="1) PolyCD+PP skew, POR TCN CD, 2) PolyCD+TCNCD skew, POR PP"/>
    <x v="1"/>
    <m/>
    <m/>
    <m/>
    <m/>
    <s v="Jiun"/>
    <s v="Y (review ww09.1)"/>
    <s v="link"/>
    <s v="Y"/>
    <s v="Y"/>
    <s v="Y"/>
    <s v="Jiun"/>
    <s v="ww30.6"/>
    <s v="ww30.6"/>
    <d v="2026-07-27T00:00:00"/>
    <m/>
    <s v="TSDR1282-419, TSDR1282-531, TSDR1282-533,"/>
    <s v="Ready for Tape-in"/>
  </r>
  <r>
    <s v="x81zs_pcl73"/>
    <s v="xtrpfx81z_x81_lay"/>
    <x v="3"/>
    <x v="2"/>
    <s v="Yuti"/>
    <m/>
    <n v="1"/>
    <x v="3"/>
    <s v="1) PolyCD skew only, POR TCN CD &amp; PP , 2) TCNCD skew only, POR POLY CD &amp; PP"/>
    <x v="1"/>
    <m/>
    <m/>
    <m/>
    <m/>
    <s v="Jiun"/>
    <s v="Y (review ww13.1)"/>
    <s v="link"/>
    <s v="Y"/>
    <s v="Y"/>
    <s v="Y"/>
    <s v="Jiun"/>
    <s v="ww30.6"/>
    <s v="ww30.6"/>
    <d v="2026-07-27T00:00:00"/>
    <m/>
    <s v="TSDR1282-419"/>
    <s v="Ready for Tape-in"/>
  </r>
  <r>
    <s v="x81zs_ncl74"/>
    <s v="xtrpfx81z_x81_lay"/>
    <x v="3"/>
    <x v="2"/>
    <s v="Yuti"/>
    <m/>
    <n v="1"/>
    <x v="3"/>
    <s v=" PXL REG skew"/>
    <x v="2"/>
    <m/>
    <m/>
    <m/>
    <m/>
    <s v="Jiun"/>
    <s v="Y (review ww14.3)"/>
    <s v="link"/>
    <s v="Y"/>
    <s v="Y"/>
    <s v="Y"/>
    <s v="Jiun"/>
    <d v="2026-07-04T00:00:00"/>
    <d v="2026-07-05T00:00:00"/>
    <m/>
    <m/>
    <s v="TSDR1282-416, TSDR1282-418, TSDR1282-419, TSDR1282-452"/>
    <s v="Ready for tape in"/>
  </r>
  <r>
    <s v="x81zs_ncl75"/>
    <s v="xtrpfx81z_x81_lay"/>
    <x v="3"/>
    <x v="2"/>
    <s v="Yuti"/>
    <m/>
    <n v="1"/>
    <x v="3"/>
    <s v=" 1) PXL REG skew, 2) PXL PGD CD skew"/>
    <x v="2"/>
    <m/>
    <m/>
    <m/>
    <m/>
    <s v="Jiun"/>
    <s v="Y (review ww13.1)"/>
    <s v="link"/>
    <s v="Y"/>
    <s v="Y"/>
    <s v="Y"/>
    <s v="Jiun"/>
    <d v="2026-07-04T00:00:00"/>
    <d v="2026-07-05T00:00:00"/>
    <m/>
    <m/>
    <s v="TSDR1282-416, TSDR1282-418, TSDR1282-419, TSDR1282-452"/>
    <s v="Ready for tape in"/>
  </r>
  <r>
    <s v="x81zs_ncl76"/>
    <s v="xtrpfx81z_x81_lay"/>
    <x v="3"/>
    <x v="2"/>
    <s v="Yuti"/>
    <m/>
    <n v="1"/>
    <x v="3"/>
    <s v="PXL PGD CD skew"/>
    <x v="2"/>
    <m/>
    <m/>
    <m/>
    <m/>
    <s v="Jiun"/>
    <s v="Y (review ww14.3)"/>
    <s v="link"/>
    <s v="Y"/>
    <s v="Y"/>
    <s v="Y"/>
    <s v="Jiun"/>
    <d v="2026-07-04T00:00:00"/>
    <d v="2026-07-05T00:00:00"/>
    <m/>
    <m/>
    <s v="TSDR1282-416, TSDR1282-418, TSDR1282-419"/>
    <s v="Ready for tape in"/>
  </r>
  <r>
    <s v="x81zs_pcl74"/>
    <s v="xtrpfx81z_x81_lay"/>
    <x v="3"/>
    <x v="2"/>
    <s v="Yuti"/>
    <m/>
    <n v="1"/>
    <x v="3"/>
    <s v="PXL REG skew"/>
    <x v="2"/>
    <m/>
    <m/>
    <m/>
    <m/>
    <s v="Jiun"/>
    <s v="Y (review ww14.3)"/>
    <s v="link"/>
    <s v="Y"/>
    <s v="Y"/>
    <s v="Y"/>
    <s v="Jiun"/>
    <d v="2026-07-05T00:00:00"/>
    <d v="2026-07-06T00:00:00"/>
    <m/>
    <m/>
    <s v="TSDR1282-416, TSDR1282-418, TSDR1282-419, TSDR1282-452"/>
    <s v="Ready for tape in"/>
  </r>
  <r>
    <s v="x81zs_pcl75"/>
    <s v="xtrpfx81z_x81_lay"/>
    <x v="3"/>
    <x v="2"/>
    <s v="Yuti"/>
    <m/>
    <n v="1"/>
    <x v="3"/>
    <s v=" 1) PXL REG skew, 2) PXL PGD CD skew"/>
    <x v="2"/>
    <m/>
    <m/>
    <m/>
    <m/>
    <s v="Jiun"/>
    <s v="Y (review ww14.3)"/>
    <s v="link"/>
    <s v="Y"/>
    <s v="Y"/>
    <s v="Y"/>
    <s v="Jiun"/>
    <d v="2026-07-05T00:00:00"/>
    <d v="2026-07-06T00:00:00"/>
    <m/>
    <m/>
    <s v="TSDR1282-416, TSDR1282-418, TSDR1282-419, TSDR1282-452"/>
    <s v="Ready for tape in"/>
  </r>
  <r>
    <s v="x81zs_pcl76"/>
    <s v="xtrpfx81z_x81_lay"/>
    <x v="3"/>
    <x v="2"/>
    <s v="Yuti"/>
    <m/>
    <n v="1"/>
    <x v="3"/>
    <s v="PXL PGD CD skew"/>
    <x v="2"/>
    <m/>
    <m/>
    <m/>
    <m/>
    <s v="Jiun"/>
    <s v="Y (review ww14.3)"/>
    <s v="link"/>
    <s v="Y"/>
    <s v="Y"/>
    <s v="Y"/>
    <s v="Jiun"/>
    <d v="2026-07-05T00:00:00"/>
    <d v="2026-07-06T00:00:00"/>
    <m/>
    <m/>
    <s v="TSDR1282-416, TSDR1282-418, TSDR1282-419"/>
    <s v="Ready for tape in"/>
  </r>
  <r>
    <s v="x81zs_ncl84"/>
    <s v="xtrpfx81z_x81_lay"/>
    <x v="4"/>
    <x v="2"/>
    <s v="Yuti"/>
    <m/>
    <n v="1"/>
    <x v="3"/>
    <s v="FTI-CD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 [TSDR1282-424],  [TSDR1282-430], [TSDR1282-423], [TSDR1282-416]"/>
    <s v="Ready for tape in"/>
  </r>
  <r>
    <s v="x81zs_ncl85"/>
    <s v="xtrpfx81z_x81_lay"/>
    <x v="4"/>
    <x v="2"/>
    <s v="Yuti"/>
    <m/>
    <n v="1"/>
    <x v="3"/>
    <s v="FTI-CD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 [TSDR1282-424],  [TSDR1282-430], [TSDR1282-423], [TSDR1282-416]"/>
    <s v="Ready for tape in"/>
  </r>
  <r>
    <s v="x81zs_ncl86"/>
    <s v="xtrpfx81z_x81_lay"/>
    <x v="4"/>
    <x v="2"/>
    <s v="Yuti"/>
    <m/>
    <n v="1"/>
    <x v="3"/>
    <s v="FTI-CD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24], [TSDR1282-423], [TSDR1282-416]"/>
    <s v="Ready for tape in"/>
  </r>
  <r>
    <s v="x81zs_pcl84"/>
    <s v="xtrpfx81z_x81_lay"/>
    <x v="4"/>
    <x v="2"/>
    <s v="Yuti"/>
    <m/>
    <n v="1"/>
    <x v="3"/>
    <s v="FTI-CD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 [TSDR1282-424],  [TSDR1282-430], [TSDR1282-423], [TSDR1282-416]"/>
    <s v="Ready for tape in"/>
  </r>
  <r>
    <s v="x81zs_pcl85"/>
    <s v="xtrpfx81z_x81_lay"/>
    <x v="4"/>
    <x v="2"/>
    <s v="Yuti"/>
    <m/>
    <n v="1"/>
    <x v="3"/>
    <s v="FTI-CD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 [TSDR1282-424],  [TSDR1282-430], [TSDR1282-423], [TSDR1282-416]"/>
    <s v="Ready for tape in"/>
  </r>
  <r>
    <s v="x81zs_pcl86"/>
    <s v="xtrpfx81z_x81_lay"/>
    <x v="4"/>
    <x v="2"/>
    <s v="Yuti"/>
    <m/>
    <n v="1"/>
    <x v="3"/>
    <s v="FTI-CD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24], [TSDR1282-423], [TSDR1282-416]"/>
    <s v="Ready for tape in"/>
  </r>
  <r>
    <s v="x81zs_ncl87"/>
    <s v="xtrpfx81z_x81_lay"/>
    <x v="4"/>
    <x v="2"/>
    <s v="Yuti"/>
    <m/>
    <n v="1"/>
    <x v="3"/>
    <s v="FTI-REG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[TSDR1282-424], [TSDR1282-430], [TSDR1282-423], [TSDR1282-416],[TSDR1282-432],[TSDR1282-429]"/>
    <s v="Ready for tape in"/>
  </r>
  <r>
    <s v="x81zs_ncl88"/>
    <s v="xtrpfx81z_x81_lay"/>
    <x v="4"/>
    <x v="2"/>
    <s v="Yuti"/>
    <m/>
    <n v="1"/>
    <x v="3"/>
    <s v="FTI-REG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[TSDR1282-424], [TSDR1282-430], [TSDR1282-423], [TSDR1282-416],  [TSDR1282-432]"/>
    <s v="Ready for tape in"/>
  </r>
  <r>
    <s v="x81zs_ncl89"/>
    <s v="xtrpfx81z_x81_lay"/>
    <x v="4"/>
    <x v="2"/>
    <s v="Yuti"/>
    <m/>
    <n v="1"/>
    <x v="3"/>
    <s v="FTI-REG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[TSDR1282-424], [TSDR1282-430], [TSDR1282-423], [TSDR1282-416],  [TSDR1282-429],  [TSDR1282-432]"/>
    <s v="Ready for tape in"/>
  </r>
  <r>
    <s v="x81zs_ncl90"/>
    <s v="xtrpfx81z_x81_lay"/>
    <x v="4"/>
    <x v="2"/>
    <s v="Yuti"/>
    <m/>
    <n v="1"/>
    <x v="3"/>
    <s v="FTI-REG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[TSDR1282-424], [TSDR1282-431], [TSDR1282-423], [TSDR1282-416]"/>
    <s v="Ready for tape in"/>
  </r>
  <r>
    <s v="x81zs_pcl87"/>
    <s v="xtrpfx81z_x81_lay"/>
    <x v="4"/>
    <x v="2"/>
    <s v="Yuti"/>
    <m/>
    <n v="1"/>
    <x v="3"/>
    <s v="FTI-REG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[TSDR1282-424], [TSDR1282-430], [TSDR1282-423], [TSDR1282-416], [TSDR1282-432]"/>
    <s v="Ready for tape in"/>
  </r>
  <r>
    <s v="x81zs_pcl88"/>
    <s v="xtrpfx81z_x81_lay"/>
    <x v="4"/>
    <x v="2"/>
    <s v="Yuti"/>
    <m/>
    <n v="1"/>
    <x v="3"/>
    <s v="FTI-REG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[TSDR1282-424], [TSDR1282-430], [TSDR1282-423], [TSDR1282-416], [TSDR1282-432]"/>
    <s v="Ready for tape in"/>
  </r>
  <r>
    <s v="x81zs_pcl89"/>
    <s v="xtrpfx81z_x81_lay"/>
    <x v="4"/>
    <x v="2"/>
    <s v="Yuti"/>
    <m/>
    <n v="1"/>
    <x v="3"/>
    <s v="FTI-REG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[TSDR1282-424], [TSDR1282-430], [TSDR1282-431], [TSDR1282-416],  [TSDR1282-423],  [TSDR1282-432]"/>
    <s v="Ready for tape in"/>
  </r>
  <r>
    <s v="x81zs_pcl90a"/>
    <s v="xtrpfx81z_x81_lay"/>
    <x v="4"/>
    <x v="2"/>
    <s v="Yuti"/>
    <m/>
    <n v="1"/>
    <x v="3"/>
    <s v="FTI-REG"/>
    <x v="2"/>
    <m/>
    <m/>
    <m/>
    <m/>
    <s v="Jiun"/>
    <s v="Y (review ww14.3)"/>
    <s v="link"/>
    <s v="Y"/>
    <s v="Y"/>
    <s v="Y"/>
    <s v="Shubhajit"/>
    <d v="2026-07-05T00:00:00"/>
    <d v="2026-07-06T00:00:00"/>
    <m/>
    <m/>
    <s v="[TSDR1282-400], [TSDR1282-424], [TSDR1282-431], [TSDR1282-423], [TSDR1282-416]"/>
    <s v="Ready for tape in"/>
  </r>
  <r>
    <s v="x81zs_ncl93"/>
    <s v="xtrpfx81z_x81_lay"/>
    <x v="4"/>
    <x v="2"/>
    <s v="Yuti"/>
    <m/>
    <n v="0"/>
    <x v="3"/>
    <s v="TCN-BCD"/>
    <x v="0"/>
    <m/>
    <m/>
    <m/>
    <s v="WW34 - DBC1"/>
    <s v="Jiun"/>
    <s v="Y (review ww15.1)"/>
    <s v="link"/>
    <s v="N"/>
    <s v="N"/>
    <s v="N"/>
    <m/>
    <m/>
    <m/>
    <m/>
    <m/>
    <m/>
    <m/>
  </r>
  <r>
    <s v="x81zs_pcl93"/>
    <s v="xtrpfx81z_x81_lay"/>
    <x v="4"/>
    <x v="2"/>
    <s v="Yuti"/>
    <m/>
    <n v="0"/>
    <x v="3"/>
    <s v="TCN-BCD"/>
    <x v="0"/>
    <m/>
    <m/>
    <m/>
    <s v="WW34 - DBC1"/>
    <s v="Jiun"/>
    <s v="Y (review ww15.1)"/>
    <s v="link"/>
    <s v="N"/>
    <s v="N"/>
    <s v="N"/>
    <m/>
    <m/>
    <m/>
    <m/>
    <m/>
    <m/>
    <m/>
  </r>
  <r>
    <s v="x81zs_ncl94"/>
    <s v="xtrpfx81z_x81_lay"/>
    <x v="5"/>
    <x v="2"/>
    <s v="Yuti"/>
    <m/>
    <n v="1"/>
    <x v="4"/>
    <s v="ADT"/>
    <x v="1"/>
    <s v="x"/>
    <m/>
    <s v="yes but need to rearranage with more contents"/>
    <m/>
    <s v="Jiun"/>
    <s v="Y (review ww17.3)"/>
    <s v="link"/>
    <m/>
    <s v="Y"/>
    <m/>
    <s v="Jaesung"/>
    <d v="2026-07-17T00:00:00"/>
    <d v="2026-07-18T00:00:00"/>
    <m/>
    <m/>
    <s v="TSDR1282-433"/>
    <m/>
  </r>
  <r>
    <s v="x81zs_ncl95"/>
    <s v="xtrpfx81z_x81_lay"/>
    <x v="5"/>
    <x v="2"/>
    <s v="Yuti"/>
    <s v="Yes"/>
    <n v="1"/>
    <x v="4"/>
    <s v="EHV/HV"/>
    <x v="1"/>
    <s v="x"/>
    <m/>
    <s v="NO, manual edits"/>
    <m/>
    <s v="Jiun"/>
    <s v="Y (review ww17.3)"/>
    <s v="link"/>
    <m/>
    <s v="Y"/>
    <m/>
    <s v="Roberto"/>
    <d v="2026-07-27T00:00:00"/>
    <d v="2026-07-27T00:00:00"/>
    <m/>
    <m/>
    <s v="TSDR1282-433"/>
    <m/>
  </r>
  <r>
    <s v="x81zs_pcl94"/>
    <s v="xtrpfx81z_x81_lay"/>
    <x v="5"/>
    <x v="2"/>
    <s v="Yuti"/>
    <m/>
    <n v="1"/>
    <x v="4"/>
    <s v="ADT"/>
    <x v="1"/>
    <s v="x"/>
    <m/>
    <s v="yes but need to rearranage with more contents"/>
    <m/>
    <s v="Jiun"/>
    <s v="Y (review ww17.3)"/>
    <s v="link"/>
    <m/>
    <s v="Y"/>
    <m/>
    <s v="Jaesung"/>
    <d v="2026-07-17T00:00:00"/>
    <d v="2026-07-18T00:00:00"/>
    <m/>
    <m/>
    <s v="TSDR1282-433"/>
    <m/>
  </r>
  <r>
    <s v="x81zs_pcl95"/>
    <s v="xtrpfx81z_x81_lay"/>
    <x v="5"/>
    <x v="2"/>
    <s v="Yuti"/>
    <s v="Yes"/>
    <n v="1"/>
    <x v="4"/>
    <s v="EHV/HV"/>
    <x v="1"/>
    <s v="x"/>
    <m/>
    <s v="NO, manual edits"/>
    <m/>
    <s v="Jiun"/>
    <s v="Y (review ww17.3)"/>
    <s v="link"/>
    <m/>
    <s v="Y"/>
    <m/>
    <s v="Roberto"/>
    <d v="2026-07-27T00:00:00"/>
    <d v="2026-07-27T00:00:00"/>
    <m/>
    <m/>
    <s v="TSDR1282-433"/>
    <m/>
  </r>
  <r>
    <s v="x81zs_npcl96"/>
    <s v="xtrpfx81z_x81_lay"/>
    <x v="5"/>
    <x v="2"/>
    <s v="Yuti"/>
    <m/>
    <n v="1"/>
    <x v="4"/>
    <s v="ADT Bridging Structures"/>
    <x v="1"/>
    <s v="x"/>
    <m/>
    <s v="yes but need to rearranage with more contents"/>
    <m/>
    <s v="Jiun"/>
    <s v="Y (review ww17.3)"/>
    <s v="link"/>
    <m/>
    <s v="Y"/>
    <m/>
    <s v="Jaesung"/>
    <d v="2026-07-24T00:00:00"/>
    <d v="2026-07-25T00:00:00"/>
    <m/>
    <m/>
    <s v="TSDR1282-433"/>
    <m/>
  </r>
  <r>
    <s v="x81zs_nehv01"/>
    <s v="xtrpfx81z_x81_lay"/>
    <x v="5"/>
    <x v="2"/>
    <s v="Yuti"/>
    <m/>
    <n v="0"/>
    <x v="5"/>
    <s v="EHV WPE"/>
    <x v="1"/>
    <s v="x"/>
    <m/>
    <m/>
    <m/>
    <s v="Jiun"/>
    <s v="Y (review ww17.3)"/>
    <s v="link"/>
    <m/>
    <m/>
    <m/>
    <m/>
    <m/>
    <m/>
    <m/>
    <m/>
    <m/>
    <m/>
  </r>
  <r>
    <s v="x81zs_pehv01"/>
    <s v="xtrpfx81z_x81_lay"/>
    <x v="5"/>
    <x v="2"/>
    <s v="Yuti"/>
    <m/>
    <n v="0"/>
    <x v="5"/>
    <s v="EHV WPE"/>
    <x v="1"/>
    <s v="x"/>
    <m/>
    <m/>
    <m/>
    <s v="Jiun"/>
    <s v="Y (review ww17.3)"/>
    <s v="link"/>
    <m/>
    <m/>
    <m/>
    <m/>
    <m/>
    <m/>
    <m/>
    <m/>
    <m/>
    <m/>
  </r>
  <r>
    <s v="x81zs_npm71"/>
    <s v="xtrcapx81z_x81_lay"/>
    <x v="6"/>
    <x v="5"/>
    <s v="Young"/>
    <m/>
    <n v="1"/>
    <x v="6"/>
    <s v="HV MLR 165CH"/>
    <x v="1"/>
    <s v="x"/>
    <m/>
    <m/>
    <m/>
    <s v="Jiun"/>
    <s v="Y (review ww17.3)"/>
    <s v="link"/>
    <s v="Y"/>
    <s v="Y"/>
    <s v="Y"/>
    <s v="Roberto"/>
    <s v="ww31.2"/>
    <s v="ww31.2"/>
    <s v="ww31.2"/>
    <m/>
    <s v="TSDR1282-518, TSDR1282-507"/>
    <m/>
  </r>
  <r>
    <s v="x81zs_xm72"/>
    <s v="xtrcapx81z_x81_lay"/>
    <x v="6"/>
    <x v="5"/>
    <s v="Young"/>
    <m/>
    <n v="1"/>
    <x v="6"/>
    <s v="HV MLR 132CH"/>
    <x v="1"/>
    <s v="x"/>
    <m/>
    <m/>
    <m/>
    <s v="Jiun"/>
    <s v="Y (review ww17.3)"/>
    <s v="link"/>
    <s v="Y"/>
    <s v="Y"/>
    <s v="Y"/>
    <s v="Roberto"/>
    <s v="ww31.2"/>
    <s v="ww31.2"/>
    <s v="ww31.2"/>
    <m/>
    <s v="TSDR1282-518, TSDR1282-507"/>
    <m/>
  </r>
  <r>
    <s v="x81zs_iso71"/>
    <s v="isox81z_x81_lay"/>
    <x v="7"/>
    <x v="6"/>
    <s v="Woo Seok"/>
    <m/>
    <n v="0"/>
    <x v="7"/>
    <s v="WPE ISO  - CANCELED!!"/>
    <x v="1"/>
    <s v="x"/>
    <m/>
    <m/>
    <s v="WW35"/>
    <s v="Jiun"/>
    <s v="Y (review ww17.3)"/>
    <s v="link"/>
    <m/>
    <m/>
    <m/>
    <m/>
    <m/>
    <m/>
    <m/>
    <m/>
    <m/>
    <m/>
  </r>
  <r>
    <s v="x81zs_nlle01"/>
    <s v="xtrpfx81z_x81_lay"/>
    <x v="5"/>
    <x v="2"/>
    <s v="Yuti"/>
    <m/>
    <n v="1"/>
    <x v="8"/>
    <s v="Diff JOG"/>
    <x v="3"/>
    <s v="x"/>
    <m/>
    <s v="yes but need to rearranage with more contents"/>
    <m/>
    <s v="Jaesung"/>
    <s v="Y"/>
    <s v="link"/>
    <s v="Y"/>
    <s v="Y"/>
    <s v="Y"/>
    <s v="Jaesung"/>
    <d v="2026-07-14T00:00:00"/>
    <d v="2026-07-14T00:00:00"/>
    <m/>
    <m/>
    <s v="TSDR1282-467,TSDR1282-410,TSDR1282-433,TSDR1282-413,TSDR1282-416,TSDR1282-471"/>
    <m/>
  </r>
  <r>
    <s v="x81zs_plle01"/>
    <s v="xtrpfx81z_x81_lay"/>
    <x v="5"/>
    <x v="2"/>
    <s v="Yuti"/>
    <m/>
    <n v="1"/>
    <x v="8"/>
    <s v="Diff JOG"/>
    <x v="3"/>
    <s v="x"/>
    <m/>
    <s v="yes but need to rearranage with more contents"/>
    <m/>
    <s v="Jaesung"/>
    <s v="Y"/>
    <s v="link"/>
    <s v="Y"/>
    <s v="Y"/>
    <s v="Y"/>
    <s v="Jaesung"/>
    <d v="2026-07-14T00:00:00"/>
    <d v="2026-07-14T00:00:00"/>
    <m/>
    <m/>
    <s v="TSDR1282-467,TSDR1282-410,TSDR1282-433,TSDR1282-413,TSDR1282-416,TSDR1282-471"/>
    <m/>
  </r>
  <r>
    <s v="x81zs_nplle02"/>
    <s v="xtrpfx81z_x81_lay"/>
    <x v="5"/>
    <x v="2"/>
    <s v="Yuti"/>
    <m/>
    <n v="1"/>
    <x v="8"/>
    <s v="Diff JOG"/>
    <x v="3"/>
    <s v="x"/>
    <m/>
    <s v="yes but need to rearranage with more contents"/>
    <m/>
    <s v="Jaesung"/>
    <s v="Y"/>
    <s v="link"/>
    <s v="Y"/>
    <s v="Y"/>
    <s v="Y"/>
    <s v="Jaesung"/>
    <d v="2026-07-14T00:00:00"/>
    <d v="2026-07-14T00:00:00"/>
    <m/>
    <m/>
    <s v="TSDR1282-410,TSDR1282-433,TSDR1282-413,TSDR1282-416"/>
    <m/>
  </r>
  <r>
    <s v="x81zs_nlle03"/>
    <s v="xtrpfx81z_x81_lay"/>
    <x v="5"/>
    <x v="2"/>
    <s v="Yuti"/>
    <m/>
    <n v="1"/>
    <x v="8"/>
    <s v="Diff JOG"/>
    <x v="3"/>
    <m/>
    <m/>
    <s v="yes but need to rearranage with more contents"/>
    <m/>
    <s v="Jaesung"/>
    <s v="Y"/>
    <s v="link"/>
    <s v="Y"/>
    <s v="Y"/>
    <s v="Y"/>
    <s v="Jaesung"/>
    <d v="2026-07-14T00:00:00"/>
    <d v="2026-07-14T00:00:00"/>
    <m/>
    <m/>
    <s v="TSDR1282-467,TSDR1282-410,TSDR1282-433,TSDR1282-413,TSDR1282-416,TSDR1282-471"/>
    <m/>
  </r>
  <r>
    <s v="x81zs_plle03"/>
    <s v="xtrpfx81z_x81_lay"/>
    <x v="5"/>
    <x v="2"/>
    <s v="Yuti"/>
    <m/>
    <n v="1"/>
    <x v="8"/>
    <s v="Diff JOG"/>
    <x v="3"/>
    <m/>
    <m/>
    <s v="yes but need to rearranage with more contents"/>
    <m/>
    <s v="Jaesung"/>
    <s v="Y"/>
    <s v="link"/>
    <s v="Y"/>
    <s v="Y"/>
    <s v="Y"/>
    <s v="Jaesung"/>
    <d v="2026-07-14T00:00:00"/>
    <d v="2026-07-14T00:00:00"/>
    <m/>
    <m/>
    <s v="TSDR1282-467,TSDR1282-410,TSDR1282-433,TSDR1282-413,TSDR1282-416,TSDR1282-471"/>
    <m/>
  </r>
  <r>
    <s v="x81zs_nlle04"/>
    <s v="xtrpfx81z_x81_lay"/>
    <x v="5"/>
    <x v="2"/>
    <s v="Yuti"/>
    <m/>
    <n v="1"/>
    <x v="8"/>
    <s v="Diff JOG"/>
    <x v="3"/>
    <m/>
    <m/>
    <s v="yes but need to rearranage with more contents"/>
    <m/>
    <s v="Jaesung"/>
    <s v="Y"/>
    <s v="link"/>
    <s v="Y"/>
    <s v="Y"/>
    <s v="Y"/>
    <s v="Jaesung"/>
    <d v="2026-07-14T00:00:00"/>
    <d v="2026-07-14T00:00:00"/>
    <m/>
    <m/>
    <s v="TSDR1282-410,TSDR1282-433,TSDR1282-413,TSDR1282-416"/>
    <m/>
  </r>
  <r>
    <s v="x81zs_plle04"/>
    <s v="xtrpfx81z_x81_lay"/>
    <x v="5"/>
    <x v="2"/>
    <s v="Yuti"/>
    <m/>
    <n v="1"/>
    <x v="8"/>
    <s v="Diff JOG"/>
    <x v="3"/>
    <m/>
    <m/>
    <s v="yes but need to rearranage with more contents"/>
    <m/>
    <s v="Jaesung"/>
    <s v="Y"/>
    <s v="link"/>
    <s v="Y"/>
    <s v="Y"/>
    <s v="Y"/>
    <s v="Jaesung"/>
    <d v="2026-07-14T00:00:00"/>
    <d v="2026-07-14T00:00:00"/>
    <m/>
    <m/>
    <s v="TSDR1282-410,TSDR1282-433,TSDR1282-413,TSDR1282-416"/>
    <m/>
  </r>
  <r>
    <s v="x81zs_nlle05"/>
    <s v="xtrpfx81z_x81_lay"/>
    <x v="5"/>
    <x v="2"/>
    <s v="Yuti"/>
    <m/>
    <n v="0"/>
    <x v="8"/>
    <s v="Well proximity "/>
    <x v="1"/>
    <m/>
    <m/>
    <m/>
    <s v="WW35"/>
    <s v="Jaesung"/>
    <s v="Y"/>
    <s v="link"/>
    <m/>
    <m/>
    <m/>
    <s v="Jaesung"/>
    <m/>
    <m/>
    <m/>
    <m/>
    <m/>
    <m/>
  </r>
  <r>
    <s v="x81zs_plle05"/>
    <s v="xtrpfx81z_x81_lay"/>
    <x v="5"/>
    <x v="2"/>
    <s v="Yuti"/>
    <m/>
    <n v="0"/>
    <x v="8"/>
    <s v="Well proximity "/>
    <x v="1"/>
    <m/>
    <m/>
    <m/>
    <s v="WW35"/>
    <s v="Jaesung"/>
    <s v="Y"/>
    <s v="link"/>
    <m/>
    <m/>
    <m/>
    <m/>
    <m/>
    <m/>
    <m/>
    <m/>
    <m/>
    <m/>
  </r>
  <r>
    <s v="x81zs_nplle06"/>
    <s v="xtrpfx81z_x81_lay"/>
    <x v="5"/>
    <x v="2"/>
    <s v="Yuti"/>
    <m/>
    <n v="0"/>
    <x v="8"/>
    <s v="Turbo Transition"/>
    <x v="0"/>
    <s v="x"/>
    <m/>
    <m/>
    <m/>
    <s v="Jaesung"/>
    <s v="Y"/>
    <s v="link"/>
    <m/>
    <m/>
    <m/>
    <m/>
    <m/>
    <m/>
    <m/>
    <m/>
    <m/>
    <m/>
  </r>
  <r>
    <s v="x81zs_nplle07"/>
    <s v="xtrpfx81z_x81_lay"/>
    <x v="5"/>
    <x v="2"/>
    <s v="Yuti"/>
    <m/>
    <n v="1"/>
    <x v="8"/>
    <s v="Tap proximity"/>
    <x v="0"/>
    <m/>
    <m/>
    <s v="yes but need to rearranage with more contents"/>
    <m/>
    <s v="Jaesung"/>
    <s v="Y"/>
    <s v="link"/>
    <m/>
    <s v="Y"/>
    <m/>
    <s v="Jaesung"/>
    <d v="2026-07-17T00:00:00"/>
    <d v="2026-07-18T00:00:00"/>
    <m/>
    <m/>
    <s v="TSDR1282-433"/>
    <m/>
  </r>
  <r>
    <s v="x81zs_nlle08"/>
    <s v="xtrpfx81z_x81_lay"/>
    <x v="5"/>
    <x v="2"/>
    <s v="Yuti"/>
    <m/>
    <n v="1"/>
    <x v="8"/>
    <s v="DIFF ROOST"/>
    <x v="2"/>
    <m/>
    <m/>
    <s v="yes but need to rearranage with more contents"/>
    <m/>
    <s v="Jaesung"/>
    <s v="Y"/>
    <s v="link"/>
    <s v="Y"/>
    <s v="Y"/>
    <s v="Y"/>
    <s v="Jaesung"/>
    <d v="2026-07-02T00:00:00"/>
    <d v="2026-07-03T00:00:00"/>
    <m/>
    <m/>
    <s v="TSDR1282-410, TSDR1282-416,TSDR1282-417"/>
    <m/>
  </r>
  <r>
    <s v="x81zs_plle08"/>
    <s v="xtrpfx81z_x81_lay"/>
    <x v="5"/>
    <x v="2"/>
    <s v="Yuti"/>
    <m/>
    <n v="1"/>
    <x v="8"/>
    <s v="DIFF ROOST"/>
    <x v="2"/>
    <m/>
    <m/>
    <s v="yes but need to rearranage with more contents"/>
    <m/>
    <s v="Jaesung"/>
    <s v="Y"/>
    <s v="link"/>
    <s v="Y"/>
    <s v="Y"/>
    <s v="Y"/>
    <s v="Jaesung"/>
    <d v="2026-07-02T00:00:00"/>
    <d v="2026-07-03T00:00:00"/>
    <m/>
    <m/>
    <s v="TSDR1282-410, TSDR1282-416,TSDR1282-417"/>
    <m/>
  </r>
  <r>
    <s v="x81zs_nlle09"/>
    <s v="xtrpfx81z_x81_lay"/>
    <x v="4"/>
    <x v="2"/>
    <s v="Yuti"/>
    <m/>
    <n v="1"/>
    <x v="8"/>
    <s v="FTI Nesting"/>
    <x v="0"/>
    <s v="x"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plle09"/>
    <s v="xtrpfx81z_x81_lay"/>
    <x v="4"/>
    <x v="2"/>
    <s v="Yuti"/>
    <m/>
    <n v="1"/>
    <x v="8"/>
    <s v="FTI Nesting"/>
    <x v="0"/>
    <s v="x"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nlle10"/>
    <s v="xtrpfx81z_x81_lay"/>
    <x v="4"/>
    <x v="2"/>
    <s v="Yuti"/>
    <m/>
    <n v="1"/>
    <x v="8"/>
    <s v="FTI Nesting"/>
    <x v="0"/>
    <s v="x"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plle10"/>
    <s v="xtrpfx81z_x81_lay"/>
    <x v="4"/>
    <x v="2"/>
    <s v="Yuti"/>
    <m/>
    <n v="1"/>
    <x v="8"/>
    <s v="FTI Nesting"/>
    <x v="0"/>
    <s v="x"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nlle11"/>
    <s v="xtrpfx81z_x81_lay"/>
    <x v="4"/>
    <x v="2"/>
    <s v="Yuti"/>
    <m/>
    <n v="1"/>
    <x v="8"/>
    <s v="FTI Nesting"/>
    <x v="0"/>
    <m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plle11"/>
    <s v="xtrpfx81z_x81_lay"/>
    <x v="4"/>
    <x v="2"/>
    <s v="Yuti"/>
    <m/>
    <n v="1"/>
    <x v="8"/>
    <s v="FTI Nesting"/>
    <x v="0"/>
    <m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nlle12"/>
    <s v="xtrpfx81z_x81_lay"/>
    <x v="4"/>
    <x v="2"/>
    <s v="Yuti"/>
    <m/>
    <n v="1"/>
    <x v="8"/>
    <s v="FTI Nesting"/>
    <x v="0"/>
    <m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plle12"/>
    <s v="xtrpfx81z_x81_lay"/>
    <x v="4"/>
    <x v="2"/>
    <s v="Yuti"/>
    <m/>
    <n v="1"/>
    <x v="8"/>
    <s v="FTI Nesting"/>
    <x v="0"/>
    <m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nlle13"/>
    <s v="xtrpfx81z_x81_lay"/>
    <x v="4"/>
    <x v="2"/>
    <s v="Yuti"/>
    <m/>
    <n v="1"/>
    <x v="8"/>
    <s v="FTI Nesting"/>
    <x v="0"/>
    <m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plle13"/>
    <s v="xtrpfx81z_x81_lay"/>
    <x v="4"/>
    <x v="2"/>
    <s v="Yuti"/>
    <m/>
    <n v="1"/>
    <x v="8"/>
    <s v="FTI Nesting"/>
    <x v="0"/>
    <m/>
    <m/>
    <s v="yes but will move to pMUX"/>
    <m/>
    <s v="Jaesung"/>
    <s v="Y"/>
    <s v="link"/>
    <s v="Y"/>
    <s v="Y"/>
    <s v="Y"/>
    <s v="Jaesung"/>
    <d v="2026-07-15T00:00:00"/>
    <d v="2026-07-16T00:00:00"/>
    <m/>
    <m/>
    <s v="[TSDR1282-608]"/>
    <s v="Ready for tape in"/>
  </r>
  <r>
    <s v="x81zs_nlle14"/>
    <s v="xtrpfx81z_x81_lay"/>
    <x v="1"/>
    <x v="2"/>
    <s v="Yuti"/>
    <m/>
    <n v="1"/>
    <x v="8"/>
    <s v="Fin depop"/>
    <x v="1"/>
    <m/>
    <m/>
    <s v="yes but will move to pMUX"/>
    <m/>
    <s v="Jaesung"/>
    <s v="Y"/>
    <s v="link"/>
    <s v="Y"/>
    <s v="Y"/>
    <s v="Y"/>
    <s v="Mehdi"/>
    <d v="2026-07-22T00:00:00"/>
    <m/>
    <m/>
    <m/>
    <s v="TSDR1282-423"/>
    <m/>
  </r>
  <r>
    <s v="x81zs_plle14"/>
    <s v="xtrpfx81z_x81_lay"/>
    <x v="1"/>
    <x v="2"/>
    <s v="Yuti"/>
    <m/>
    <n v="1"/>
    <x v="8"/>
    <s v="Fin depop"/>
    <x v="1"/>
    <m/>
    <m/>
    <s v="yes but will move to pMUX"/>
    <m/>
    <s v="Jaesung"/>
    <s v="Y"/>
    <s v="link"/>
    <s v="Y"/>
    <s v="Y"/>
    <s v="Y"/>
    <s v="Mehdi"/>
    <d v="2026-07-22T00:00:00"/>
    <m/>
    <m/>
    <m/>
    <s v="TSDR1282-423"/>
    <m/>
  </r>
  <r>
    <s v="x81zs_nlle15"/>
    <s v="xtrpfx81z_x81_lay"/>
    <x v="1"/>
    <x v="2"/>
    <s v="Yuti"/>
    <m/>
    <n v="1"/>
    <x v="8"/>
    <s v="Fin depop"/>
    <x v="1"/>
    <m/>
    <m/>
    <s v="yes but will move to pMUX"/>
    <m/>
    <s v="Jaesung"/>
    <s v="Y"/>
    <s v="link"/>
    <s v="Y"/>
    <s v="Y"/>
    <s v="Y"/>
    <s v="Mehdi"/>
    <d v="2026-07-22T00:00:00"/>
    <m/>
    <m/>
    <m/>
    <s v="TSDR1282-423"/>
    <m/>
  </r>
  <r>
    <s v="x81zs_plle15"/>
    <s v="xtrpfx81z_x81_lay"/>
    <x v="1"/>
    <x v="2"/>
    <s v="Yuti"/>
    <m/>
    <n v="1"/>
    <x v="8"/>
    <s v="Fin depop"/>
    <x v="1"/>
    <m/>
    <m/>
    <s v="yes but will move to pMUX"/>
    <m/>
    <s v="Jaesung"/>
    <s v="Y"/>
    <s v="link"/>
    <s v="Y"/>
    <s v="Y"/>
    <s v="Y"/>
    <s v="Mehdi"/>
    <d v="2026-07-22T00:00:00"/>
    <m/>
    <m/>
    <m/>
    <s v="TSDR1282-423"/>
    <m/>
  </r>
  <r>
    <s v="x81zs_nlle16"/>
    <s v="xtrpfx81z_x81_lay"/>
    <x v="1"/>
    <x v="2"/>
    <s v="Yuti"/>
    <m/>
    <n v="0"/>
    <x v="8"/>
    <s v="Fin depop"/>
    <x v="1"/>
    <m/>
    <m/>
    <m/>
    <s v="WW34"/>
    <s v="Jaesung"/>
    <s v="Y"/>
    <s v="link"/>
    <m/>
    <m/>
    <m/>
    <m/>
    <m/>
    <m/>
    <m/>
    <m/>
    <m/>
    <m/>
  </r>
  <r>
    <s v="x81zs_plle16"/>
    <s v="xtrpfx81z_x81_lay"/>
    <x v="1"/>
    <x v="2"/>
    <s v="Yuti"/>
    <m/>
    <n v="0"/>
    <x v="8"/>
    <s v="Fin depop"/>
    <x v="1"/>
    <m/>
    <m/>
    <m/>
    <s v="WW34"/>
    <s v="Jaesung"/>
    <s v="Y"/>
    <s v="link"/>
    <m/>
    <m/>
    <m/>
    <m/>
    <m/>
    <m/>
    <m/>
    <m/>
    <m/>
    <m/>
  </r>
  <r>
    <s v="x81zs_nlle17"/>
    <s v="xtrpfx81z_x81_lay"/>
    <x v="1"/>
    <x v="2"/>
    <s v="Yuti"/>
    <m/>
    <n v="0"/>
    <x v="8"/>
    <s v="Fin depop"/>
    <x v="1"/>
    <m/>
    <m/>
    <m/>
    <s v="WW34"/>
    <s v="Jaesung"/>
    <s v="Y"/>
    <s v="link"/>
    <m/>
    <m/>
    <m/>
    <m/>
    <m/>
    <m/>
    <m/>
    <m/>
    <m/>
    <m/>
  </r>
  <r>
    <s v="x81zs_plle17"/>
    <s v="xtrpfx81z_x81_lay"/>
    <x v="1"/>
    <x v="2"/>
    <s v="Yuti"/>
    <m/>
    <n v="0"/>
    <x v="8"/>
    <s v="Fin depop"/>
    <x v="1"/>
    <m/>
    <m/>
    <m/>
    <s v="WW34"/>
    <s v="Jaesung"/>
    <s v="Y"/>
    <s v="link"/>
    <m/>
    <m/>
    <m/>
    <m/>
    <m/>
    <m/>
    <m/>
    <m/>
    <m/>
    <m/>
  </r>
  <r>
    <s v="x81zs_nlle18"/>
    <s v="xtrpfx81z_x81_lay"/>
    <x v="4"/>
    <x v="2"/>
    <s v="Yuti"/>
    <m/>
    <n v="1"/>
    <x v="8"/>
    <s v="Skip track/stacked FTI"/>
    <x v="1"/>
    <m/>
    <m/>
    <s v="yes but will move to pMUX"/>
    <m/>
    <s v="Mehdi"/>
    <s v="Y"/>
    <s v="link"/>
    <s v="Y"/>
    <s v="Y"/>
    <s v="Y"/>
    <s v="Mehdi"/>
    <d v="2026-07-20T00:00:00"/>
    <d v="2026-07-22T00:00:00"/>
    <m/>
    <m/>
    <s v="[TSDR1282-608]"/>
    <s v="Ready for tape in"/>
  </r>
  <r>
    <s v="x81zs_plle18"/>
    <s v="xtrpfx81z_x81_lay"/>
    <x v="4"/>
    <x v="2"/>
    <s v="Yuti"/>
    <m/>
    <n v="1"/>
    <x v="8"/>
    <s v="Skip track/stacked FTI"/>
    <x v="1"/>
    <m/>
    <m/>
    <s v="yes but will move to pMUX"/>
    <m/>
    <s v="Mehdi"/>
    <s v="Y"/>
    <s v="link"/>
    <s v="Y"/>
    <s v="Y"/>
    <s v="Y"/>
    <s v="Mehdi"/>
    <d v="2026-07-20T00:00:00"/>
    <d v="2026-07-22T00:00:00"/>
    <m/>
    <m/>
    <s v="[TSDR1282-608]"/>
    <s v="Ready for tape in"/>
  </r>
  <r>
    <s v="x81zs_nlle19"/>
    <s v="xtrpfx81z_x81_lay"/>
    <x v="4"/>
    <x v="2"/>
    <s v="Yuti"/>
    <m/>
    <n v="1"/>
    <x v="8"/>
    <s v="Skip track/stacked FTI"/>
    <x v="1"/>
    <m/>
    <m/>
    <s v="yes but will move to pMUX"/>
    <m/>
    <s v="Mehdi"/>
    <s v="Y"/>
    <s v="link"/>
    <s v="Y"/>
    <s v="Y"/>
    <s v="Y"/>
    <s v="Mehdi"/>
    <d v="2026-07-20T00:00:00"/>
    <d v="2026-07-22T00:00:00"/>
    <m/>
    <m/>
    <s v="[TSDR1282-608]"/>
    <s v="Ready for tape in"/>
  </r>
  <r>
    <s v="x81zs_plle19"/>
    <s v="xtrpfx81z_x81_lay"/>
    <x v="4"/>
    <x v="2"/>
    <s v="Yuti"/>
    <m/>
    <n v="1"/>
    <x v="8"/>
    <s v="Skip track/stacked FTI"/>
    <x v="1"/>
    <m/>
    <m/>
    <s v="yes but will move to pMUX"/>
    <m/>
    <s v="Mehdi"/>
    <s v="Y"/>
    <s v="link"/>
    <s v="Y"/>
    <s v="Y"/>
    <s v="Y"/>
    <s v="Mehdi"/>
    <d v="2026-07-20T00:00:00"/>
    <d v="2026-07-22T00:00:00"/>
    <m/>
    <m/>
    <s v="[TSDR1282-608]"/>
    <s v="Ready for tape in"/>
  </r>
  <r>
    <s v="x81zs_nlle20a"/>
    <s v="xtrpfx81z_x81_lay"/>
    <x v="8"/>
    <x v="2"/>
    <s v="Yuti"/>
    <m/>
    <n v="1"/>
    <x v="8"/>
    <s v="FTI Roosting"/>
    <x v="1"/>
    <s v="x"/>
    <m/>
    <s v="yes but will move to pMUX"/>
    <m/>
    <s v="Jaesung"/>
    <s v="Y"/>
    <s v="link"/>
    <m/>
    <m/>
    <m/>
    <s v="Mehdi"/>
    <m/>
    <m/>
    <m/>
    <m/>
    <s v="TSDR1282-596"/>
    <s v="RFT. Status=Pending dispo"/>
  </r>
  <r>
    <s v="x81zs_plle20"/>
    <s v="xtrpfx81z_x81_lay"/>
    <x v="8"/>
    <x v="2"/>
    <s v="Yuti"/>
    <m/>
    <n v="1"/>
    <x v="8"/>
    <s v="FTI Roosting"/>
    <x v="1"/>
    <s v="x"/>
    <m/>
    <s v="yes but will move to pMUX"/>
    <m/>
    <s v="Jaesung"/>
    <s v="Y"/>
    <s v="link"/>
    <m/>
    <m/>
    <m/>
    <s v="Mehdi"/>
    <m/>
    <m/>
    <m/>
    <m/>
    <s v="TSDR1282-596"/>
    <s v="RFT. Status=Pending dispo"/>
  </r>
  <r>
    <s v="x81zs_nlle21"/>
    <s v="xtrpfx81z_x81_lay"/>
    <x v="8"/>
    <x v="2"/>
    <s v="Yuti"/>
    <m/>
    <n v="1"/>
    <x v="8"/>
    <s v="FTI Roosting"/>
    <x v="1"/>
    <s v="x"/>
    <m/>
    <s v="yes but will move to pMUX"/>
    <m/>
    <s v="Jaesung"/>
    <s v="Y"/>
    <s v="link"/>
    <m/>
    <m/>
    <m/>
    <s v="Mehdi"/>
    <m/>
    <m/>
    <m/>
    <m/>
    <s v="TSDR1282-596"/>
    <s v="RFT. Status=Pending dispo"/>
  </r>
  <r>
    <s v="x81zs_plle21"/>
    <s v="xtrpfx81z_x81_lay"/>
    <x v="8"/>
    <x v="2"/>
    <s v="Yuti"/>
    <m/>
    <n v="1"/>
    <x v="8"/>
    <s v="FTI Roosting"/>
    <x v="1"/>
    <s v="x"/>
    <m/>
    <s v="yes but will move to pMUX"/>
    <m/>
    <s v="Jaesung"/>
    <s v="Y"/>
    <s v="link"/>
    <m/>
    <m/>
    <m/>
    <s v="Mehdi"/>
    <m/>
    <m/>
    <m/>
    <m/>
    <s v="TSDR1282-596"/>
    <s v="RFT. Status=Pending dispo"/>
  </r>
  <r>
    <s v="x81zs_nlle22"/>
    <s v="xtrpfx81z_x81_lay"/>
    <x v="8"/>
    <x v="2"/>
    <s v="Yuti"/>
    <m/>
    <n v="1"/>
    <x v="8"/>
    <s v="MG misreg"/>
    <x v="3"/>
    <m/>
    <s v="copy and put at top, mid, bot in TC (i.e., plus 2 rows)"/>
    <s v="yes but need to rearranage with more contents"/>
    <m/>
    <s v="Jaesung"/>
    <s v="Y"/>
    <s v="link"/>
    <m/>
    <m/>
    <m/>
    <s v="Jiun"/>
    <d v="2026-07-14T00:00:00"/>
    <d v="2026-07-14T00:00:00"/>
    <m/>
    <m/>
    <s v="TSDR1282-423, TSDR1282-416, TSDR1282-451"/>
    <s v="Retrieving data. Wait a few seconds and try to cut or copy again."/>
  </r>
  <r>
    <s v="x81zs_plle22"/>
    <s v="xtrpfx81z_x81_lay"/>
    <x v="8"/>
    <x v="2"/>
    <s v="Yuti"/>
    <m/>
    <n v="1"/>
    <x v="8"/>
    <s v="MG misreg"/>
    <x v="3"/>
    <m/>
    <s v="copy and put at top, mid, bot in TC (i.e., plus 2 rows)"/>
    <s v="yes but need to rearranage with more contents"/>
    <m/>
    <s v="Jaesung"/>
    <s v="Y"/>
    <s v="link"/>
    <m/>
    <m/>
    <m/>
    <s v="Jiun"/>
    <d v="2026-07-14T00:00:00"/>
    <d v="2026-07-14T00:00:00"/>
    <m/>
    <m/>
    <s v="TSDR1282-423, TSDR1282-416, TSDR1282-451"/>
    <s v="Status=executing tape-in flow"/>
  </r>
  <r>
    <s v="x81zs_nlle23"/>
    <s v="xtrpfx81z_x81_lay"/>
    <x v="8"/>
    <x v="2"/>
    <s v="Yuti"/>
    <m/>
    <n v="1"/>
    <x v="8"/>
    <s v="VT mixing"/>
    <x v="2"/>
    <m/>
    <m/>
    <s v="yes but will move to pMUX"/>
    <m/>
    <s v="Jaesung"/>
    <s v="Y"/>
    <s v="link"/>
    <s v="Y"/>
    <s v="N"/>
    <s v="Y"/>
    <s v="Darpan"/>
    <d v="2026-07-04T00:00:00"/>
    <m/>
    <m/>
    <m/>
    <s v="TSDR1282-423, TSDR1282-416"/>
    <s v="RFT. Status=Pending dispo"/>
  </r>
  <r>
    <s v="x81zs_plle23"/>
    <s v="xtrpfx81z_x81_lay"/>
    <x v="8"/>
    <x v="2"/>
    <s v="Yuti"/>
    <m/>
    <n v="1"/>
    <x v="8"/>
    <s v="VT mixing"/>
    <x v="2"/>
    <m/>
    <m/>
    <s v="yes but will move to pMUX"/>
    <m/>
    <s v="Jaesung"/>
    <s v="Y"/>
    <s v="link"/>
    <s v="Y"/>
    <s v="N"/>
    <s v="Y"/>
    <s v="Darpan"/>
    <d v="2026-07-04T00:00:00"/>
    <m/>
    <m/>
    <m/>
    <s v="TSDR1282-423, TSDR1282-416"/>
    <s v="RFT. Status=Pending dispo"/>
  </r>
  <r>
    <s v="x81zs_nlle24"/>
    <s v="xtrpfx81z_x81_lay"/>
    <x v="8"/>
    <x v="2"/>
    <s v="Yuti"/>
    <m/>
    <n v="1"/>
    <x v="8"/>
    <s v="VT mixing"/>
    <x v="2"/>
    <m/>
    <m/>
    <s v="yes but will move to pMUX"/>
    <m/>
    <s v="Jaesung"/>
    <s v="Y"/>
    <s v="link"/>
    <s v="Y"/>
    <s v="N"/>
    <s v="Y"/>
    <s v="Darpan"/>
    <d v="2026-07-04T00:00:00"/>
    <m/>
    <m/>
    <m/>
    <s v="TSDR1282-423, TSDR1282-416"/>
    <s v="RFT. Status=Pending dispo"/>
  </r>
  <r>
    <s v="x81zs_plle24"/>
    <s v="xtrpfx81z_x81_lay"/>
    <x v="8"/>
    <x v="2"/>
    <s v="Yuti"/>
    <m/>
    <n v="1"/>
    <x v="8"/>
    <s v="VT mixing"/>
    <x v="2"/>
    <m/>
    <m/>
    <s v="yes but will move to pMUX"/>
    <m/>
    <s v="Jaesung"/>
    <s v="Y"/>
    <s v="link"/>
    <s v="Y"/>
    <s v="N"/>
    <s v="Y"/>
    <s v="Darpan"/>
    <d v="2026-07-04T00:00:00"/>
    <m/>
    <m/>
    <m/>
    <s v="TSDR1282-423, TSDR1282-416"/>
    <s v="RFT. Status=Pending dispo"/>
  </r>
  <r>
    <s v="x81zs_nlle25"/>
    <s v="xtrpfx81z_x81_lay"/>
    <x v="8"/>
    <x v="2"/>
    <s v="Yuti"/>
    <m/>
    <n v="1"/>
    <x v="8"/>
    <s v="VT mixing"/>
    <x v="2"/>
    <m/>
    <m/>
    <s v="yes but will move to pMUX"/>
    <m/>
    <s v="Jaesung"/>
    <s v="Y"/>
    <s v="link"/>
    <s v="Y"/>
    <s v="N"/>
    <s v="Y"/>
    <s v="Darpan"/>
    <d v="2026-07-04T00:00:00"/>
    <m/>
    <m/>
    <m/>
    <s v="TSDR1282-423, TSDR1282-416, TSDR1282-328"/>
    <s v="RFT. Status=Pending dispo"/>
  </r>
  <r>
    <s v="x81zs_plle25"/>
    <s v="xtrpfx81z_x81_lay"/>
    <x v="8"/>
    <x v="2"/>
    <s v="Yuti"/>
    <m/>
    <n v="1"/>
    <x v="8"/>
    <s v="VT mixing"/>
    <x v="2"/>
    <m/>
    <m/>
    <s v="yes but will move to pMUX"/>
    <m/>
    <s v="Jaesung"/>
    <s v="Y"/>
    <s v="link"/>
    <s v="Y"/>
    <s v="N"/>
    <s v="Y"/>
    <s v="Darpan"/>
    <d v="2026-07-04T00:00:00"/>
    <m/>
    <m/>
    <m/>
    <s v="TSDR1282-423, TSDR1282-416, TSDR1282-328"/>
    <s v="RFT. Status=Pending dispo"/>
  </r>
  <r>
    <s v="x81zs_nlle26"/>
    <s v="xtrpfx81z_x81_lay"/>
    <x v="8"/>
    <x v="2"/>
    <s v="Yuti"/>
    <m/>
    <n v="1"/>
    <x v="8"/>
    <s v="VT mixing"/>
    <x v="3"/>
    <m/>
    <m/>
    <s v="yes but will move to pMUX"/>
    <m/>
    <s v="Jaesung"/>
    <s v="Y"/>
    <s v="link"/>
    <m/>
    <m/>
    <m/>
    <s v="Jiun"/>
    <d v="2026-07-14T00:00:00"/>
    <d v="2026-07-14T00:00:00"/>
    <m/>
    <m/>
    <s v="TSDR1282-423, TSDR1282-416"/>
    <s v="RFT. Status=Pending dispo"/>
  </r>
  <r>
    <s v="x81zs_plle26"/>
    <s v="xtrpfx81z_x81_lay"/>
    <x v="8"/>
    <x v="2"/>
    <s v="Yuti"/>
    <m/>
    <n v="1"/>
    <x v="8"/>
    <s v="VT mixing"/>
    <x v="3"/>
    <m/>
    <m/>
    <s v="yes but will move to pMUX"/>
    <m/>
    <s v="Jaesung"/>
    <s v="Y"/>
    <s v="link"/>
    <m/>
    <m/>
    <m/>
    <s v="Jiun"/>
    <d v="2026-07-14T00:00:00"/>
    <d v="2026-07-14T00:00:00"/>
    <m/>
    <m/>
    <s v="TSDR1282-423, TSDR1282-416"/>
    <s v="RFT. Status=Pending dispo"/>
  </r>
  <r>
    <s v="x81zs_nlle27"/>
    <s v="xtrpfx81z_x81_lay"/>
    <x v="8"/>
    <x v="2"/>
    <s v="Yuti"/>
    <m/>
    <n v="1"/>
    <x v="8"/>
    <s v="VT mixing"/>
    <x v="3"/>
    <m/>
    <m/>
    <s v="yes but will move to pMUX"/>
    <m/>
    <s v="Jaesung"/>
    <s v="Y"/>
    <s v="link"/>
    <m/>
    <m/>
    <m/>
    <s v="Jiun"/>
    <d v="2026-07-14T00:00:00"/>
    <d v="2026-07-14T00:00:00"/>
    <m/>
    <m/>
    <s v="TSDR1282-423, TSDR1282-416, TSDR1282-328, TSDR1282-450"/>
    <s v="RFT. Status=Pending dispo"/>
  </r>
  <r>
    <s v="x81zs_plle27"/>
    <s v="xtrpfx81z_x81_lay"/>
    <x v="8"/>
    <x v="2"/>
    <s v="Yuti"/>
    <m/>
    <n v="1"/>
    <x v="8"/>
    <s v="VT mixing"/>
    <x v="3"/>
    <m/>
    <m/>
    <s v="yes but will move to pMUX"/>
    <m/>
    <s v="Jaesung"/>
    <s v="Y"/>
    <s v="link"/>
    <m/>
    <m/>
    <m/>
    <s v="Jiun"/>
    <d v="2026-07-14T00:00:00"/>
    <d v="2026-07-14T00:00:00"/>
    <m/>
    <m/>
    <s v="TSDR1282-423, TSDR1282-416, TSDR1282-328, TSDR1282-450"/>
    <s v="RFT. Status=Pending dispo"/>
  </r>
  <r>
    <s v="x81zs_nlle28"/>
    <s v="xtrpfx81z_x81_lay"/>
    <x v="8"/>
    <x v="2"/>
    <s v="Yuti"/>
    <m/>
    <n v="1"/>
    <x v="8"/>
    <s v="VT mixing"/>
    <x v="3"/>
    <m/>
    <m/>
    <s v="yes but will move to pMUX"/>
    <m/>
    <s v="Jaesung"/>
    <s v="Y"/>
    <s v="link"/>
    <m/>
    <m/>
    <m/>
    <s v="Darpan"/>
    <d v="2026-07-14T00:00:00"/>
    <m/>
    <m/>
    <m/>
    <s v="TSDR1282-423, TSDR1282-416, TSDR1282-328, TSDR1282-450"/>
    <s v="RFT. Status=Pending dispo"/>
  </r>
  <r>
    <s v="x81zs_plle28"/>
    <s v="xtrpfx81z_x81_lay"/>
    <x v="8"/>
    <x v="2"/>
    <s v="Yuti"/>
    <m/>
    <n v="1"/>
    <x v="8"/>
    <s v="VT mixing"/>
    <x v="3"/>
    <m/>
    <m/>
    <s v="yes but will move to pMUX"/>
    <m/>
    <s v="Jaesung"/>
    <s v="Y"/>
    <s v="link"/>
    <m/>
    <m/>
    <m/>
    <s v="Darpan"/>
    <d v="2026-07-14T00:00:00"/>
    <m/>
    <m/>
    <m/>
    <s v="TSDR1282-423, TSDR1282-416, TSDR1282-328, TSDR1282-450"/>
    <s v="RFT. Status=Pending dispo"/>
  </r>
  <r>
    <s v="x81zs_nlle29"/>
    <s v="xtrpfx81z_x81_lay"/>
    <x v="8"/>
    <x v="2"/>
    <s v="Yuti"/>
    <m/>
    <n v="1"/>
    <x v="8"/>
    <s v="VT mixing"/>
    <x v="3"/>
    <m/>
    <m/>
    <s v="yes but will move to pMUX"/>
    <m/>
    <s v="Jaesung"/>
    <s v="Y"/>
    <s v="link"/>
    <m/>
    <m/>
    <m/>
    <s v="Darpan"/>
    <d v="2026-07-14T00:00:00"/>
    <m/>
    <m/>
    <m/>
    <s v="TSDR1282-423, TSDR1282-416, TSDR1282-328, TSDR1282-450"/>
    <s v="RFT. Status=Pending dispo"/>
  </r>
  <r>
    <s v="x81zs_plle29"/>
    <s v="xtrpfx81z_x81_lay"/>
    <x v="8"/>
    <x v="2"/>
    <s v="Yuti"/>
    <m/>
    <n v="1"/>
    <x v="8"/>
    <s v="VT mixing"/>
    <x v="3"/>
    <m/>
    <m/>
    <s v="yes but will move to pMUX"/>
    <m/>
    <s v="Jaesung"/>
    <s v="Y"/>
    <s v="link"/>
    <m/>
    <m/>
    <m/>
    <s v="Darpan"/>
    <d v="2026-07-14T00:00:00"/>
    <m/>
    <m/>
    <m/>
    <s v="TSDR1282-423, TSDR1282-416, TSDR1282-328, TSDR1282-450"/>
    <s v="RFT. Status=Pending dispo"/>
  </r>
  <r>
    <s v="x81zs_nplle30"/>
    <s v="xtrpfx81z_x81_lay"/>
    <x v="8"/>
    <x v="2"/>
    <s v="Yuti"/>
    <m/>
    <n v="1"/>
    <x v="8"/>
    <s v="VT mixing"/>
    <x v="3"/>
    <m/>
    <m/>
    <s v="yes but will move to pMUX"/>
    <m/>
    <s v="Jaesung"/>
    <s v="Y"/>
    <s v="link"/>
    <m/>
    <m/>
    <m/>
    <s v="Darpan"/>
    <d v="2026-07-14T00:00:00"/>
    <m/>
    <m/>
    <m/>
    <s v="TSDR1282-423, TSDR1282-416, TSDR1282-450"/>
    <s v="RFT. Status=Pending dispo"/>
  </r>
  <r>
    <s v="x81zs_nplle31"/>
    <s v="xtrpfx81z_x81_lay"/>
    <x v="8"/>
    <x v="2"/>
    <s v="Yuti"/>
    <m/>
    <n v="1"/>
    <x v="8"/>
    <s v="NP OGD transition"/>
    <x v="1"/>
    <m/>
    <m/>
    <s v="Y"/>
    <m/>
    <s v="Jaesung"/>
    <s v="Y"/>
    <s v="link"/>
    <m/>
    <m/>
    <m/>
    <s v="Jiun"/>
    <m/>
    <m/>
    <m/>
    <m/>
    <s v="TSDR1282-596"/>
    <s v="RFT. Status=Pending dispo"/>
  </r>
  <r>
    <s v="x81zs_nplle32"/>
    <s v="xtrpfx81z_x81_lay"/>
    <x v="8"/>
    <x v="2"/>
    <s v="Yuti"/>
    <m/>
    <n v="1"/>
    <x v="8"/>
    <s v="NP OGD transition"/>
    <x v="1"/>
    <m/>
    <m/>
    <s v="Y"/>
    <m/>
    <s v="Jaesung"/>
    <s v="Y"/>
    <s v="link"/>
    <m/>
    <m/>
    <m/>
    <s v="Jiun"/>
    <m/>
    <m/>
    <m/>
    <m/>
    <s v="TSDR1282-596"/>
    <s v="RFT. Status=Pending dispo"/>
  </r>
  <r>
    <s v="x81zs_nplle33"/>
    <s v="xtrpfx81z_x81_lay"/>
    <x v="5"/>
    <x v="2"/>
    <s v="Yuti"/>
    <m/>
    <n v="1"/>
    <x v="8"/>
    <s v="POLYEC, MGC (PFE) Roosting"/>
    <x v="2"/>
    <m/>
    <m/>
    <s v="yes but need to rearranage with more contents"/>
    <m/>
    <s v="Jaesung"/>
    <s v="Y"/>
    <s v="link"/>
    <s v="Y"/>
    <s v="Y"/>
    <s v="Y"/>
    <s v="Jaesung"/>
    <d v="2026-07-02T00:00:00"/>
    <d v="2026-07-03T00:00:00"/>
    <m/>
    <m/>
    <s v="TSDR1282-410,TSDR1282-413,TSDR1282-416,TSDR1282-433,TSDR1282-438"/>
    <m/>
  </r>
  <r>
    <s v="x81zs_nlle33"/>
    <s v="xtrpfx81z_x81_lay"/>
    <x v="5"/>
    <x v="2"/>
    <s v="Yuti"/>
    <m/>
    <n v="1"/>
    <x v="8"/>
    <s v="POLYEC"/>
    <x v="2"/>
    <m/>
    <m/>
    <s v="yes but need to rearranage with more contents"/>
    <m/>
    <s v="Jaesung"/>
    <s v="Y"/>
    <s v="link"/>
    <s v="Y"/>
    <s v="Y"/>
    <s v="Y"/>
    <s v="Jaesung"/>
    <d v="2026-07-02T00:00:00"/>
    <d v="2026-07-03T00:00:00"/>
    <m/>
    <m/>
    <s v="TSDR1282-410,TSDR1282-413,TSDR1282-416,TSDR1282-433,TSDR1282-438"/>
    <m/>
  </r>
  <r>
    <s v="x81zs_plle33"/>
    <s v="xtrpfx81z_x81_lay"/>
    <x v="5"/>
    <x v="2"/>
    <s v="Yuti"/>
    <m/>
    <n v="1"/>
    <x v="8"/>
    <s v="POLYEC"/>
    <x v="2"/>
    <m/>
    <m/>
    <s v="yes but need to rearranage with more contents"/>
    <m/>
    <s v="Jaesung"/>
    <s v="Y"/>
    <s v="link"/>
    <s v="Y"/>
    <s v="Y"/>
    <s v="Y"/>
    <s v="Jaesung"/>
    <d v="2026-07-02T00:00:00"/>
    <d v="2026-07-03T00:00:00"/>
    <m/>
    <m/>
    <s v="TSDR1282-410,TSDR1282-413,TSDR1282-416,TSDR1282-433,TSDR1282-438"/>
    <m/>
  </r>
  <r>
    <s v="x81zs_nlle34"/>
    <s v="xtrpfx81z_x81_lay"/>
    <x v="4"/>
    <x v="2"/>
    <s v="Yuti"/>
    <m/>
    <n v="1"/>
    <x v="8"/>
    <s v="UDEG"/>
    <x v="1"/>
    <m/>
    <m/>
    <s v="yes but need to rearranage with more contents"/>
    <m/>
    <s v="Jaesung"/>
    <s v="Y"/>
    <s v="link"/>
    <s v="Y"/>
    <s v="Y"/>
    <s v="Y"/>
    <s v="Jaesung"/>
    <d v="2026-07-23T00:00:00"/>
    <d v="2026-07-25T00:00:00"/>
    <m/>
    <m/>
    <s v="[TSDR1282-608]"/>
    <s v="Ready for tape in"/>
  </r>
  <r>
    <s v="x81zs_plle34"/>
    <s v="xtrpfx81z_x81_lay"/>
    <x v="4"/>
    <x v="2"/>
    <s v="Yuti"/>
    <m/>
    <n v="1"/>
    <x v="8"/>
    <s v="UDEG"/>
    <x v="1"/>
    <m/>
    <m/>
    <s v="yes but need to rearranage with more contents"/>
    <m/>
    <s v="Jaesung"/>
    <s v="Y"/>
    <s v="link"/>
    <s v="Y"/>
    <s v="Y"/>
    <s v="Y"/>
    <s v="Jaesung"/>
    <d v="2026-07-23T00:00:00"/>
    <d v="2026-07-25T00:00:00"/>
    <m/>
    <m/>
    <s v="[TSDR1282-608]"/>
    <s v="Ready for tape in"/>
  </r>
  <r>
    <s v="x81zs_nlle35"/>
    <s v="xtrpfx81z_x81_lay"/>
    <x v="4"/>
    <x v="2"/>
    <s v="Yuti"/>
    <m/>
    <n v="1"/>
    <x v="8"/>
    <s v="UDEG"/>
    <x v="1"/>
    <m/>
    <m/>
    <s v="yes but need to rearranage with more contents"/>
    <m/>
    <s v="Jaesung"/>
    <s v="Y"/>
    <s v="link"/>
    <s v="Y"/>
    <s v="Y"/>
    <s v="Y"/>
    <s v="Jaesung"/>
    <d v="2026-07-23T00:00:00"/>
    <d v="2026-07-25T00:00:00"/>
    <m/>
    <m/>
    <s v="[TSDR1282-608]"/>
    <s v="Ready for tape in"/>
  </r>
  <r>
    <s v="x81zs_plle35"/>
    <s v="xtrpfx81z_x81_lay"/>
    <x v="4"/>
    <x v="2"/>
    <s v="Yuti"/>
    <m/>
    <n v="1"/>
    <x v="8"/>
    <s v="UDEG"/>
    <x v="1"/>
    <m/>
    <m/>
    <s v="yes but need to rearranage with more contents"/>
    <m/>
    <s v="Jaesung"/>
    <s v="Y"/>
    <s v="link"/>
    <s v="Y"/>
    <s v="Y"/>
    <s v="Y"/>
    <s v="Jaesung"/>
    <d v="2026-07-23T00:00:00"/>
    <d v="2026-07-25T00:00:00"/>
    <m/>
    <m/>
    <s v="[TSDR1282-608]"/>
    <s v="Ready for tape in"/>
  </r>
  <r>
    <s v="x81zs_nplle36"/>
    <s v="xtrpfx81z_x81_lay"/>
    <x v="4"/>
    <x v="2"/>
    <s v="Yuti"/>
    <m/>
    <n v="1"/>
    <x v="8"/>
    <s v="UDEG"/>
    <x v="1"/>
    <m/>
    <m/>
    <s v="yes but need to rearranage with more contents"/>
    <m/>
    <s v="Jaesung"/>
    <s v="Y"/>
    <s v="link"/>
    <s v="Y"/>
    <s v="Y"/>
    <s v="Y"/>
    <s v="Jaesung"/>
    <d v="2026-07-23T00:00:00"/>
    <d v="2026-07-25T00:00:00"/>
    <m/>
    <m/>
    <s v="[TSDR1282-608]"/>
    <s v="Ready for tape in"/>
  </r>
  <r>
    <s v="x81zs_nlle37"/>
    <s v="xtrpfx81z_x81_lay"/>
    <x v="4"/>
    <x v="2"/>
    <s v="Yuti"/>
    <m/>
    <n v="1"/>
    <x v="8"/>
    <s v="TCN and VCR"/>
    <x v="1"/>
    <m/>
    <m/>
    <s v="yes but need to rearranage with more contents"/>
    <m/>
    <s v="Jaesung"/>
    <s v="Y"/>
    <s v="link"/>
    <s v="Y"/>
    <s v="Y"/>
    <s v="Y"/>
    <s v="Jaesung"/>
    <d v="2026-07-27T00:00:00"/>
    <d v="2026-07-28T00:00:00"/>
    <m/>
    <m/>
    <s v="[TSDR1282-608]"/>
    <s v="Ready for tape in"/>
  </r>
  <r>
    <s v="x81zs_plle37"/>
    <s v="xtrpfx81z_x81_lay"/>
    <x v="4"/>
    <x v="2"/>
    <s v="Yuti"/>
    <m/>
    <n v="1"/>
    <x v="8"/>
    <s v="TCN and VCR"/>
    <x v="1"/>
    <m/>
    <m/>
    <s v="yes but need to rearranage with more contents"/>
    <m/>
    <s v="Jaesung"/>
    <s v="Y"/>
    <s v="link"/>
    <s v="Y"/>
    <s v="Y"/>
    <s v="Y"/>
    <s v="Jaesung"/>
    <d v="2026-07-27T00:00:00"/>
    <d v="2026-07-28T00:00:00"/>
    <m/>
    <m/>
    <s v="[TSDR1282-608]"/>
    <s v="Ready for tape in"/>
  </r>
  <r>
    <s v="x81zs_nlle38"/>
    <s v="xtrpfx81z_x81_lay"/>
    <x v="4"/>
    <x v="2"/>
    <s v="Yuti"/>
    <m/>
    <n v="0"/>
    <x v="8"/>
    <s v="TCN and VCR"/>
    <x v="0"/>
    <m/>
    <m/>
    <m/>
    <s v="WW34"/>
    <s v="Jaesung"/>
    <s v="Y"/>
    <s v="link"/>
    <m/>
    <m/>
    <m/>
    <m/>
    <m/>
    <m/>
    <m/>
    <m/>
    <m/>
    <m/>
  </r>
  <r>
    <s v="x81zs_plle38"/>
    <s v="xtrpfx81z_x81_lay"/>
    <x v="4"/>
    <x v="2"/>
    <s v="Yuti"/>
    <m/>
    <n v="0"/>
    <x v="8"/>
    <s v="TCN and VCR"/>
    <x v="0"/>
    <m/>
    <m/>
    <m/>
    <s v="WW34"/>
    <s v="Jaesung"/>
    <s v="Y"/>
    <s v="link"/>
    <m/>
    <m/>
    <m/>
    <m/>
    <m/>
    <m/>
    <m/>
    <m/>
    <m/>
    <m/>
  </r>
  <r>
    <s v="x81zs_nplle39"/>
    <s v="xtrpfx81z_x81_lay"/>
    <x v="5"/>
    <x v="2"/>
    <s v="Yuti"/>
    <m/>
    <n v="1"/>
    <x v="8"/>
    <s v="GLK Roosting"/>
    <x v="3"/>
    <m/>
    <m/>
    <s v="yes but need to rearranage with more contents"/>
    <m/>
    <s v="Jaesung"/>
    <s v="Y"/>
    <s v="link"/>
    <m/>
    <m/>
    <m/>
    <s v="Jaesung"/>
    <d v="2026-07-14T00:00:00"/>
    <d v="2026-07-14T00:00:00"/>
    <m/>
    <m/>
    <s v="TSDR1282-410,TSDR1282-433,TSDR1282-413,TSDR1282-416"/>
    <m/>
  </r>
  <r>
    <s v="x81zs_nm01"/>
    <s v="xtrcapx81z_x81_lay"/>
    <x v="6"/>
    <x v="5"/>
    <s v="Young"/>
    <m/>
    <n v="1"/>
    <x v="9"/>
    <s v="Standard Millers - 132H"/>
    <x v="0"/>
    <m/>
    <s v="Y"/>
    <s v="Y but needs routing update"/>
    <m/>
    <s v="Amrit"/>
    <s v="Y"/>
    <s v="Spec"/>
    <s v="Y"/>
    <s v="Y"/>
    <s v="Y"/>
    <s v="Roberto"/>
    <s v="ww29.2"/>
    <s v="ww29.2"/>
    <s v="ww29.4"/>
    <m/>
    <s v="TSDR1282-518"/>
    <m/>
  </r>
  <r>
    <s v="x81zs_nm02"/>
    <s v="xtrcapx81z_x81_lay"/>
    <x v="6"/>
    <x v="5"/>
    <s v="Young"/>
    <m/>
    <n v="1"/>
    <x v="9"/>
    <s v="Standard Millers - 165H"/>
    <x v="2"/>
    <m/>
    <m/>
    <s v="Y but needs routing update"/>
    <m/>
    <s v="Amrit"/>
    <s v="Y"/>
    <s v="Spec"/>
    <s v="Y"/>
    <s v="Y"/>
    <s v="Y"/>
    <s v="Roberto"/>
    <s v="ww28.6"/>
    <s v="ww29.0"/>
    <s v="ww29.1"/>
    <m/>
    <s v="TSDR1282-448, TSDR1282-352, TSDR1282-416"/>
    <m/>
  </r>
  <r>
    <s v="x81zs_nm03"/>
    <s v="xtrcapx81z_x81_lay"/>
    <x v="6"/>
    <x v="5"/>
    <s v="Young"/>
    <m/>
    <n v="1"/>
    <x v="9"/>
    <s v="Standard Millers - 110H"/>
    <x v="2"/>
    <m/>
    <m/>
    <s v="Y but needs routing update"/>
    <m/>
    <s v="Amrit"/>
    <s v="Y"/>
    <s v="Spec"/>
    <s v="Y"/>
    <s v="Y"/>
    <s v="Y"/>
    <s v="Roberto"/>
    <s v="ww28.6"/>
    <s v="ww29.0"/>
    <s v="ww29.1"/>
    <m/>
    <s v="TSDR1282-448, TSDR1282-352, TSDR1282-416"/>
    <m/>
  </r>
  <r>
    <s v="x81zs_nm04"/>
    <s v="xtrcapx81z_x81_lay"/>
    <x v="6"/>
    <x v="5"/>
    <s v="Young"/>
    <m/>
    <n v="1"/>
    <x v="9"/>
    <s v="Standard Millers, 5T, UNI-M1, /D, PFT-like LLE, N/Y DBI+ Y/N Implant - 132H"/>
    <x v="1"/>
    <m/>
    <m/>
    <s v="Y but needs routing update"/>
    <m/>
    <s v="Amrit"/>
    <s v="Y"/>
    <s v="Spec"/>
    <s v="Y"/>
    <s v="Y"/>
    <s v="Y"/>
    <s v="Omair"/>
    <s v="ww30.3"/>
    <s v="ww30.4"/>
    <s v="ww30.6"/>
    <m/>
    <s v="TSDR1282-518, TSDR1282-507"/>
    <m/>
  </r>
  <r>
    <s v="x81zs_npxm02"/>
    <s v="xtrcapx81z_x81_lay"/>
    <x v="6"/>
    <x v="5"/>
    <s v="Young"/>
    <m/>
    <n v="1"/>
    <x v="9"/>
    <s v="5T,  /D, PFT-like LLE- 110H"/>
    <x v="0"/>
    <m/>
    <m/>
    <s v="Y but needs routing update"/>
    <m/>
    <s v="Amrit"/>
    <s v="Y"/>
    <s v="Spec"/>
    <s v="Y"/>
    <s v="Y"/>
    <s v="Y"/>
    <s v="Jason"/>
    <s v="ww30.2"/>
    <s v="ww30.0"/>
    <s v="ww30.2"/>
    <m/>
    <s v="TSDR1282-518, TSDR1282-507"/>
    <m/>
  </r>
  <r>
    <s v="x81zs_npxm01"/>
    <s v="xtrcapx81z_x81_lay"/>
    <x v="6"/>
    <x v="5"/>
    <s v="Young"/>
    <m/>
    <n v="1"/>
    <x v="9"/>
    <s v="Standard Millers, 5T, UNI-M1, /D - 165H"/>
    <x v="0"/>
    <m/>
    <m/>
    <s v="Y but needs routing update"/>
    <m/>
    <s v="Amrit"/>
    <s v="Y"/>
    <s v="Spec"/>
    <s v="Y"/>
    <s v="Y"/>
    <s v="Y"/>
    <s v="Jason"/>
    <s v="ww30.2"/>
    <s v="ww30.0"/>
    <s v="ww30.2"/>
    <m/>
    <s v="TSDR1282-518, TSDR1282-507"/>
    <m/>
  </r>
  <r>
    <s v="x81zs_npm01"/>
    <s v="xtrcapx81z_x81_lay"/>
    <x v="6"/>
    <x v="5"/>
    <s v="Young"/>
    <m/>
    <n v="1"/>
    <x v="9"/>
    <s v="N/Y DBI+ Y/N Implant, Area skew - 132H"/>
    <x v="1"/>
    <m/>
    <m/>
    <s v="Y but needs routing update"/>
    <m/>
    <s v="Amrit"/>
    <s v="Y"/>
    <s v="Spec"/>
    <s v="Y"/>
    <s v="Y"/>
    <s v="Y"/>
    <s v="Omair"/>
    <s v="ww30.3"/>
    <s v="ww30.4"/>
    <s v="ww30.6"/>
    <m/>
    <s v="TSDR1282-518"/>
    <m/>
  </r>
  <r>
    <s v="x81zs_pm01"/>
    <s v="xtrcapx81z_x81_lay"/>
    <x v="6"/>
    <x v="5"/>
    <s v="Young"/>
    <m/>
    <n v="1"/>
    <x v="9"/>
    <s v="Standard Millers - 132H"/>
    <x v="0"/>
    <m/>
    <s v="Y"/>
    <s v="Y but needs routing update"/>
    <m/>
    <s v="Amrit"/>
    <s v="Y"/>
    <s v="Spec"/>
    <s v="Y"/>
    <s v="Y"/>
    <s v="Y"/>
    <s v="Roberto"/>
    <s v="ww29.2"/>
    <s v="ww29.2"/>
    <s v="ww39.4"/>
    <m/>
    <s v="TSDR1282-518"/>
    <m/>
  </r>
  <r>
    <s v="x81zs_pm02"/>
    <s v="xtrcapx81z_x81_lay"/>
    <x v="6"/>
    <x v="5"/>
    <s v="Young"/>
    <m/>
    <n v="1"/>
    <x v="9"/>
    <s v="Standard Millers - 165H"/>
    <x v="2"/>
    <m/>
    <m/>
    <s v="Y but needs routing update"/>
    <m/>
    <s v="Amrit"/>
    <s v="Y"/>
    <s v="Spec"/>
    <s v="Y"/>
    <s v="Y"/>
    <s v="Y"/>
    <s v="Roberto"/>
    <s v="ww28.6"/>
    <s v="ww29.0"/>
    <s v="ww29.1"/>
    <m/>
    <s v="TSDR1282-448, TSDR1282-352, TSDR1282-416"/>
    <m/>
  </r>
  <r>
    <s v="x81zs_pm03"/>
    <s v="xtrcapx81z_x81_lay"/>
    <x v="6"/>
    <x v="5"/>
    <s v="Young"/>
    <m/>
    <n v="1"/>
    <x v="9"/>
    <s v="Standard Millers - 110H"/>
    <x v="2"/>
    <m/>
    <m/>
    <s v="Y but needs routing update"/>
    <m/>
    <s v="Amrit"/>
    <s v="Y"/>
    <s v="Spec"/>
    <s v="Y"/>
    <s v="Y"/>
    <s v="Y"/>
    <s v="Roberto"/>
    <s v="ww28.6"/>
    <s v="ww29.0"/>
    <s v="ww29.1"/>
    <m/>
    <s v="TSDR1282-448, TSDR1282-352, TSDR1282-416"/>
    <m/>
  </r>
  <r>
    <s v="x81zs_pm04"/>
    <s v="xtrcapx81z_x81_lay"/>
    <x v="6"/>
    <x v="5"/>
    <s v="Young"/>
    <m/>
    <n v="1"/>
    <x v="9"/>
    <s v="Standard Millers, 5T, UNI-M1, /D,  PFT-like LLE, N/Y DBI+ Y/N Implant - 132H"/>
    <x v="1"/>
    <m/>
    <m/>
    <s v="Y but needs routing update"/>
    <m/>
    <s v="Amrit"/>
    <s v="Y"/>
    <s v="Spec"/>
    <s v="Y"/>
    <s v="Y"/>
    <s v="Y"/>
    <s v="Omair"/>
    <s v="ww30.3"/>
    <s v="ww30.5"/>
    <s v="ww31.1"/>
    <m/>
    <s v="TSDR1282-518, TSDR1282-507"/>
    <m/>
  </r>
  <r>
    <s v="x81zs_npxm02"/>
    <s v="xtrcapx81z_x81_lay"/>
    <x v="6"/>
    <x v="5"/>
    <s v="Young"/>
    <m/>
    <n v="0"/>
    <x v="9"/>
    <s v="5T,  /D, PFT-like LLE 110H"/>
    <x v="0"/>
    <s v="x"/>
    <m/>
    <m/>
    <m/>
    <s v="Amrit"/>
    <s v="Y"/>
    <s v="Spec"/>
    <m/>
    <m/>
    <m/>
    <m/>
    <m/>
    <m/>
    <m/>
    <m/>
    <m/>
    <m/>
  </r>
  <r>
    <s v="x81zs_npxm03"/>
    <s v="xtrcapx81z_x81_lay"/>
    <x v="6"/>
    <x v="5"/>
    <s v="Young"/>
    <m/>
    <n v="1"/>
    <x v="9"/>
    <s v="N/Y DBI+ Y/N Implant, Area skew, LLE, 5T - 132H"/>
    <x v="1"/>
    <m/>
    <m/>
    <s v="Y but needs routing update"/>
    <m/>
    <s v="Amrit"/>
    <s v="Y"/>
    <s v="Spec"/>
    <s v="Y"/>
    <s v="Y"/>
    <s v="Y"/>
    <s v="Omair"/>
    <s v="ww30.5"/>
    <s v="ww30.6"/>
    <s v="ww31.1"/>
    <m/>
    <s v="TSDR1282-518"/>
    <m/>
  </r>
  <r>
    <s v="x81zs_xm01"/>
    <s v="xtrcapx81z_x81_lay"/>
    <x v="6"/>
    <x v="5"/>
    <s v="Young"/>
    <m/>
    <n v="1"/>
    <x v="9"/>
    <s v="Standard Millers - 132H"/>
    <x v="0"/>
    <m/>
    <s v="Y"/>
    <s v="Y but needs routing update"/>
    <m/>
    <s v="Amrit"/>
    <s v="Y"/>
    <s v="Spec"/>
    <s v="Y"/>
    <s v="Y"/>
    <s v="Y"/>
    <s v="Roberto"/>
    <s v="ww29.2"/>
    <s v="ww29.2"/>
    <s v="ww39.4"/>
    <m/>
    <s v="TSDR1282-518"/>
    <m/>
  </r>
  <r>
    <s v="x81zs_xm02"/>
    <s v="xtrcapx81z_x81_lay"/>
    <x v="6"/>
    <x v="5"/>
    <s v="Young"/>
    <m/>
    <n v="1"/>
    <x v="9"/>
    <s v="Standard Millers - 165H"/>
    <x v="2"/>
    <m/>
    <m/>
    <s v="Y but needs routing update"/>
    <m/>
    <s v="Amrit"/>
    <s v="Y"/>
    <s v="Spec"/>
    <s v="Y"/>
    <s v="Y"/>
    <s v="Y"/>
    <s v="Roberto"/>
    <s v="ww28.6"/>
    <s v="ww29.0"/>
    <s v="ww29.1"/>
    <m/>
    <s v="TSDR1282-448, TSDR1282-352, TSDR1282-416"/>
    <m/>
  </r>
  <r>
    <s v="x81zs_xm03"/>
    <s v="xtrcapx81z_x81_lay"/>
    <x v="6"/>
    <x v="5"/>
    <s v="Young"/>
    <m/>
    <n v="1"/>
    <x v="9"/>
    <s v="Standard Millers - 110H"/>
    <x v="2"/>
    <m/>
    <m/>
    <s v="Y but needs routing update"/>
    <m/>
    <s v="Amrit"/>
    <s v="Y"/>
    <s v="Spec"/>
    <s v="Y"/>
    <s v="N"/>
    <s v="Y"/>
    <s v="Roberto"/>
    <s v="ww28.6"/>
    <s v="ww29.0"/>
    <s v="ww29.2"/>
    <m/>
    <s v="TSDR1282-448, TSDR1282-352, TSDR1282-416"/>
    <m/>
  </r>
  <r>
    <s v="x81zs_xpm04"/>
    <s v="xtrcapx81z_x81_lay"/>
    <x v="6"/>
    <x v="5"/>
    <s v="Young"/>
    <m/>
    <n v="1"/>
    <x v="9"/>
    <s v="Standard Millers, 5T, UNI-M1, /D, PFT-like LLE, N/Y DBI+ Y/N Implant - 132H"/>
    <x v="1"/>
    <m/>
    <m/>
    <s v="Y but needs routing update"/>
    <m/>
    <s v="Amrit"/>
    <s v="Y"/>
    <s v="Spec"/>
    <s v="Y"/>
    <s v="Y"/>
    <s v="Y"/>
    <s v="Omair"/>
    <s v="ww31.0"/>
    <s v="ww31.0"/>
    <s v="ww30.2"/>
    <m/>
    <s v="TSDR1282-518, TSDR1282-507"/>
    <m/>
  </r>
  <r>
    <s v="x81zs_nm_ply01"/>
    <s v="xtrcapx81z_x81_lay"/>
    <x v="6"/>
    <x v="5"/>
    <s v="Young"/>
    <m/>
    <n v="0"/>
    <x v="10"/>
    <s v="PLYCD+PP skews - 110H"/>
    <x v="1"/>
    <m/>
    <m/>
    <m/>
    <s v="Drop TAP, check routing"/>
    <s v="Amrit"/>
    <s v="Y"/>
    <s v="Spec"/>
    <m/>
    <m/>
    <m/>
    <m/>
    <m/>
    <m/>
    <m/>
    <m/>
    <m/>
    <s v="Might be pushed back to DBC3 or later"/>
  </r>
  <r>
    <s v="x81zs_nm_ply02"/>
    <s v="xtrcapx81z_x81_lay"/>
    <x v="6"/>
    <x v="5"/>
    <s v="Young"/>
    <m/>
    <n v="0"/>
    <x v="10"/>
    <s v="PLYCD+PP skews - 165H"/>
    <x v="1"/>
    <m/>
    <m/>
    <m/>
    <s v="Drop TAP, check routing"/>
    <s v="Amrit"/>
    <s v="Y"/>
    <s v="Spec"/>
    <m/>
    <m/>
    <m/>
    <m/>
    <m/>
    <m/>
    <m/>
    <m/>
    <m/>
    <s v="Might be pushed back to DBC3 or later"/>
  </r>
  <r>
    <s v="x81zs_nm_ply03"/>
    <s v="xtrcapx81z_x81_lay"/>
    <x v="9"/>
    <x v="5"/>
    <s v="Young"/>
    <m/>
    <n v="1"/>
    <x v="10"/>
    <s v="PLYCD+PP skews - 132H"/>
    <x v="1"/>
    <m/>
    <s v="Y"/>
    <s v="Y but needs routing update"/>
    <m/>
    <s v="Amrit"/>
    <s v="Y"/>
    <s v="Spec"/>
    <s v="Y"/>
    <s v="Y"/>
    <s v="Y"/>
    <s v="Omair"/>
    <s v="ww30.6"/>
    <s v="ww30.6"/>
    <m/>
    <m/>
    <s v="TSDR1282-523"/>
    <s v="pending dispo state"/>
  </r>
  <r>
    <s v="x81zs_nm_ply04"/>
    <s v="xtrcapx81z_x81_lay"/>
    <x v="9"/>
    <x v="5"/>
    <s v="Young"/>
    <m/>
    <n v="1"/>
    <x v="10"/>
    <s v="PLYCDinverTCNCD, PolyCd only and TCN CD only skews- 132H"/>
    <x v="1"/>
    <m/>
    <m/>
    <s v="Y but needs routing update"/>
    <m/>
    <s v="Amrit"/>
    <s v="Y"/>
    <s v="Spec"/>
    <s v="Y"/>
    <s v="Y"/>
    <s v="Y"/>
    <s v="Omair"/>
    <s v="ww30.3"/>
    <s v="ww30.5"/>
    <m/>
    <m/>
    <s v="TSDR1282-523"/>
    <s v="pending dispo state"/>
  </r>
  <r>
    <s v="x81zs_pm_ply01"/>
    <s v="xtrcapx81z_x81_lay"/>
    <x v="9"/>
    <x v="5"/>
    <s v="Young"/>
    <m/>
    <n v="0"/>
    <x v="10"/>
    <s v="PLYCD+PP skews - 110H"/>
    <x v="1"/>
    <m/>
    <m/>
    <m/>
    <s v="Drop TAP, check routing"/>
    <s v="Amrit"/>
    <s v="Y"/>
    <s v="Spec"/>
    <m/>
    <m/>
    <m/>
    <m/>
    <m/>
    <m/>
    <m/>
    <m/>
    <m/>
    <s v="Might be pushed back to DBC3 or later"/>
  </r>
  <r>
    <s v="x81zs_pm_ply02"/>
    <s v="xtrcapx81z_x81_lay"/>
    <x v="9"/>
    <x v="5"/>
    <s v="Young"/>
    <m/>
    <n v="0"/>
    <x v="10"/>
    <s v="PLYCD+PP skews - 165H"/>
    <x v="1"/>
    <m/>
    <m/>
    <m/>
    <s v="Drop TAP, check routing"/>
    <s v="Amrit"/>
    <s v="Y"/>
    <s v="Spec"/>
    <m/>
    <m/>
    <m/>
    <m/>
    <m/>
    <m/>
    <m/>
    <m/>
    <m/>
    <s v="Might be pushed back to DBC3 or later"/>
  </r>
  <r>
    <s v="x81zs_pm_ply03"/>
    <s v="xtrcapx81z_x81_lay"/>
    <x v="9"/>
    <x v="5"/>
    <s v="Young"/>
    <m/>
    <n v="1"/>
    <x v="10"/>
    <s v="PLYCD+PP skews - 132H"/>
    <x v="1"/>
    <m/>
    <s v="Y"/>
    <s v="Y but needs routing update"/>
    <m/>
    <s v="Amrit"/>
    <s v="Y"/>
    <s v="Spec"/>
    <s v="Y"/>
    <s v="Y"/>
    <s v="Y"/>
    <s v="Omair"/>
    <s v="ww30.6"/>
    <s v="ww30.6"/>
    <m/>
    <m/>
    <s v="TSDR1282-530"/>
    <s v="pending dispo state"/>
  </r>
  <r>
    <s v="x81zs_pm_ply04"/>
    <s v="xtrcapx81z_x81_lay"/>
    <x v="9"/>
    <x v="5"/>
    <s v="Young"/>
    <m/>
    <n v="1"/>
    <x v="10"/>
    <s v="PLYCD+PP, PLYCDinverTCNCD, PolyCd only and TCN CD only skews - 132H"/>
    <x v="1"/>
    <m/>
    <s v="Y"/>
    <s v="Y but needs routing update"/>
    <m/>
    <s v="Amrit"/>
    <s v="Y"/>
    <s v="Spec"/>
    <s v="Y"/>
    <s v="Y"/>
    <s v="Y"/>
    <s v="Omair"/>
    <s v="ww30.6"/>
    <s v="ww30.6"/>
    <m/>
    <m/>
    <s v="TSDR1282-530"/>
    <s v="pending dispo state"/>
  </r>
  <r>
    <s v="x81zs_nm_lle01"/>
    <s v="xtrcapx81z_x81_lay"/>
    <x v="9"/>
    <x v="5"/>
    <s v="Young"/>
    <m/>
    <n v="0"/>
    <x v="11"/>
    <s v="PXL REG CMOS,UNI-M1 132H"/>
    <x v="3"/>
    <m/>
    <m/>
    <m/>
    <s v="WW34, DRC no concern, need to revise routing"/>
    <s v="Amrit"/>
    <s v="Y"/>
    <s v="Spec"/>
    <m/>
    <m/>
    <m/>
    <s v="Roberto"/>
    <m/>
    <m/>
    <m/>
    <m/>
    <m/>
    <s v="PXL skew enabled, woring IP"/>
  </r>
  <r>
    <s v="x81zs_nm_lle02"/>
    <s v="xtrcapx81z_x81_lay"/>
    <x v="9"/>
    <x v="5"/>
    <s v="Young"/>
    <m/>
    <n v="1"/>
    <x v="11"/>
    <s v="PXL REG CMOS,UNI-M1 165H"/>
    <x v="0"/>
    <m/>
    <m/>
    <s v="Y but needs routing update"/>
    <m/>
    <s v="Amrit"/>
    <s v="Y"/>
    <s v="Spec"/>
    <s v="Y"/>
    <s v="Y"/>
    <s v="Y"/>
    <s v="Amrit"/>
    <s v="ww29.1"/>
    <s v="ww29.6"/>
    <m/>
    <m/>
    <s v="TSDR1282-518"/>
    <s v="pending dispo state"/>
  </r>
  <r>
    <s v="x81zs_nm_lle03"/>
    <s v="xtrcapx81z_x81_lay"/>
    <x v="9"/>
    <x v="5"/>
    <s v="Young"/>
    <m/>
    <n v="1"/>
    <x v="11"/>
    <s v="PXL REG/CD CMOS,UNI-M1 132H"/>
    <x v="2"/>
    <m/>
    <m/>
    <s v="Y but needs routing update"/>
    <m/>
    <s v="Amrit"/>
    <s v="Y"/>
    <s v="Spec"/>
    <s v="Y"/>
    <s v="Y"/>
    <s v="Y"/>
    <s v="Amrit"/>
    <s v="ww28.6"/>
    <s v="WW28.7"/>
    <m/>
    <m/>
    <s v="TSDR1282-492"/>
    <s v="Ready for Tape-in"/>
  </r>
  <r>
    <s v="x81zs_nm_lle04"/>
    <s v="xtrcapx81z_x81_lay"/>
    <x v="9"/>
    <x v="5"/>
    <s v="Young"/>
    <m/>
    <n v="0"/>
    <x v="11"/>
    <s v="PXL CD UNI, TCN Len, VCRNub-M1 132H"/>
    <x v="0"/>
    <m/>
    <m/>
    <m/>
    <s v="TCP CD skews is not available in X81Z, no concern in PXL CD skews, need to move routing from M2 to M0"/>
    <s v="Amrit"/>
    <s v="Y"/>
    <s v="Spec"/>
    <m/>
    <m/>
    <m/>
    <m/>
    <m/>
    <m/>
    <m/>
    <m/>
    <m/>
    <m/>
  </r>
  <r>
    <s v="x81zs_nm_lle05"/>
    <s v="xtrcapx81z_x81_lay"/>
    <x v="9"/>
    <x v="5"/>
    <s v="Young"/>
    <m/>
    <n v="1"/>
    <x v="11"/>
    <s v="PXL CD UNI,CMOS-M1 132H"/>
    <x v="2"/>
    <m/>
    <m/>
    <s v="Y but needs routing update"/>
    <m/>
    <s v="Amrit"/>
    <s v="Y"/>
    <s v="Spec"/>
    <s v="Y"/>
    <s v="Y"/>
    <s v="Y"/>
    <s v="Amrit"/>
    <s v="ww28.6"/>
    <s v="WW28.7"/>
    <m/>
    <m/>
    <s v="TSDR1282-492"/>
    <s v="Ready for Tape-in"/>
  </r>
  <r>
    <s v="x81zs_npm_lle01"/>
    <s v="xtrcapx81z_x81_lay"/>
    <x v="9"/>
    <x v="5"/>
    <s v="Young"/>
    <m/>
    <n v="1"/>
    <x v="11"/>
    <s v="VCR, VCR nub skews 132H"/>
    <x v="0"/>
    <m/>
    <m/>
    <s v="Y but needs routing update"/>
    <m/>
    <s v="Amrit"/>
    <s v="Y"/>
    <s v="Spec"/>
    <s v="Y"/>
    <s v="Y"/>
    <s v="Y"/>
    <s v="Amrit"/>
    <s v="ww30.1"/>
    <s v="ww30.2"/>
    <m/>
    <m/>
    <s v="TSDR1282-518"/>
    <s v="pending dispo state"/>
  </r>
  <r>
    <s v="x81zs_pm_lle01"/>
    <s v="xtrcapx81z_x81_lay"/>
    <x v="9"/>
    <x v="5"/>
    <s v="Young"/>
    <m/>
    <n v="0"/>
    <x v="11"/>
    <s v="PXL REG CMOS,UNI-M1 132H"/>
    <x v="3"/>
    <m/>
    <m/>
    <m/>
    <s v="WW34, DRC no concern, need to revise routing"/>
    <s v="Amrit"/>
    <s v="Y"/>
    <s v="Spec"/>
    <m/>
    <m/>
    <m/>
    <s v="Roberto"/>
    <m/>
    <m/>
    <m/>
    <m/>
    <m/>
    <s v="PXL skew enabled, woring IP"/>
  </r>
  <r>
    <s v="x81zs_pm_lle02"/>
    <s v="xtrcapx81z_x81_lay"/>
    <x v="9"/>
    <x v="5"/>
    <s v="Young"/>
    <m/>
    <n v="1"/>
    <x v="11"/>
    <s v="PXL REG CMOS,UNI-M1 165H"/>
    <x v="0"/>
    <m/>
    <m/>
    <s v="Y but needs routing update"/>
    <m/>
    <s v="Amrit"/>
    <s v="Y"/>
    <s v="Spec"/>
    <s v="Y"/>
    <s v="Y"/>
    <s v="Y"/>
    <s v="Amrit"/>
    <s v="ww29.1"/>
    <s v="ww29.6"/>
    <m/>
    <m/>
    <s v="TSDR1282-518"/>
    <s v="pending dispo state"/>
  </r>
  <r>
    <s v="x81zs_pm_lle03"/>
    <s v="xtrcapx81z_x81_lay"/>
    <x v="9"/>
    <x v="5"/>
    <s v="Young"/>
    <m/>
    <n v="1"/>
    <x v="11"/>
    <s v="PXL REG/CD CMOS,UNI-M1 132H"/>
    <x v="2"/>
    <m/>
    <m/>
    <s v="Y but needs routing update"/>
    <m/>
    <s v="Amrit"/>
    <s v="Y"/>
    <s v="Spec"/>
    <s v="Y"/>
    <s v="Y"/>
    <s v="Y"/>
    <s v="Amrit"/>
    <s v="ww28.6"/>
    <s v="WW28.7"/>
    <m/>
    <m/>
    <s v="TSDR1282-492"/>
    <s v="Ready for Tape-in"/>
  </r>
  <r>
    <s v="x81zs_pm_lle04"/>
    <s v="xtrcapx81z_x81_lay"/>
    <x v="9"/>
    <x v="5"/>
    <s v="Young"/>
    <m/>
    <n v="0"/>
    <x v="11"/>
    <s v="PXL CD UNI, TCN Len, VCRNub-M1 132H"/>
    <x v="0"/>
    <m/>
    <m/>
    <m/>
    <s v="TCP CD skews is not available in X81Z, no concern in PXL CD skews, need to move routing from M2 to M0"/>
    <s v="Amrit"/>
    <s v="Y"/>
    <s v="Spec"/>
    <m/>
    <m/>
    <m/>
    <m/>
    <m/>
    <m/>
    <m/>
    <m/>
    <m/>
    <m/>
  </r>
  <r>
    <s v="x81zs_pm_lle05"/>
    <s v="xtrcapx81z_x81_lay"/>
    <x v="9"/>
    <x v="5"/>
    <s v="Young"/>
    <m/>
    <n v="1"/>
    <x v="11"/>
    <s v="PXL CD UNI,CMOS-M1 132H"/>
    <x v="2"/>
    <m/>
    <m/>
    <s v="Y but needs routing update"/>
    <m/>
    <s v="Amrit"/>
    <s v="Y"/>
    <s v="Spec"/>
    <s v="Y"/>
    <s v="Y"/>
    <s v="Y"/>
    <s v="Amrit"/>
    <s v="ww28.6"/>
    <s v="WW28.7"/>
    <m/>
    <m/>
    <s v="TSDR1282-492"/>
    <s v="Ready for Tape-in"/>
  </r>
  <r>
    <s v="x81zs_npm_lle02"/>
    <s v="xtrcapx81z_x81_lay"/>
    <x v="9"/>
    <x v="5"/>
    <s v="Young"/>
    <m/>
    <n v="1"/>
    <x v="11"/>
    <s v="VCR, VCR nub skews 132H"/>
    <x v="0"/>
    <m/>
    <m/>
    <s v="Y but needs routing update"/>
    <m/>
    <s v="Amrit"/>
    <s v="Y"/>
    <s v="Spec"/>
    <s v="Y"/>
    <s v="Y"/>
    <s v="Y"/>
    <s v="Amrit"/>
    <s v="ww30.1"/>
    <s v="ww30.2"/>
    <m/>
    <m/>
    <s v="TSDR1282-518"/>
    <s v="pending dispo state"/>
  </r>
  <r>
    <s v="x81zs_xm_lle01"/>
    <s v="xtrcapx81z_x81_lay"/>
    <x v="9"/>
    <x v="5"/>
    <s v="Young"/>
    <m/>
    <n v="0"/>
    <x v="11"/>
    <s v="PXL REG CMOS,UNI-M1 132H"/>
    <x v="3"/>
    <m/>
    <m/>
    <m/>
    <s v="WW34, DRC no concern, need to revise routing"/>
    <s v="Amrit"/>
    <s v="Y"/>
    <s v="Spec"/>
    <m/>
    <m/>
    <m/>
    <s v="Roberto"/>
    <m/>
    <m/>
    <m/>
    <m/>
    <m/>
    <s v="PXL skew enabled, woring IP"/>
  </r>
  <r>
    <s v="x81zs_xm_lle02"/>
    <s v="xtrcapx81z_x81_lay"/>
    <x v="9"/>
    <x v="5"/>
    <s v="Young"/>
    <m/>
    <n v="1"/>
    <x v="11"/>
    <s v="PXL REG CMOS,UNI-M1 165H"/>
    <x v="2"/>
    <m/>
    <m/>
    <s v="Y but needs routing update"/>
    <m/>
    <s v="Amrit"/>
    <s v="Y"/>
    <s v="Spec"/>
    <s v="Y"/>
    <s v="Y"/>
    <s v="Y"/>
    <s v="Amrit"/>
    <s v="ww28.6"/>
    <s v="WW28.7"/>
    <m/>
    <m/>
    <s v="TSDR1282-492"/>
    <s v="Ready for Tape-in"/>
  </r>
  <r>
    <s v="x81zs_xm_lle03"/>
    <s v="xtrcapx81z_x81_lay"/>
    <x v="9"/>
    <x v="5"/>
    <s v="Young"/>
    <m/>
    <n v="1"/>
    <x v="11"/>
    <s v="PXL REG/CD CMOS,UNI-M1 132H"/>
    <x v="2"/>
    <m/>
    <m/>
    <s v="Y but needs routing update"/>
    <m/>
    <s v="Amrit"/>
    <s v="Y"/>
    <s v="Spec"/>
    <s v="Y"/>
    <s v="Y"/>
    <s v="Y"/>
    <s v="Amrit"/>
    <s v="ww28.6"/>
    <s v="WW28.7"/>
    <m/>
    <m/>
    <s v="TSDR1282-492"/>
    <s v="Ready for Tape-in"/>
  </r>
  <r>
    <s v="x81zs_xm_lle04"/>
    <s v="xtrcapx81z_x81_lay"/>
    <x v="9"/>
    <x v="5"/>
    <s v="Young"/>
    <m/>
    <n v="0"/>
    <x v="11"/>
    <s v="PXL CD UNI, TCN Len, VCRNub-M1 132H"/>
    <x v="0"/>
    <m/>
    <m/>
    <m/>
    <s v="TCP CD skews is not available in X81Z, no concern in PXL CD skews, need to move routing from M2 to M0"/>
    <s v="Amrit"/>
    <s v="Y"/>
    <s v="Spec"/>
    <m/>
    <m/>
    <m/>
    <m/>
    <m/>
    <m/>
    <m/>
    <m/>
    <m/>
    <m/>
  </r>
  <r>
    <s v="x81zs_npm_lle03"/>
    <s v="xtrcapx81z_x81_lay"/>
    <x v="9"/>
    <x v="5"/>
    <s v="Young"/>
    <m/>
    <n v="1"/>
    <x v="11"/>
    <s v="PXL REG/CD UNI, /D- M1 165H"/>
    <x v="0"/>
    <m/>
    <m/>
    <s v="Y but needs routing update"/>
    <m/>
    <s v="Amrit"/>
    <s v="Y"/>
    <s v="Spec"/>
    <s v="Y"/>
    <s v="Y"/>
    <s v="Y"/>
    <s v="Amrit"/>
    <s v="ww30.1"/>
    <s v="ww30.2"/>
    <m/>
    <m/>
    <s v="TSDR1282-518"/>
    <s v="pending dispo state"/>
  </r>
  <r>
    <s v="x81zs_fktcn_01"/>
    <s v="xtrpfx81z_x81_lay"/>
    <x v="3"/>
    <x v="2"/>
    <s v="Yuti"/>
    <m/>
    <n v="1"/>
    <x v="12"/>
    <s v="FKTCN 132H Z5 with TCN CD skew"/>
    <x v="1"/>
    <m/>
    <m/>
    <m/>
    <m/>
    <s v="Domingo"/>
    <s v="Y"/>
    <s v="Spec"/>
    <s v="Y"/>
    <s v="Y"/>
    <s v="Waived"/>
    <s v="Roberto"/>
    <s v="ww30.5"/>
    <s v="ww30.6"/>
    <d v="2026-07-26T00:00:00"/>
    <m/>
    <s v="TSDR1282-419, TSDR1282-562 (LVS waiver)"/>
    <s v="Ready for Tape-in"/>
  </r>
  <r>
    <s v="x81zs_fktcn_02"/>
    <s v="xtrpfx81z_x81_lay"/>
    <x v="3"/>
    <x v="2"/>
    <s v="Yuti"/>
    <m/>
    <n v="1"/>
    <x v="12"/>
    <s v="FKTCN 165H Z7 with TCN CD skew"/>
    <x v="1"/>
    <m/>
    <m/>
    <m/>
    <m/>
    <s v="Domingo"/>
    <s v="Y"/>
    <s v="Spec"/>
    <s v="Y"/>
    <s v="Y"/>
    <s v="Waived"/>
    <s v="Roberto"/>
    <s v="ww30.5"/>
    <s v="ww30.6"/>
    <d v="2026-07-26T00:00:00"/>
    <m/>
    <s v="TSDR1282-419, TSDR1282-562 (LVS waiver)"/>
    <s v="Ready for Tape-in"/>
  </r>
  <r>
    <s v="x81zs_fktcn_03"/>
    <s v="xtrpfx81z_x81_lay"/>
    <x v="3"/>
    <x v="2"/>
    <s v="Yuti"/>
    <m/>
    <n v="1"/>
    <x v="12"/>
    <s v="FKTCN 110H Z1 with TCN CD skew"/>
    <x v="1"/>
    <m/>
    <m/>
    <m/>
    <m/>
    <s v="Domingo"/>
    <s v="Y"/>
    <s v="Spec"/>
    <s v="Y"/>
    <s v="Y"/>
    <s v="Waived"/>
    <s v="Roberto"/>
    <s v="ww30.5"/>
    <s v="ww30.6"/>
    <d v="2026-07-26T00:00:00"/>
    <m/>
    <s v="TSDR1282-419,  TSDR1282-573, TSDR1282-562 (LVS waiver)"/>
    <s v="Ready for Tape-in"/>
  </r>
  <r>
    <s v="x81zs_vtvg_klv_01a"/>
    <s v="conx81z_x81_lay"/>
    <x v="9"/>
    <x v="7"/>
    <s v="Yuti"/>
    <m/>
    <n v="1"/>
    <x v="13"/>
    <s v="ViaG/ViaT 5-pad Line End enclosure"/>
    <x v="2"/>
    <m/>
    <s v="Y"/>
    <m/>
    <m/>
    <s v="Domingo"/>
    <s v="Y"/>
    <s v="Spec"/>
    <s v="Y"/>
    <s v="Y"/>
    <s v="Y"/>
    <s v="Domingo"/>
    <d v="2026-07-02T00:00:00"/>
    <d v="2026-07-06T00:00:00"/>
    <m/>
    <m/>
    <m/>
    <s v="Ready for Tape-in"/>
  </r>
  <r>
    <s v="x81zs_vtvg_klv_02"/>
    <s v="conx81z_x81_lay"/>
    <x v="9"/>
    <x v="7"/>
    <s v="Yuti"/>
    <m/>
    <n v="1"/>
    <x v="13"/>
    <s v="ViaG/ViaT KLV with REG/CD Skews"/>
    <x v="2"/>
    <m/>
    <s v="Y"/>
    <m/>
    <m/>
    <s v="Domingo"/>
    <s v="Y"/>
    <s v="Spec"/>
    <s v="Y"/>
    <s v="Y"/>
    <s v="Y"/>
    <s v="Domingo"/>
    <d v="2026-07-02T00:00:00"/>
    <d v="2026-07-06T00:00:00"/>
    <m/>
    <m/>
    <s v="TSDR1282-492"/>
    <s v="Ready for Tape-in"/>
  </r>
  <r>
    <s v="x81zs_rospft01"/>
    <s v="xtrmiscx81z_x81_lay"/>
    <x v="10"/>
    <x v="0"/>
    <s v="Nick"/>
    <m/>
    <n v="1"/>
    <x v="14"/>
    <m/>
    <x v="1"/>
    <m/>
    <m/>
    <m/>
    <m/>
    <s v="Jaladhi"/>
    <s v="Y"/>
    <s v="Spec"/>
    <s v="N"/>
    <m/>
    <m/>
    <s v="Roberto"/>
    <s v="ww31.1"/>
    <s v="ww31.2"/>
    <m/>
    <m/>
    <s v="TSDR1282-615"/>
    <m/>
  </r>
  <r>
    <s v="x81zs_rospft02"/>
    <s v="xtrmiscx81z_x81_lay"/>
    <x v="10"/>
    <x v="0"/>
    <s v="Nick"/>
    <m/>
    <n v="1"/>
    <x v="14"/>
    <m/>
    <x v="1"/>
    <m/>
    <m/>
    <m/>
    <m/>
    <s v="Jaladhi"/>
    <s v="Y"/>
    <s v="Spec"/>
    <s v="N"/>
    <m/>
    <m/>
    <s v="Roberto"/>
    <s v="ww31.1"/>
    <s v="ww31.2"/>
    <m/>
    <m/>
    <s v="TSDR1282-615"/>
    <m/>
  </r>
  <r>
    <s v="x81zs_rospft03"/>
    <s v="xtrmiscx81z_x81_lay"/>
    <x v="10"/>
    <x v="0"/>
    <s v="Nick"/>
    <m/>
    <n v="0"/>
    <x v="14"/>
    <m/>
    <x v="1"/>
    <m/>
    <m/>
    <m/>
    <s v="WW34"/>
    <s v="Jaladhi"/>
    <s v="Y"/>
    <s v="Spec"/>
    <s v="N"/>
    <m/>
    <m/>
    <m/>
    <m/>
    <m/>
    <m/>
    <m/>
    <m/>
    <m/>
  </r>
  <r>
    <s v="x81zs_rospft04"/>
    <s v="xtrmiscx81z_x81_lay"/>
    <x v="10"/>
    <x v="0"/>
    <s v="Nick"/>
    <m/>
    <n v="1"/>
    <x v="14"/>
    <m/>
    <x v="1"/>
    <m/>
    <m/>
    <m/>
    <m/>
    <s v="Jaladhi"/>
    <s v="Y"/>
    <s v="Spec"/>
    <s v="N"/>
    <m/>
    <m/>
    <s v="Roberto"/>
    <s v="ww31.1"/>
    <s v="ww31.2 (need edit, done, re-check OK)"/>
    <m/>
    <m/>
    <s v="TSDR1282-615"/>
    <m/>
  </r>
  <r>
    <s v="x81zs_rospft05"/>
    <s v="xtrmiscx81z_x81_lay"/>
    <x v="10"/>
    <x v="0"/>
    <s v="Nick"/>
    <m/>
    <n v="1"/>
    <x v="14"/>
    <m/>
    <x v="1"/>
    <m/>
    <m/>
    <m/>
    <m/>
    <s v="Jaladhi"/>
    <s v="Y"/>
    <s v="Spec"/>
    <s v="N"/>
    <m/>
    <m/>
    <s v="Roberto"/>
    <s v="ww31.1"/>
    <s v="ww31.2 (need edit, done, re-check OK)"/>
    <m/>
    <m/>
    <s v="TSDR1282-615"/>
    <m/>
  </r>
  <r>
    <s v="x81zs_rospft06"/>
    <s v="xtrmiscx81z_x81_lay"/>
    <x v="10"/>
    <x v="0"/>
    <s v="Nick"/>
    <m/>
    <n v="1"/>
    <x v="14"/>
    <m/>
    <x v="1"/>
    <m/>
    <m/>
    <m/>
    <m/>
    <s v="Jaladhi"/>
    <s v="Y"/>
    <s v="Spec"/>
    <s v="N"/>
    <m/>
    <m/>
    <m/>
    <m/>
    <m/>
    <m/>
    <m/>
    <s v="TSDR1282-615, TSDR1282-609"/>
    <m/>
  </r>
  <r>
    <s v="x81zs_rospft07"/>
    <s v="xtrmiscx81z_x81_lay"/>
    <x v="10"/>
    <x v="0"/>
    <s v="Nick"/>
    <m/>
    <n v="1"/>
    <x v="14"/>
    <m/>
    <x v="1"/>
    <m/>
    <m/>
    <m/>
    <m/>
    <s v="Jaladhi"/>
    <s v="Y"/>
    <s v="Spec"/>
    <s v="N"/>
    <m/>
    <m/>
    <s v="Roberto"/>
    <s v="ww31.1"/>
    <s v="ww31.2 (need edit, done, re-check OK)"/>
    <m/>
    <m/>
    <s v="TSDR1282-615, TSDR1282-609"/>
    <m/>
  </r>
  <r>
    <s v="x81zs_rospft08"/>
    <s v="xtrmiscx81z_x81_lay"/>
    <x v="10"/>
    <x v="0"/>
    <s v="Nick"/>
    <m/>
    <n v="1"/>
    <x v="14"/>
    <m/>
    <x v="1"/>
    <m/>
    <m/>
    <m/>
    <m/>
    <s v="Jaladhi"/>
    <s v="Y"/>
    <s v="Spec"/>
    <s v="N"/>
    <m/>
    <m/>
    <m/>
    <m/>
    <m/>
    <m/>
    <m/>
    <s v="TSDR1282-615, TSDR1282-609"/>
    <m/>
  </r>
  <r>
    <s v="x81zs_rospft09"/>
    <s v="xtrmiscx81z_x81_lay"/>
    <x v="10"/>
    <x v="0"/>
    <s v="Nick"/>
    <m/>
    <n v="1"/>
    <x v="14"/>
    <m/>
    <x v="1"/>
    <m/>
    <m/>
    <m/>
    <m/>
    <s v="Jaladhi"/>
    <s v="Y"/>
    <s v="Spec"/>
    <s v="N"/>
    <m/>
    <m/>
    <s v="Roberto"/>
    <s v="ww31.2"/>
    <m/>
    <m/>
    <m/>
    <s v="TSDR1282-615, TSDR1282-609"/>
    <m/>
  </r>
  <r>
    <s v="x81zs_rospft10"/>
    <s v="xtrmiscx81z_x81_lay"/>
    <x v="10"/>
    <x v="0"/>
    <s v="Nick"/>
    <m/>
    <n v="1"/>
    <x v="14"/>
    <m/>
    <x v="1"/>
    <m/>
    <m/>
    <m/>
    <m/>
    <s v="Jaladhi"/>
    <s v="Y"/>
    <s v="Spec"/>
    <s v="N"/>
    <m/>
    <m/>
    <m/>
    <m/>
    <m/>
    <m/>
    <m/>
    <s v="TSDR1282-615, TSDR1282-609"/>
    <m/>
  </r>
  <r>
    <s v="x81zs_rospft11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12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13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14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15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16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17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18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19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20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rospft21"/>
    <s v="xtrmiscx81z_x81_lay"/>
    <x v="10"/>
    <x v="0"/>
    <s v="Nick"/>
    <m/>
    <n v="0"/>
    <x v="14"/>
    <m/>
    <x v="1"/>
    <m/>
    <m/>
    <m/>
    <m/>
    <s v="Jaladhi"/>
    <s v="Y"/>
    <s v="Spec"/>
    <s v="N"/>
    <m/>
    <m/>
    <m/>
    <m/>
    <m/>
    <m/>
    <m/>
    <m/>
    <m/>
  </r>
  <r>
    <s v="x81zs_wid01"/>
    <s v="widx81z_x81_lay"/>
    <x v="10"/>
    <x v="8"/>
    <m/>
    <m/>
    <n v="1"/>
    <x v="15"/>
    <m/>
    <x v="3"/>
    <m/>
    <s v="copy and put at top, mid, bot in TC (i.e., plus 2 rows)"/>
    <m/>
    <m/>
    <s v="Jaladhi"/>
    <s v="Y"/>
    <s v="Spec"/>
    <s v="N"/>
    <m/>
    <m/>
    <m/>
    <m/>
    <m/>
    <m/>
    <m/>
    <s v="TSDR1282-416,TSDR1282-428,TSDR1282-427"/>
    <m/>
  </r>
  <r>
    <s v="x81zs_wid02"/>
    <s v="widx81z_x81_lay"/>
    <x v="10"/>
    <x v="8"/>
    <m/>
    <m/>
    <n v="1"/>
    <x v="15"/>
    <m/>
    <x v="3"/>
    <m/>
    <s v="copy and put at top, mid, bot in TC (i.e., plus 2 rows)"/>
    <m/>
    <m/>
    <s v="Jaladhi"/>
    <s v="Y"/>
    <s v="Spec"/>
    <s v="N"/>
    <m/>
    <m/>
    <m/>
    <m/>
    <m/>
    <m/>
    <m/>
    <s v="TSDR1282-448, TSDR1282-352, TSDR1282-416"/>
    <m/>
  </r>
  <r>
    <s v="x81zs_wid03"/>
    <s v="widx81z_x81_lay"/>
    <x v="10"/>
    <x v="8"/>
    <m/>
    <m/>
    <n v="0"/>
    <x v="15"/>
    <m/>
    <x v="3"/>
    <m/>
    <m/>
    <m/>
    <m/>
    <s v="Jaladhi"/>
    <s v="Y"/>
    <s v="Spec"/>
    <s v="N"/>
    <m/>
    <m/>
    <m/>
    <m/>
    <m/>
    <m/>
    <m/>
    <m/>
    <m/>
  </r>
  <r>
    <s v="x81zs_wid04"/>
    <s v="widx81z_x81_lay"/>
    <x v="10"/>
    <x v="8"/>
    <m/>
    <m/>
    <n v="0"/>
    <x v="15"/>
    <m/>
    <x v="3"/>
    <m/>
    <m/>
    <m/>
    <m/>
    <s v="Jaladhi"/>
    <s v="Y"/>
    <s v="Spec"/>
    <s v="N"/>
    <m/>
    <m/>
    <m/>
    <m/>
    <m/>
    <m/>
    <m/>
    <m/>
    <m/>
  </r>
  <r>
    <s v="x81zs_wid01"/>
    <s v="widx81z_x81_lay"/>
    <x v="10"/>
    <x v="8"/>
    <m/>
    <m/>
    <n v="1"/>
    <x v="15"/>
    <m/>
    <x v="1"/>
    <m/>
    <m/>
    <m/>
    <m/>
    <s v="Jaladhi"/>
    <s v="Y"/>
    <s v="Spec"/>
    <s v="N"/>
    <m/>
    <m/>
    <m/>
    <m/>
    <m/>
    <m/>
    <m/>
    <s v="TSDR1282-416,TSDR1282-428,TSDR1282-427"/>
    <m/>
  </r>
  <r>
    <s v="x81zs_wid02"/>
    <s v="widx81z_x81_lay"/>
    <x v="10"/>
    <x v="8"/>
    <m/>
    <m/>
    <n v="1"/>
    <x v="15"/>
    <m/>
    <x v="1"/>
    <m/>
    <m/>
    <m/>
    <m/>
    <s v="Jaladhi"/>
    <s v="Y"/>
    <s v="Spec"/>
    <s v="N"/>
    <m/>
    <m/>
    <m/>
    <m/>
    <m/>
    <m/>
    <m/>
    <s v="TSDR1282-448, TSDR1282-352, TSDR1282-416"/>
    <m/>
  </r>
  <r>
    <s v="x81zs_wid03"/>
    <s v="widx81z_x81_lay"/>
    <x v="10"/>
    <x v="8"/>
    <m/>
    <m/>
    <n v="1"/>
    <x v="15"/>
    <m/>
    <x v="1"/>
    <m/>
    <m/>
    <m/>
    <m/>
    <s v="Jaladhi"/>
    <s v="Y"/>
    <s v="Spec"/>
    <s v="Y"/>
    <s v="Y"/>
    <m/>
    <s v="Jaladhi"/>
    <d v="2026-07-27T00:00:00"/>
    <d v="2026-07-27T00:00:00"/>
    <d v="2026-07-28T00:00:00"/>
    <m/>
    <s v="TSDR1282-613"/>
    <s v="sram content delivered by Divya; pending dispo state"/>
  </r>
  <r>
    <s v="x81zs_wid04"/>
    <s v="xtrmiscx81z_x81_lay"/>
    <x v="10"/>
    <x v="8"/>
    <m/>
    <m/>
    <n v="1"/>
    <x v="15"/>
    <m/>
    <x v="1"/>
    <m/>
    <m/>
    <m/>
    <m/>
    <s v="Jaladhi"/>
    <s v="Y"/>
    <s v="Spec"/>
    <s v="N"/>
    <m/>
    <m/>
    <m/>
    <m/>
    <m/>
    <m/>
    <m/>
    <s v="TSDR1282-615, TSDR1282-609"/>
    <m/>
  </r>
  <r>
    <s v="x81zs_tcn_gate_klv_01"/>
    <s v="conx81z_x81_lay"/>
    <x v="3"/>
    <x v="9"/>
    <s v="Umesh"/>
    <m/>
    <n v="1"/>
    <x v="16"/>
    <s v="GATEKLV, TCNKLV"/>
    <x v="0"/>
    <m/>
    <m/>
    <m/>
    <m/>
    <s v="Domingo"/>
    <s v="Y"/>
    <s v="Spec"/>
    <s v="Y"/>
    <s v="Y"/>
    <s v="Y"/>
    <s v="Domingo"/>
    <d v="2026-07-16T00:00:00"/>
    <d v="2026-07-19T00:00:00"/>
    <m/>
    <m/>
    <s v="TSDR1282-475"/>
    <s v="Ready for tape in"/>
  </r>
  <r>
    <s v="x81zs_tcn_gate_klv_02"/>
    <s v="conx81z_x81_lay"/>
    <x v="3"/>
    <x v="9"/>
    <s v="Umesh"/>
    <m/>
    <n v="0"/>
    <x v="17"/>
    <s v="PLY TCN"/>
    <x v="0"/>
    <m/>
    <m/>
    <m/>
    <m/>
    <s v="Domingo"/>
    <s v="Y"/>
    <s v="Spec"/>
    <m/>
    <m/>
    <m/>
    <m/>
    <m/>
    <m/>
    <m/>
    <m/>
    <m/>
    <m/>
  </r>
  <r>
    <s v="x81zs_tcn_ply_chn_01"/>
    <s v="conx81z_x81_lay"/>
    <x v="11"/>
    <x v="10"/>
    <s v="Negar"/>
    <m/>
    <n v="1"/>
    <x v="18"/>
    <s v="TCN PLY CHN"/>
    <x v="1"/>
    <m/>
    <m/>
    <m/>
    <m/>
    <s v="Domingo"/>
    <s v="Y"/>
    <s v="Spec"/>
    <s v="Y"/>
    <m/>
    <m/>
    <s v="Jason"/>
    <s v="ww30.7"/>
    <s v="ww31.1"/>
    <m/>
    <m/>
    <m/>
    <s v="DRC clean"/>
  </r>
  <r>
    <s v="x81zs_tcn_ply_chn_02"/>
    <s v="conx81z_x81_lay"/>
    <x v="11"/>
    <x v="10"/>
    <s v="Negar"/>
    <m/>
    <n v="1"/>
    <x v="18"/>
    <s v="TCN PLY CHN"/>
    <x v="1"/>
    <m/>
    <m/>
    <m/>
    <m/>
    <s v="Domingo"/>
    <s v="Y"/>
    <s v="Spec"/>
    <s v="Y"/>
    <m/>
    <m/>
    <s v="Jason"/>
    <s v="ww30.7"/>
    <s v="ww31.1"/>
    <m/>
    <m/>
    <m/>
    <s v="DRC clean"/>
  </r>
  <r>
    <s v="x81zs_tcn_ply_chn_03"/>
    <s v="conx81z_x81_lay"/>
    <x v="11"/>
    <x v="10"/>
    <s v="Negar"/>
    <m/>
    <n v="0"/>
    <x v="18"/>
    <s v="TCN PLY CHN"/>
    <x v="1"/>
    <m/>
    <m/>
    <m/>
    <s v="WW35"/>
    <s v="Domingo"/>
    <s v="Y"/>
    <s v="Spec"/>
    <s v="Y"/>
    <m/>
    <m/>
    <m/>
    <m/>
    <m/>
    <m/>
    <m/>
    <m/>
    <s v="buildsheet gen debug in progress"/>
  </r>
  <r>
    <s v="x81zs_epiepi01"/>
    <s v="isox81z_x81_lay"/>
    <x v="12"/>
    <x v="6"/>
    <s v="Woo Seok"/>
    <m/>
    <n v="1"/>
    <x v="19"/>
    <s v="Epi ETE PGD"/>
    <x v="1"/>
    <m/>
    <m/>
    <s v="Y"/>
    <s v="WW34"/>
    <s v="Aaryan"/>
    <m/>
    <s v="Spec"/>
    <m/>
    <m/>
    <m/>
    <m/>
    <m/>
    <m/>
    <m/>
    <m/>
    <s v="TSDR1282-416, TCE81-706"/>
    <s v="Pending Dispo"/>
  </r>
  <r>
    <s v="x81zs_epiepi02"/>
    <s v="isox81z_x81_lay"/>
    <x v="12"/>
    <x v="6"/>
    <s v="Woo Seok"/>
    <m/>
    <n v="1"/>
    <x v="19"/>
    <s v="EPITCN ETE PGD"/>
    <x v="1"/>
    <m/>
    <m/>
    <s v="Y"/>
    <s v="WW34"/>
    <s v="Aaryan"/>
    <m/>
    <s v="Spec"/>
    <m/>
    <m/>
    <m/>
    <m/>
    <m/>
    <m/>
    <m/>
    <m/>
    <s v="TSDR1282-416, TCE81-706"/>
    <s v="Pending Dispo"/>
  </r>
  <r>
    <s v="x81zs_epiepitcn03"/>
    <s v="isox81z_x81_lay"/>
    <x v="12"/>
    <x v="6"/>
    <s v="Sandeep"/>
    <m/>
    <n v="0"/>
    <x v="19"/>
    <s v="TCN ETE PGD"/>
    <x v="1"/>
    <m/>
    <m/>
    <m/>
    <m/>
    <s v="Aaryan"/>
    <m/>
    <s v="Spec"/>
    <m/>
    <m/>
    <m/>
    <m/>
    <m/>
    <m/>
    <m/>
    <m/>
    <m/>
    <m/>
  </r>
  <r>
    <s v="x81zs_tcntcn01"/>
    <s v="isox81z_x81_lay"/>
    <x v="12"/>
    <x v="6"/>
    <s v="Woo Seok"/>
    <m/>
    <n v="1"/>
    <x v="19"/>
    <s v="TCN ETE PGD"/>
    <x v="1"/>
    <m/>
    <m/>
    <s v="Y"/>
    <s v="WW35"/>
    <s v="Aaryan"/>
    <m/>
    <s v="Spec"/>
    <m/>
    <m/>
    <m/>
    <m/>
    <m/>
    <m/>
    <m/>
    <m/>
    <m/>
    <s v="Ready for Tapein"/>
  </r>
  <r>
    <s v="x81zs_epitcn01"/>
    <s v="isox81z_x81_lay"/>
    <x v="12"/>
    <x v="6"/>
    <s v="Woo Seok"/>
    <m/>
    <n v="1"/>
    <x v="19"/>
    <s v="EPI TCN SDR ETE PGD INLINE"/>
    <x v="1"/>
    <m/>
    <m/>
    <s v="Y"/>
    <s v="WW35"/>
    <s v="Aaryan"/>
    <m/>
    <s v="Spec"/>
    <m/>
    <m/>
    <m/>
    <m/>
    <m/>
    <m/>
    <m/>
    <m/>
    <m/>
    <s v="Ready for Tapein"/>
  </r>
  <r>
    <s v="x81zs_diffiso01_e"/>
    <s v="isox81z_x81_lay"/>
    <x v="13"/>
    <x v="6"/>
    <s v="Woo Seok"/>
    <m/>
    <n v="1"/>
    <x v="19"/>
    <s v="FTI Leakage"/>
    <x v="2"/>
    <m/>
    <m/>
    <s v="Y"/>
    <s v="WW34"/>
    <s v="Aaryan"/>
    <m/>
    <s v="Spec"/>
    <s v="Y"/>
    <m/>
    <m/>
    <s v="Divya"/>
    <d v="2026-07-05T00:00:00"/>
    <m/>
    <m/>
    <m/>
    <m/>
    <s v="Ready for Tapein"/>
  </r>
  <r>
    <s v="x81zs_diffiso02"/>
    <s v="isox81z_x81_lay"/>
    <x v="13"/>
    <x v="6"/>
    <s v="Woo Seok"/>
    <m/>
    <n v="1"/>
    <x v="19"/>
    <s v="FTI Leakage"/>
    <x v="3"/>
    <m/>
    <m/>
    <s v="Y"/>
    <s v="WW34"/>
    <s v="Aaryan"/>
    <m/>
    <s v="Spec"/>
    <m/>
    <m/>
    <m/>
    <s v="Aaryan"/>
    <s v="ww29.2"/>
    <m/>
    <m/>
    <m/>
    <s v="TSDR1282-453"/>
    <s v="Ready for Tapein (few TGFT errors, received waivers, ticket # mentioned)"/>
  </r>
  <r>
    <s v="x81zs_diffiso03"/>
    <s v="isox81z_x81_lay"/>
    <x v="13"/>
    <x v="6"/>
    <s v="Woo Seok"/>
    <m/>
    <n v="1"/>
    <x v="19"/>
    <s v="FTI Leakage"/>
    <x v="3"/>
    <m/>
    <m/>
    <s v="Y"/>
    <s v="WW35"/>
    <s v="Aaryan"/>
    <m/>
    <s v="Spec"/>
    <m/>
    <m/>
    <m/>
    <s v="Gilad"/>
    <s v="ww29.2"/>
    <s v="ww29.2"/>
    <m/>
    <m/>
    <m/>
    <s v="Ready for Tapein"/>
  </r>
  <r>
    <s v="x81zs_diffiso04"/>
    <s v="isox81z_x81_lay"/>
    <x v="13"/>
    <x v="6"/>
    <s v="Sandeep"/>
    <m/>
    <n v="0"/>
    <x v="19"/>
    <s v="FTI Leakage"/>
    <x v="0"/>
    <s v="x"/>
    <m/>
    <m/>
    <s v="WW34"/>
    <s v="Aaryan"/>
    <m/>
    <s v="Spec"/>
    <m/>
    <m/>
    <m/>
    <m/>
    <m/>
    <m/>
    <m/>
    <m/>
    <m/>
    <m/>
  </r>
  <r>
    <s v="x81zs_diffiso05"/>
    <s v="isox81z_x81_lay"/>
    <x v="13"/>
    <x v="6"/>
    <s v="Sandeep"/>
    <m/>
    <n v="0"/>
    <x v="19"/>
    <s v="FTI Leakage"/>
    <x v="0"/>
    <m/>
    <m/>
    <m/>
    <m/>
    <s v="Aaryan"/>
    <m/>
    <s v="Spec"/>
    <m/>
    <m/>
    <m/>
    <m/>
    <m/>
    <m/>
    <m/>
    <m/>
    <m/>
    <s v="Drop some non-standard structures, high number of violations"/>
  </r>
  <r>
    <s v="x81zs_diffchn01"/>
    <s v="isox81z_x81_lay"/>
    <x v="12"/>
    <x v="6"/>
    <s v="Woo Seok"/>
    <m/>
    <n v="1"/>
    <x v="19"/>
    <s v="EpiTCNM0 Fails"/>
    <x v="2"/>
    <m/>
    <m/>
    <s v="Y"/>
    <s v="WW34"/>
    <s v="Aaryan"/>
    <m/>
    <s v="Spec"/>
    <s v="Y"/>
    <s v="Y"/>
    <m/>
    <s v="Divya"/>
    <d v="2026-07-09T00:00:00"/>
    <d v="2026-07-10T00:00:00"/>
    <m/>
    <m/>
    <s v="TSDR1282-394, TSDR1282-458, TSDR1282-410, TSDR1282-449, TSDR1282-308, TSDR1282-439, TSDR1282-366, TSDR1282-395, TSDR1282-416, TSDR1282-392"/>
    <m/>
  </r>
  <r>
    <s v="x81zs_diffchn02"/>
    <s v="isox81z_x81_lay"/>
    <x v="12"/>
    <x v="6"/>
    <s v="Woo Seok"/>
    <m/>
    <n v="1"/>
    <x v="19"/>
    <s v="EpiTCNM0 Fails"/>
    <x v="2"/>
    <m/>
    <m/>
    <s v="Y"/>
    <s v="WW34"/>
    <s v="Aaryan"/>
    <m/>
    <s v="Spec"/>
    <s v="Y"/>
    <s v="Y"/>
    <m/>
    <s v="Divya"/>
    <d v="2026-07-09T00:00:00"/>
    <d v="2026-07-10T00:00:00"/>
    <m/>
    <m/>
    <s v="TSDR1282-416,TSDR1282-428,TSDR1282-427TSDR1282-448, TSDR1282-352, TSDR1282-416TSDR1282-416,TSDR1282-428,TSDR1282-427TSDR1282-448, TSDR1282-352, TSDR1282-416TSDR1282-613TSDR1282-615, TSDR1282-609TSDR1282-475"/>
    <m/>
  </r>
  <r>
    <s v="x81zs_diffchn03"/>
    <s v="isox81z_x81_lay"/>
    <x v="12"/>
    <x v="6"/>
    <s v="Woo Seok"/>
    <m/>
    <n v="1"/>
    <x v="19"/>
    <s v="EpiTCNM0 Fails"/>
    <x v="0"/>
    <m/>
    <m/>
    <s v="Y"/>
    <s v="WW35"/>
    <s v="Aaryan"/>
    <m/>
    <s v="Spec"/>
    <m/>
    <m/>
    <m/>
    <s v="Gilad"/>
    <m/>
    <m/>
    <m/>
    <m/>
    <s v="TSDR1282-439, TSDR1282-416"/>
    <s v="Ready for tape-in (29.4)"/>
  </r>
  <r>
    <s v="x81zs_diffchn04"/>
    <s v="isox81z_x81_lay"/>
    <x v="12"/>
    <x v="6"/>
    <s v="Woo Seok"/>
    <m/>
    <n v="1"/>
    <x v="19"/>
    <s v="EpiTCNM0 Fails"/>
    <x v="0"/>
    <m/>
    <m/>
    <s v="Y"/>
    <s v="WW35"/>
    <s v="Aaryan"/>
    <m/>
    <s v="Spec"/>
    <m/>
    <m/>
    <m/>
    <s v="Shubhajit"/>
    <m/>
    <m/>
    <m/>
    <m/>
    <s v="TSDR1282-439, TSDR1282-416, TSDR1282-395"/>
    <s v="Ready for tape-in (29.4)"/>
  </r>
  <r>
    <s v="x81zs_gategate01"/>
    <s v="isox81z_x81_lay"/>
    <x v="7"/>
    <x v="6"/>
    <s v="Woo Seok"/>
    <m/>
    <n v="1"/>
    <x v="19"/>
    <s v="Gate ETE PGD, Gate to gate PGD LKG SDR 2track and one track long PLY with max density"/>
    <x v="2"/>
    <m/>
    <m/>
    <s v="Y"/>
    <s v="WW35"/>
    <s v="Aaryan"/>
    <s v="Y"/>
    <s v="Spec"/>
    <s v="Y"/>
    <s v="Y"/>
    <m/>
    <s v="Jason"/>
    <d v="2026-07-04T00:00:00"/>
    <m/>
    <m/>
    <m/>
    <s v="https://jira.devtools.intel.com/browse/TSDR1282-472"/>
    <m/>
  </r>
  <r>
    <s v="x81zs_gategate02"/>
    <s v="isox81z_x81_lay"/>
    <x v="7"/>
    <x v="6"/>
    <s v="Woo Seok"/>
    <m/>
    <n v="1"/>
    <x v="19"/>
    <s v="Gate ETE PGD, OC1 and OC2 ( for PLY ETE capacitance) - 2Diff track long PLY, with max density"/>
    <x v="2"/>
    <m/>
    <m/>
    <s v="Y"/>
    <s v="WW35"/>
    <s v="Aaryan"/>
    <s v="Y  "/>
    <s v="Spec"/>
    <s v="Y"/>
    <s v="Y"/>
    <m/>
    <s v="Jason"/>
    <d v="2026-07-04T00:00:00"/>
    <m/>
    <m/>
    <m/>
    <s v="https://jira.devtools.intel.com/browse/TSDR1282-472"/>
    <m/>
  </r>
  <r>
    <s v="x81zs_gategate04"/>
    <s v="isox81z_x81_lay"/>
    <x v="7"/>
    <x v="6"/>
    <s v="Woo Seok"/>
    <m/>
    <n v="1"/>
    <x v="19"/>
    <s v="Gate ETE PGD, 110HZ1,  gategateETE + OC1"/>
    <x v="2"/>
    <m/>
    <m/>
    <s v="Y"/>
    <s v="WW35"/>
    <s v="Aaryan"/>
    <s v="Y  "/>
    <s v="Spec"/>
    <s v="Y"/>
    <s v="Y"/>
    <m/>
    <s v="Jason"/>
    <d v="2026-07-04T00:00:00"/>
    <m/>
    <m/>
    <m/>
    <s v="https://jira.devtools.intel.com/browse/TSDR1282-472"/>
    <m/>
  </r>
  <r>
    <s v="x81zs_gategate03"/>
    <s v="isox81z_x81_lay"/>
    <x v="12"/>
    <x v="6"/>
    <s v="Woo Seok"/>
    <m/>
    <n v="1"/>
    <x v="19"/>
    <s v="Gate ETE PGD"/>
    <x v="2"/>
    <m/>
    <m/>
    <s v="Y"/>
    <s v="WW36"/>
    <s v="Aaryan"/>
    <s v="Y  "/>
    <s v="Spec"/>
    <s v="Y"/>
    <s v="N"/>
    <m/>
    <s v="Jason"/>
    <d v="2026-07-04T00:00:00"/>
    <m/>
    <m/>
    <m/>
    <s v="TSDR1282-458, TSDR1282-410, TSDR1282-449, TSDR1282-308, TSDR1282-416, TSDR1282-392"/>
    <m/>
  </r>
  <r>
    <s v="x81zs_gategate05"/>
    <s v="isox81z_x81_lay"/>
    <x v="13"/>
    <x v="6"/>
    <s v="Woo Seok"/>
    <m/>
    <n v="1"/>
    <x v="19"/>
    <s v="Gate ETE PGD"/>
    <x v="0"/>
    <m/>
    <m/>
    <s v="Y"/>
    <s v="WW36"/>
    <s v="Aaryan"/>
    <m/>
    <s v="Spec"/>
    <s v="Y"/>
    <m/>
    <m/>
    <s v="Gilad"/>
    <m/>
    <d v="2026-07-16T00:00:00"/>
    <m/>
    <m/>
    <s v="TSDR1282-453, TSDR1282-494"/>
    <s v="Pending Dispo (TG errors waived, 1 HCK error waived)"/>
  </r>
  <r>
    <s v="x81zs_gategate06"/>
    <s v="isox81z_x81_lay"/>
    <x v="13"/>
    <x v="6"/>
    <s v="Woo Seok"/>
    <m/>
    <n v="1"/>
    <x v="19"/>
    <s v="Gate ETE PGD"/>
    <x v="0"/>
    <m/>
    <m/>
    <s v="Y"/>
    <s v="WW36"/>
    <s v="Aaryan"/>
    <m/>
    <s v="Spec"/>
    <s v="Y"/>
    <m/>
    <m/>
    <s v="Gilad"/>
    <m/>
    <d v="2026-07-17T00:00:00"/>
    <m/>
    <m/>
    <s v="TSDR1282-453,  TSDR1282-494"/>
    <s v="Pending Dispo (TG errors waived, 1 HCK error waived)"/>
  </r>
  <r>
    <s v="x81zs_gategate07_b"/>
    <s v="isox81z_x81_lay"/>
    <x v="13"/>
    <x v="6"/>
    <s v="Woo Seok"/>
    <m/>
    <n v="1"/>
    <x v="19"/>
    <s v="Gate ETE PGD"/>
    <x v="0"/>
    <m/>
    <m/>
    <s v="Y"/>
    <s v="WW36"/>
    <s v="Aaryan"/>
    <m/>
    <s v="Spec"/>
    <s v="Y"/>
    <m/>
    <m/>
    <s v="Gilad"/>
    <m/>
    <d v="2026-07-17T00:00:00"/>
    <m/>
    <m/>
    <s v="TSDR1282-453,  TSDR1282-494"/>
    <s v="Pending Dispo (TG errors waived, 1 HCK error waived)"/>
  </r>
  <r>
    <s v="x81zs_gategate08"/>
    <s v="isox81z_x81_lay"/>
    <x v="13"/>
    <x v="6"/>
    <s v="Sandeep"/>
    <m/>
    <n v="0"/>
    <x v="19"/>
    <s v="Gate ETE PGD"/>
    <x v="0"/>
    <m/>
    <m/>
    <m/>
    <m/>
    <s v="Aaryan"/>
    <m/>
    <s v="Spec"/>
    <m/>
    <m/>
    <m/>
    <m/>
    <m/>
    <m/>
    <m/>
    <m/>
    <m/>
    <s v="May not need"/>
  </r>
  <r>
    <s v="x81zs_ctg01"/>
    <s v="isox81z_x81_lay"/>
    <x v="7"/>
    <x v="6"/>
    <s v="Woo Seok"/>
    <m/>
    <n v="1"/>
    <x v="19"/>
    <s v="Contact-to-Gate, SDR CGT_OGD: 2TRK, 2TRK_NoGLK, 2TRK_NoTLK, 1TRK_W/O_Links"/>
    <x v="0"/>
    <m/>
    <m/>
    <s v="Y"/>
    <s v="WW34"/>
    <s v="Aaryan"/>
    <s v="Y"/>
    <s v="Spec"/>
    <s v="Y"/>
    <s v="Y"/>
    <m/>
    <s v="Shubhajit"/>
    <d v="2026-07-15T00:00:00"/>
    <m/>
    <m/>
    <m/>
    <s v="TSDR1282-554"/>
    <m/>
  </r>
  <r>
    <s v="x81zs_ctg02"/>
    <s v="isox81z_x81_lay"/>
    <x v="7"/>
    <x v="6"/>
    <s v="Woo Seok"/>
    <m/>
    <n v="1"/>
    <x v="19"/>
    <s v="Contact-to-Gate, SDR CTG OGD - 2TRK and 1TRK long overlaps between PLY /TCN _x000a_+ Diff depop and PLY_BLK_x000a_+ 110HZ1 VCR PGD CD skews"/>
    <x v="1"/>
    <m/>
    <m/>
    <s v="Y"/>
    <s v="WW34"/>
    <s v="Aaryan"/>
    <s v="Y"/>
    <s v="Spec"/>
    <s v="Y"/>
    <s v="Y"/>
    <m/>
    <s v="Shubhajit"/>
    <d v="2026-07-22T00:00:00"/>
    <m/>
    <m/>
    <m/>
    <s v="TSDR1282-554"/>
    <m/>
  </r>
  <r>
    <s v="x81zs_ctg03"/>
    <s v="isox81z_x81_lay"/>
    <x v="7"/>
    <x v="6"/>
    <s v="Sandeep"/>
    <m/>
    <n v="0"/>
    <x v="19"/>
    <s v="Contact-to-Gate"/>
    <x v="1"/>
    <m/>
    <m/>
    <m/>
    <s v="WW34 - DBC1 (~)"/>
    <s v="Aaryan"/>
    <m/>
    <s v="Spec"/>
    <m/>
    <m/>
    <m/>
    <m/>
    <m/>
    <m/>
    <m/>
    <m/>
    <m/>
    <m/>
  </r>
  <r>
    <s v="x81zs_ctg04"/>
    <s v="isox81z_x81_lay"/>
    <x v="7"/>
    <x v="6"/>
    <s v="Woo Seok"/>
    <m/>
    <n v="1"/>
    <x v="19"/>
    <s v="Contact-to-Gate, Poly DC skew - With fixed SPCR (TCN CD skew) and Fixed TCN (The PLY/TCN SPCR change size)"/>
    <x v="1"/>
    <m/>
    <m/>
    <m/>
    <s v="WW34"/>
    <s v="Aaryan"/>
    <s v="Y"/>
    <s v="Spec"/>
    <s v="Y"/>
    <s v="Y"/>
    <m/>
    <s v="Shubhajit"/>
    <d v="2026-07-19T00:00:00"/>
    <m/>
    <m/>
    <m/>
    <s v="TSDR1282-554"/>
    <m/>
  </r>
  <r>
    <s v="x81zs_ctg05"/>
    <s v="isox81z_x81_lay"/>
    <x v="7"/>
    <x v="6"/>
    <s v="Woo Seok"/>
    <m/>
    <n v="1"/>
    <x v="19"/>
    <s v="Contact-to-Gate, VCR PGD Reg/CD skews"/>
    <x v="0"/>
    <m/>
    <m/>
    <s v="Y"/>
    <s v="WW36"/>
    <s v="Aaryan"/>
    <s v="Y  "/>
    <s v="Spec"/>
    <s v="Y"/>
    <s v="Y"/>
    <m/>
    <s v="Shubhajit"/>
    <m/>
    <m/>
    <m/>
    <m/>
    <s v="TSDR1282-554"/>
    <m/>
  </r>
  <r>
    <s v="x81zs_ctg06"/>
    <s v="isox81z_x81_lay"/>
    <x v="7"/>
    <x v="6"/>
    <s v="Woo Seok"/>
    <m/>
    <n v="1"/>
    <x v="19"/>
    <s v="Contact-to-Gate, VCR NUB - OGD CD/Rep skew"/>
    <x v="3"/>
    <m/>
    <m/>
    <s v="Y"/>
    <s v="WW36"/>
    <s v="Aaryan"/>
    <s v="Y  "/>
    <s v="Spec"/>
    <s v="Y"/>
    <s v="Y"/>
    <m/>
    <s v="Jason"/>
    <d v="2026-07-10T00:00:00"/>
    <m/>
    <m/>
    <m/>
    <s v="https://jira.devtools.intel.com/browse/TSDR1282-472"/>
    <m/>
  </r>
  <r>
    <s v="x81zs_ctg07"/>
    <s v="isox81z_x81_lay"/>
    <x v="7"/>
    <x v="6"/>
    <s v="Sandeep"/>
    <m/>
    <n v="0"/>
    <x v="19"/>
    <s v="Contact-to-Gate"/>
    <x v="1"/>
    <m/>
    <m/>
    <m/>
    <m/>
    <s v="Aaryan"/>
    <m/>
    <s v="Spec"/>
    <m/>
    <m/>
    <m/>
    <m/>
    <m/>
    <m/>
    <m/>
    <m/>
    <m/>
    <m/>
  </r>
  <r>
    <s v="x81zs_nmulti01"/>
    <m/>
    <x v="5"/>
    <x v="11"/>
    <m/>
    <m/>
    <n v="0"/>
    <x v="20"/>
    <s v="ADT, DIFF JOG"/>
    <x v="1"/>
    <m/>
    <m/>
    <m/>
    <s v="WW36"/>
    <s v="Jiun, Jaesung"/>
    <m/>
    <m/>
    <m/>
    <m/>
    <m/>
    <m/>
    <m/>
    <m/>
    <m/>
    <m/>
    <m/>
    <m/>
  </r>
  <r>
    <s v="x81zs_pmulti01"/>
    <m/>
    <x v="5"/>
    <x v="11"/>
    <m/>
    <m/>
    <n v="0"/>
    <x v="20"/>
    <s v="ADT, DIFF JOG"/>
    <x v="1"/>
    <m/>
    <m/>
    <m/>
    <s v="WW36"/>
    <s v="Jiun, Jaesung"/>
    <m/>
    <m/>
    <m/>
    <m/>
    <m/>
    <m/>
    <m/>
    <m/>
    <m/>
    <m/>
    <m/>
    <m/>
  </r>
  <r>
    <s v="x81zs_nmulti02"/>
    <m/>
    <x v="5"/>
    <x v="2"/>
    <m/>
    <m/>
    <n v="0"/>
    <x v="21"/>
    <s v="DIFF JOG, Nesting, Roosting"/>
    <x v="1"/>
    <m/>
    <m/>
    <m/>
    <s v="WW36"/>
    <s v="Jaesung"/>
    <m/>
    <m/>
    <m/>
    <m/>
    <m/>
    <s v="Jaesung"/>
    <m/>
    <m/>
    <m/>
    <m/>
    <m/>
    <m/>
  </r>
  <r>
    <s v="x81zs_pmulti02"/>
    <m/>
    <x v="5"/>
    <x v="2"/>
    <m/>
    <m/>
    <n v="0"/>
    <x v="21"/>
    <s v="DIFF JOG, Nesting, Roosting"/>
    <x v="1"/>
    <m/>
    <m/>
    <m/>
    <s v="WW36"/>
    <s v="Jaesung"/>
    <m/>
    <m/>
    <m/>
    <m/>
    <m/>
    <s v="Jaesung"/>
    <m/>
    <m/>
    <m/>
    <m/>
    <m/>
    <m/>
  </r>
  <r>
    <s v="x81zs_nmulti03"/>
    <m/>
    <x v="8"/>
    <x v="2"/>
    <m/>
    <m/>
    <n v="0"/>
    <x v="21"/>
    <s v="VT mixing, NPB"/>
    <x v="1"/>
    <m/>
    <m/>
    <m/>
    <s v="WW36"/>
    <s v="Jaesung"/>
    <m/>
    <m/>
    <m/>
    <m/>
    <m/>
    <m/>
    <m/>
    <m/>
    <m/>
    <m/>
    <m/>
    <m/>
  </r>
  <r>
    <s v="x81zs_pmulti03"/>
    <m/>
    <x v="8"/>
    <x v="2"/>
    <m/>
    <m/>
    <n v="0"/>
    <x v="21"/>
    <s v="VT mixing, NPB"/>
    <x v="1"/>
    <m/>
    <m/>
    <m/>
    <s v="WW36"/>
    <s v="Jaesung"/>
    <m/>
    <m/>
    <m/>
    <m/>
    <m/>
    <m/>
    <m/>
    <m/>
    <m/>
    <m/>
    <m/>
    <m/>
  </r>
  <r>
    <s v="x81zs_nmulti04"/>
    <m/>
    <x v="8"/>
    <x v="2"/>
    <m/>
    <m/>
    <n v="0"/>
    <x v="20"/>
    <s v="UDEG, NPB"/>
    <x v="1"/>
    <m/>
    <m/>
    <m/>
    <s v="WW36"/>
    <s v="Jaesung"/>
    <m/>
    <m/>
    <m/>
    <m/>
    <m/>
    <m/>
    <m/>
    <m/>
    <m/>
    <m/>
    <m/>
    <m/>
  </r>
  <r>
    <s v="x81zs_pmulti04"/>
    <m/>
    <x v="8"/>
    <x v="2"/>
    <m/>
    <m/>
    <n v="0"/>
    <x v="20"/>
    <s v="UDEG, NPB"/>
    <x v="1"/>
    <m/>
    <m/>
    <m/>
    <s v="WW36"/>
    <s v="Jaesung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C1585-0F9E-4FA7-AA8E-16B4AAE751D9}" name="PivotTable4" cacheId="6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22" firstHeaderRow="1" firstDataRow="2" firstDataCol="1"/>
  <pivotFields count="27">
    <pivotField showAll="0"/>
    <pivotField showAll="0"/>
    <pivotField axis="axisRow" showAll="0">
      <items count="20">
        <item sd="0" x="12"/>
        <item x="1"/>
        <item sd="0" x="6"/>
        <item sd="0" x="4"/>
        <item sd="0" m="1" x="15"/>
        <item sd="0" x="0"/>
        <item sd="0" x="11"/>
        <item sd="0" x="7"/>
        <item sd="0" x="3"/>
        <item x="8"/>
        <item sd="0" m="1" x="16"/>
        <item sd="0" x="10"/>
        <item sd="0" x="9"/>
        <item sd="0" x="5"/>
        <item sd="0" m="1" x="18"/>
        <item sd="0" m="1" x="17"/>
        <item x="2"/>
        <item x="13"/>
        <item sd="0" m="1" x="14"/>
        <item t="default" sd="0"/>
      </items>
    </pivotField>
    <pivotField axis="axisRow" showAll="0">
      <items count="13">
        <item x="4"/>
        <item x="3"/>
        <item x="0"/>
        <item x="1"/>
        <item x="9"/>
        <item x="10"/>
        <item sd="0" x="6"/>
        <item x="5"/>
        <item sd="0" x="2"/>
        <item x="8"/>
        <item x="7"/>
        <item sd="0" x="11"/>
        <item t="default"/>
      </items>
    </pivotField>
    <pivotField showAll="0"/>
    <pivotField showAll="0"/>
    <pivotField dataField="1" showAll="0"/>
    <pivotField axis="axisRow" showAll="0">
      <items count="23">
        <item x="4"/>
        <item x="18"/>
        <item x="6"/>
        <item x="5"/>
        <item x="12"/>
        <item x="19"/>
        <item x="16"/>
        <item x="17"/>
        <item x="13"/>
        <item x="11"/>
        <item x="8"/>
        <item x="2"/>
        <item x="1"/>
        <item x="10"/>
        <item x="3"/>
        <item x="14"/>
        <item x="0"/>
        <item x="9"/>
        <item x="15"/>
        <item x="7"/>
        <item x="20"/>
        <item x="21"/>
        <item t="default"/>
      </items>
    </pivotField>
    <pivotField showAll="0"/>
    <pivotField axis="axisCol" showAll="0">
      <items count="6">
        <item n="DBC1 (WW28)" x="2"/>
        <item n="DBC2 (WW29.3)" x="3"/>
        <item n="DBC3 (WW29.5)" x="0"/>
        <item n="DBC4 (WW30)" x="1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"/>
    <field x="3"/>
    <field x="7"/>
  </rowFields>
  <rowItems count="19">
    <i>
      <x/>
    </i>
    <i>
      <x v="1"/>
    </i>
    <i r="1">
      <x v="8"/>
    </i>
    <i>
      <x v="2"/>
    </i>
    <i>
      <x v="3"/>
    </i>
    <i>
      <x v="5"/>
    </i>
    <i>
      <x v="6"/>
    </i>
    <i>
      <x v="7"/>
    </i>
    <i>
      <x v="8"/>
    </i>
    <i>
      <x v="9"/>
    </i>
    <i r="1">
      <x v="8"/>
    </i>
    <i>
      <x v="11"/>
    </i>
    <i>
      <x v="12"/>
    </i>
    <i>
      <x v="13"/>
    </i>
    <i>
      <x v="16"/>
    </i>
    <i r="1">
      <x v="8"/>
    </i>
    <i>
      <x v="17"/>
    </i>
    <i r="1">
      <x v="6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Area" fld="6" baseField="0" baseItem="0"/>
  </dataFields>
  <formats count="126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9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2">
          <reference field="2" count="1" selected="0">
            <x v="0"/>
          </reference>
          <reference field="3" count="2">
            <x v="5"/>
            <x v="6"/>
          </reference>
        </references>
      </pivotArea>
    </format>
    <format dxfId="9">
      <pivotArea dataOnly="0" labelOnly="1" fieldPosition="0">
        <references count="2">
          <reference field="2" count="1" selected="0">
            <x v="1"/>
          </reference>
          <reference field="3" count="1">
            <x v="8"/>
          </reference>
        </references>
      </pivotArea>
    </format>
    <format dxfId="10">
      <pivotArea dataOnly="0" labelOnly="1" fieldPosition="0">
        <references count="2">
          <reference field="2" count="1" selected="0">
            <x v="2"/>
          </reference>
          <reference field="3" count="1">
            <x v="7"/>
          </reference>
        </references>
      </pivotArea>
    </format>
    <format dxfId="11">
      <pivotArea dataOnly="0" labelOnly="1" fieldPosition="0">
        <references count="2">
          <reference field="2" count="1" selected="0">
            <x v="3"/>
          </reference>
          <reference field="3" count="1">
            <x v="8"/>
          </reference>
        </references>
      </pivotArea>
    </format>
    <format dxfId="12">
      <pivotArea dataOnly="0" labelOnly="1" fieldPosition="0">
        <references count="2">
          <reference field="2" count="1" selected="0">
            <x v="4"/>
          </reference>
          <reference field="3" count="1">
            <x v="8"/>
          </reference>
        </references>
      </pivotArea>
    </format>
    <format dxfId="13">
      <pivotArea dataOnly="0" labelOnly="1" fieldPosition="0">
        <references count="2">
          <reference field="2" count="1" selected="0">
            <x v="5"/>
          </reference>
          <reference field="3" count="5">
            <x v="0"/>
            <x v="1"/>
            <x v="2"/>
            <x v="3"/>
            <x v="8"/>
          </reference>
        </references>
      </pivotArea>
    </format>
    <format dxfId="14">
      <pivotArea dataOnly="0" labelOnly="1" fieldPosition="0">
        <references count="2">
          <reference field="2" count="1" selected="0">
            <x v="6"/>
          </reference>
          <reference field="3" count="1">
            <x v="6"/>
          </reference>
        </references>
      </pivotArea>
    </format>
    <format dxfId="15">
      <pivotArea dataOnly="0" labelOnly="1" fieldPosition="0">
        <references count="2">
          <reference field="2" count="1" selected="0">
            <x v="7"/>
          </reference>
          <reference field="3" count="1">
            <x v="6"/>
          </reference>
        </references>
      </pivotArea>
    </format>
    <format dxfId="16">
      <pivotArea dataOnly="0" labelOnly="1" fieldPosition="0">
        <references count="2">
          <reference field="2" count="1" selected="0">
            <x v="8"/>
          </reference>
          <reference field="3" count="2">
            <x v="4"/>
            <x v="8"/>
          </reference>
        </references>
      </pivotArea>
    </format>
    <format dxfId="17">
      <pivotArea dataOnly="0" labelOnly="1" fieldPosition="0">
        <references count="2">
          <reference field="2" count="1" selected="0">
            <x v="9"/>
          </reference>
          <reference field="3" count="2">
            <x v="8"/>
            <x v="11"/>
          </reference>
        </references>
      </pivotArea>
    </format>
    <format dxfId="18">
      <pivotArea dataOnly="0" labelOnly="1" fieldPosition="0">
        <references count="2">
          <reference field="2" count="1" selected="0">
            <x v="10"/>
          </reference>
          <reference field="3" count="1">
            <x v="8"/>
          </reference>
        </references>
      </pivotArea>
    </format>
    <format dxfId="19">
      <pivotArea dataOnly="0" labelOnly="1" fieldPosition="0">
        <references count="2">
          <reference field="2" count="1" selected="0">
            <x v="11"/>
          </reference>
          <reference field="3" count="2">
            <x v="2"/>
            <x v="9"/>
          </reference>
        </references>
      </pivotArea>
    </format>
    <format dxfId="20">
      <pivotArea dataOnly="0" labelOnly="1" fieldPosition="0">
        <references count="2">
          <reference field="2" count="1" selected="0">
            <x v="12"/>
          </reference>
          <reference field="3" count="2">
            <x v="7"/>
            <x v="10"/>
          </reference>
        </references>
      </pivotArea>
    </format>
    <format dxfId="21">
      <pivotArea dataOnly="0" labelOnly="1" fieldPosition="0">
        <references count="2">
          <reference field="2" count="1" selected="0">
            <x v="13"/>
          </reference>
          <reference field="3" count="2">
            <x v="8"/>
            <x v="11"/>
          </reference>
        </references>
      </pivotArea>
    </format>
    <format dxfId="22">
      <pivotArea dataOnly="0" labelOnly="1" fieldPosition="0">
        <references count="2">
          <reference field="2" count="1" selected="0">
            <x v="14"/>
          </reference>
          <reference field="3" count="1">
            <x v="2"/>
          </reference>
        </references>
      </pivotArea>
    </format>
    <format dxfId="23">
      <pivotArea dataOnly="0" labelOnly="1" fieldPosition="0">
        <references count="2">
          <reference field="2" count="1" selected="0">
            <x v="15"/>
          </reference>
          <reference field="3" count="1">
            <x v="8"/>
          </reference>
        </references>
      </pivotArea>
    </format>
    <format dxfId="24">
      <pivotArea dataOnly="0" labelOnly="1" fieldPosition="0">
        <references count="2">
          <reference field="2" count="1" selected="0">
            <x v="16"/>
          </reference>
          <reference field="3" count="1">
            <x v="8"/>
          </reference>
        </references>
      </pivotArea>
    </format>
    <format dxfId="25">
      <pivotArea dataOnly="0" labelOnly="1" fieldPosition="0">
        <references count="2">
          <reference field="2" count="1" selected="0">
            <x v="17"/>
          </reference>
          <reference field="3" count="1">
            <x v="6"/>
          </reference>
        </references>
      </pivotArea>
    </format>
    <format dxfId="26">
      <pivotArea dataOnly="0" labelOnly="1" fieldPosition="0">
        <references count="3">
          <reference field="2" count="1" selected="0">
            <x v="0"/>
          </reference>
          <reference field="3" count="1" selected="0">
            <x v="5"/>
          </reference>
          <reference field="7" count="1">
            <x v="1"/>
          </reference>
        </references>
      </pivotArea>
    </format>
    <format dxfId="27">
      <pivotArea dataOnly="0" labelOnly="1" fieldPosition="0">
        <references count="3">
          <reference field="2" count="1" selected="0">
            <x v="0"/>
          </reference>
          <reference field="3" count="1" selected="0">
            <x v="6"/>
          </reference>
          <reference field="7" count="1">
            <x v="5"/>
          </reference>
        </references>
      </pivotArea>
    </format>
    <format dxfId="28">
      <pivotArea dataOnly="0" labelOnly="1" fieldPosition="0">
        <references count="3">
          <reference field="2" count="1" selected="0">
            <x v="1"/>
          </reference>
          <reference field="3" count="1" selected="0">
            <x v="8"/>
          </reference>
          <reference field="7" count="2">
            <x v="11"/>
            <x v="12"/>
          </reference>
        </references>
      </pivotArea>
    </format>
    <format dxfId="29">
      <pivotArea dataOnly="0" labelOnly="1" fieldPosition="0">
        <references count="3">
          <reference field="2" count="1" selected="0">
            <x v="2"/>
          </reference>
          <reference field="3" count="1" selected="0">
            <x v="7"/>
          </reference>
          <reference field="7" count="3">
            <x v="2"/>
            <x v="9"/>
            <x v="17"/>
          </reference>
        </references>
      </pivotArea>
    </format>
    <format dxfId="30">
      <pivotArea dataOnly="0" labelOnly="1" fieldPosition="0">
        <references count="3">
          <reference field="2" count="1" selected="0">
            <x v="3"/>
          </reference>
          <reference field="3" count="1" selected="0">
            <x v="8"/>
          </reference>
          <reference field="7" count="2">
            <x v="10"/>
            <x v="14"/>
          </reference>
        </references>
      </pivotArea>
    </format>
    <format dxfId="31">
      <pivotArea dataOnly="0" labelOnly="1" fieldPosition="0">
        <references count="3">
          <reference field="2" count="1" selected="0">
            <x v="4"/>
          </reference>
          <reference field="3" count="1" selected="0">
            <x v="8"/>
          </reference>
          <reference field="7" count="1">
            <x v="10"/>
          </reference>
        </references>
      </pivotArea>
    </format>
    <format dxfId="32">
      <pivotArea dataOnly="0" labelOnly="1" fieldPosition="0">
        <references count="3">
          <reference field="2" count="1" selected="0">
            <x v="5"/>
          </reference>
          <reference field="3" count="1" selected="0">
            <x v="0"/>
          </reference>
          <reference field="7" count="1">
            <x v="16"/>
          </reference>
        </references>
      </pivotArea>
    </format>
    <format dxfId="33">
      <pivotArea dataOnly="0" labelOnly="1" fieldPosition="0">
        <references count="3">
          <reference field="2" count="1" selected="0">
            <x v="5"/>
          </reference>
          <reference field="3" count="1" selected="0">
            <x v="1"/>
          </reference>
          <reference field="7" count="1">
            <x v="16"/>
          </reference>
        </references>
      </pivotArea>
    </format>
    <format dxfId="34">
      <pivotArea dataOnly="0" labelOnly="1" fieldPosition="0">
        <references count="3">
          <reference field="2" count="1" selected="0">
            <x v="5"/>
          </reference>
          <reference field="3" count="1" selected="0">
            <x v="2"/>
          </reference>
          <reference field="7" count="1">
            <x v="16"/>
          </reference>
        </references>
      </pivotArea>
    </format>
    <format dxfId="35">
      <pivotArea dataOnly="0" labelOnly="1" fieldPosition="0">
        <references count="3">
          <reference field="2" count="1" selected="0">
            <x v="5"/>
          </reference>
          <reference field="3" count="1" selected="0">
            <x v="3"/>
          </reference>
          <reference field="7" count="1">
            <x v="16"/>
          </reference>
        </references>
      </pivotArea>
    </format>
    <format dxfId="36">
      <pivotArea dataOnly="0" labelOnly="1" fieldPosition="0">
        <references count="3">
          <reference field="2" count="1" selected="0">
            <x v="5"/>
          </reference>
          <reference field="3" count="1" selected="0">
            <x v="8"/>
          </reference>
          <reference field="7" count="1">
            <x v="16"/>
          </reference>
        </references>
      </pivotArea>
    </format>
    <format dxfId="37">
      <pivotArea dataOnly="0" labelOnly="1" fieldPosition="0">
        <references count="3">
          <reference field="2" count="1" selected="0">
            <x v="6"/>
          </reference>
          <reference field="3" count="1" selected="0">
            <x v="6"/>
          </reference>
          <reference field="7" count="1">
            <x v="5"/>
          </reference>
        </references>
      </pivotArea>
    </format>
    <format dxfId="38">
      <pivotArea dataOnly="0" labelOnly="1" fieldPosition="0">
        <references count="3">
          <reference field="2" count="1" selected="0">
            <x v="7"/>
          </reference>
          <reference field="3" count="1" selected="0">
            <x v="6"/>
          </reference>
          <reference field="7" count="2">
            <x v="5"/>
            <x v="19"/>
          </reference>
        </references>
      </pivotArea>
    </format>
    <format dxfId="39">
      <pivotArea dataOnly="0" labelOnly="1" fieldPosition="0">
        <references count="3">
          <reference field="2" count="1" selected="0">
            <x v="8"/>
          </reference>
          <reference field="3" count="1" selected="0">
            <x v="4"/>
          </reference>
          <reference field="7" count="2">
            <x v="6"/>
            <x v="7"/>
          </reference>
        </references>
      </pivotArea>
    </format>
    <format dxfId="40">
      <pivotArea dataOnly="0" labelOnly="1" fieldPosition="0">
        <references count="3">
          <reference field="2" count="1" selected="0">
            <x v="8"/>
          </reference>
          <reference field="3" count="1" selected="0">
            <x v="8"/>
          </reference>
          <reference field="7" count="2">
            <x v="4"/>
            <x v="14"/>
          </reference>
        </references>
      </pivotArea>
    </format>
    <format dxfId="41">
      <pivotArea dataOnly="0" labelOnly="1" fieldPosition="0">
        <references count="3">
          <reference field="2" count="1" selected="0">
            <x v="9"/>
          </reference>
          <reference field="3" count="1" selected="0">
            <x v="8"/>
          </reference>
          <reference field="7" count="1">
            <x v="10"/>
          </reference>
        </references>
      </pivotArea>
    </format>
    <format dxfId="42">
      <pivotArea dataOnly="0" labelOnly="1" fieldPosition="0">
        <references count="3">
          <reference field="2" count="1" selected="0">
            <x v="9"/>
          </reference>
          <reference field="3" count="1" selected="0">
            <x v="11"/>
          </reference>
          <reference field="7" count="1">
            <x v="20"/>
          </reference>
        </references>
      </pivotArea>
    </format>
    <format dxfId="43">
      <pivotArea dataOnly="0" labelOnly="1" fieldPosition="0">
        <references count="3">
          <reference field="2" count="1" selected="0">
            <x v="10"/>
          </reference>
          <reference field="3" count="1" selected="0">
            <x v="8"/>
          </reference>
          <reference field="7" count="1">
            <x v="10"/>
          </reference>
        </references>
      </pivotArea>
    </format>
    <format dxfId="44">
      <pivotArea dataOnly="0" labelOnly="1" fieldPosition="0">
        <references count="3">
          <reference field="2" count="1" selected="0">
            <x v="11"/>
          </reference>
          <reference field="3" count="1" selected="0">
            <x v="2"/>
          </reference>
          <reference field="7" count="1">
            <x v="15"/>
          </reference>
        </references>
      </pivotArea>
    </format>
    <format dxfId="45">
      <pivotArea dataOnly="0" labelOnly="1" fieldPosition="0">
        <references count="3">
          <reference field="2" count="1" selected="0">
            <x v="11"/>
          </reference>
          <reference field="3" count="1" selected="0">
            <x v="9"/>
          </reference>
          <reference field="7" count="1">
            <x v="18"/>
          </reference>
        </references>
      </pivotArea>
    </format>
    <format dxfId="46">
      <pivotArea dataOnly="0" labelOnly="1" fieldPosition="0">
        <references count="3">
          <reference field="2" count="1" selected="0">
            <x v="12"/>
          </reference>
          <reference field="3" count="1" selected="0">
            <x v="7"/>
          </reference>
          <reference field="7" count="2">
            <x v="9"/>
            <x v="13"/>
          </reference>
        </references>
      </pivotArea>
    </format>
    <format dxfId="47">
      <pivotArea dataOnly="0" labelOnly="1" fieldPosition="0">
        <references count="3">
          <reference field="2" count="1" selected="0">
            <x v="12"/>
          </reference>
          <reference field="3" count="1" selected="0">
            <x v="10"/>
          </reference>
          <reference field="7" count="1">
            <x v="8"/>
          </reference>
        </references>
      </pivotArea>
    </format>
    <format dxfId="48">
      <pivotArea dataOnly="0" labelOnly="1" fieldPosition="0">
        <references count="3">
          <reference field="2" count="1" selected="0">
            <x v="13"/>
          </reference>
          <reference field="3" count="1" selected="0">
            <x v="8"/>
          </reference>
          <reference field="7" count="3">
            <x v="0"/>
            <x v="3"/>
            <x v="10"/>
          </reference>
        </references>
      </pivotArea>
    </format>
    <format dxfId="49">
      <pivotArea dataOnly="0" labelOnly="1" fieldPosition="0">
        <references count="3">
          <reference field="2" count="1" selected="0">
            <x v="13"/>
          </reference>
          <reference field="3" count="1" selected="0">
            <x v="11"/>
          </reference>
          <reference field="7" count="1">
            <x v="20"/>
          </reference>
        </references>
      </pivotArea>
    </format>
    <format dxfId="50">
      <pivotArea dataOnly="0" labelOnly="1" fieldPosition="0">
        <references count="3">
          <reference field="2" count="1" selected="0">
            <x v="14"/>
          </reference>
          <reference field="3" count="1" selected="0">
            <x v="2"/>
          </reference>
          <reference field="7" count="1">
            <x v="15"/>
          </reference>
        </references>
      </pivotArea>
    </format>
    <format dxfId="51">
      <pivotArea dataOnly="0" labelOnly="1" fieldPosition="0">
        <references count="3">
          <reference field="2" count="1" selected="0">
            <x v="15"/>
          </reference>
          <reference field="3" count="1" selected="0">
            <x v="8"/>
          </reference>
          <reference field="7" count="1">
            <x v="10"/>
          </reference>
        </references>
      </pivotArea>
    </format>
    <format dxfId="52">
      <pivotArea dataOnly="0" labelOnly="1" fieldPosition="0">
        <references count="3">
          <reference field="2" count="1" selected="0">
            <x v="16"/>
          </reference>
          <reference field="3" count="1" selected="0">
            <x v="8"/>
          </reference>
          <reference field="7" count="2">
            <x v="11"/>
            <x v="12"/>
          </reference>
        </references>
      </pivotArea>
    </format>
    <format dxfId="53">
      <pivotArea dataOnly="0" labelOnly="1" fieldPosition="0">
        <references count="3">
          <reference field="2" count="1" selected="0">
            <x v="17"/>
          </reference>
          <reference field="3" count="1" selected="0">
            <x v="6"/>
          </reference>
          <reference field="7" count="1">
            <x v="5"/>
          </reference>
        </references>
      </pivotArea>
    </format>
    <format dxfId="54">
      <pivotArea dataOnly="0" labelOnly="1" fieldPosition="0">
        <references count="1">
          <reference field="9" count="0"/>
        </references>
      </pivotArea>
    </format>
    <format dxfId="55">
      <pivotArea dataOnly="0" labelOnly="1" grandCol="1" outline="0" fieldPosition="0"/>
    </format>
    <format dxfId="56">
      <pivotArea dataOnly="0" labelOnly="1" fieldPosition="0">
        <references count="1">
          <reference field="9" count="1">
            <x v="0"/>
          </reference>
        </references>
      </pivotArea>
    </format>
    <format dxfId="57">
      <pivotArea collapsedLevelsAreSubtotals="1" fieldPosition="0">
        <references count="2">
          <reference field="2" count="1">
            <x v="1"/>
          </reference>
          <reference field="9" count="1" selected="0">
            <x v="1"/>
          </reference>
        </references>
      </pivotArea>
    </format>
    <format dxfId="58">
      <pivotArea collapsedLevelsAreSubtotals="1" fieldPosition="0">
        <references count="2">
          <reference field="2" count="1">
            <x v="1"/>
          </reference>
          <reference field="9" count="1" selected="0">
            <x v="1"/>
          </reference>
        </references>
      </pivotArea>
    </format>
    <format dxfId="59">
      <pivotArea collapsedLevelsAreSubtotals="1" fieldPosition="0">
        <references count="2">
          <reference field="2" count="1">
            <x v="9"/>
          </reference>
          <reference field="9" count="1" selected="0">
            <x v="1"/>
          </reference>
        </references>
      </pivotArea>
    </format>
    <format dxfId="60">
      <pivotArea collapsedLevelsAreSubtotals="1" fieldPosition="0">
        <references count="2">
          <reference field="2" count="1">
            <x v="9"/>
          </reference>
          <reference field="9" count="1" selected="0">
            <x v="1"/>
          </reference>
        </references>
      </pivotArea>
    </format>
    <format dxfId="61">
      <pivotArea collapsedLevelsAreSubtotals="1" fieldPosition="0">
        <references count="2">
          <reference field="2" count="1">
            <x v="16"/>
          </reference>
          <reference field="9" count="1" selected="0">
            <x v="1"/>
          </reference>
        </references>
      </pivotArea>
    </format>
    <format dxfId="62">
      <pivotArea collapsedLevelsAreSubtotals="1" fieldPosition="0">
        <references count="2">
          <reference field="2" count="1">
            <x v="16"/>
          </reference>
          <reference field="9" count="1" selected="0">
            <x v="1"/>
          </reference>
        </references>
      </pivotArea>
    </format>
    <format dxfId="63">
      <pivotArea collapsedLevelsAreSubtotals="1" fieldPosition="0">
        <references count="2">
          <reference field="2" count="1">
            <x v="13"/>
          </reference>
          <reference field="9" count="1" selected="0">
            <x v="1"/>
          </reference>
        </references>
      </pivotArea>
    </format>
    <format dxfId="64">
      <pivotArea collapsedLevelsAreSubtotals="1" fieldPosition="0">
        <references count="2">
          <reference field="2" count="1">
            <x v="13"/>
          </reference>
          <reference field="9" count="1" selected="0">
            <x v="1"/>
          </reference>
        </references>
      </pivotArea>
    </format>
    <format dxfId="65">
      <pivotArea collapsedLevelsAreSubtotals="1" fieldPosition="0">
        <references count="2">
          <reference field="2" count="1">
            <x v="7"/>
          </reference>
          <reference field="9" count="1" selected="0">
            <x v="1"/>
          </reference>
        </references>
      </pivotArea>
    </format>
    <format dxfId="66">
      <pivotArea collapsedLevelsAreSubtotals="1" fieldPosition="0">
        <references count="2">
          <reference field="2" count="1">
            <x v="7"/>
          </reference>
          <reference field="9" count="1" selected="0">
            <x v="1"/>
          </reference>
        </references>
      </pivotArea>
    </format>
    <format dxfId="67">
      <pivotArea collapsedLevelsAreSubtotals="1" fieldPosition="0">
        <references count="2">
          <reference field="2" count="1">
            <x v="17"/>
          </reference>
          <reference field="9" count="1" selected="0">
            <x v="1"/>
          </reference>
        </references>
      </pivotArea>
    </format>
    <format dxfId="68">
      <pivotArea collapsedLevelsAreSubtotals="1" fieldPosition="0">
        <references count="2">
          <reference field="2" count="1">
            <x v="11"/>
          </reference>
          <reference field="9" count="1" selected="0">
            <x v="1"/>
          </reference>
        </references>
      </pivotArea>
    </format>
    <format dxfId="69">
      <pivotArea collapsedLevelsAreSubtotals="1" fieldPosition="0">
        <references count="2">
          <reference field="2" count="1">
            <x v="11"/>
          </reference>
          <reference field="9" count="1" selected="0">
            <x v="1"/>
          </reference>
        </references>
      </pivotArea>
    </format>
    <format dxfId="70">
      <pivotArea collapsedLevelsAreSubtotals="1" fieldPosition="0">
        <references count="2">
          <reference field="2" count="1">
            <x v="1"/>
          </reference>
          <reference field="9" count="1" selected="0">
            <x v="1"/>
          </reference>
        </references>
      </pivotArea>
    </format>
    <format dxfId="71">
      <pivotArea collapsedLevelsAreSubtotals="1" fieldPosition="0">
        <references count="2">
          <reference field="2" count="1">
            <x v="2"/>
          </reference>
          <reference field="9" count="1" selected="0">
            <x v="1"/>
          </reference>
        </references>
      </pivotArea>
    </format>
    <format dxfId="72">
      <pivotArea collapsedLevelsAreSubtotals="1" fieldPosition="0">
        <references count="2">
          <reference field="2" count="1">
            <x v="3"/>
          </reference>
          <reference field="9" count="1" selected="0">
            <x v="1"/>
          </reference>
        </references>
      </pivotArea>
    </format>
    <format dxfId="73">
      <pivotArea collapsedLevelsAreSubtotals="1" fieldPosition="0">
        <references count="2">
          <reference field="2" count="1">
            <x v="5"/>
          </reference>
          <reference field="9" count="1" selected="0">
            <x v="1"/>
          </reference>
        </references>
      </pivotArea>
    </format>
    <format dxfId="74">
      <pivotArea collapsedLevelsAreSubtotals="1" fieldPosition="0">
        <references count="2">
          <reference field="2" count="1">
            <x v="6"/>
          </reference>
          <reference field="9" count="1" selected="0">
            <x v="1"/>
          </reference>
        </references>
      </pivotArea>
    </format>
    <format dxfId="75">
      <pivotArea collapsedLevelsAreSubtotals="1" fieldPosition="0">
        <references count="2">
          <reference field="2" count="1">
            <x v="7"/>
          </reference>
          <reference field="9" count="1" selected="0">
            <x v="1"/>
          </reference>
        </references>
      </pivotArea>
    </format>
    <format dxfId="76">
      <pivotArea collapsedLevelsAreSubtotals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77">
      <pivotArea collapsedLevelsAreSubtotals="1" fieldPosition="0">
        <references count="2">
          <reference field="2" count="1">
            <x v="9"/>
          </reference>
          <reference field="9" count="1" selected="0">
            <x v="1"/>
          </reference>
        </references>
      </pivotArea>
    </format>
    <format dxfId="78">
      <pivotArea collapsedLevelsAreSubtotals="1" fieldPosition="0">
        <references count="2">
          <reference field="2" count="1">
            <x v="11"/>
          </reference>
          <reference field="9" count="1" selected="0">
            <x v="1"/>
          </reference>
        </references>
      </pivotArea>
    </format>
    <format dxfId="79">
      <pivotArea collapsedLevelsAreSubtotals="1" fieldPosition="0">
        <references count="2">
          <reference field="2" count="1">
            <x v="12"/>
          </reference>
          <reference field="9" count="1" selected="0">
            <x v="1"/>
          </reference>
        </references>
      </pivotArea>
    </format>
    <format dxfId="80">
      <pivotArea collapsedLevelsAreSubtotals="1" fieldPosition="0">
        <references count="2">
          <reference field="2" count="1">
            <x v="13"/>
          </reference>
          <reference field="9" count="1" selected="0">
            <x v="1"/>
          </reference>
        </references>
      </pivotArea>
    </format>
    <format dxfId="81">
      <pivotArea collapsedLevelsAreSubtotals="1" fieldPosition="0">
        <references count="2">
          <reference field="2" count="1">
            <x v="16"/>
          </reference>
          <reference field="9" count="1" selected="0">
            <x v="1"/>
          </reference>
        </references>
      </pivotArea>
    </format>
    <format dxfId="82">
      <pivotArea collapsedLevelsAreSubtotals="1" fieldPosition="0">
        <references count="2">
          <reference field="2" count="1">
            <x v="17"/>
          </reference>
          <reference field="9" count="1" selected="0">
            <x v="1"/>
          </reference>
        </references>
      </pivotArea>
    </format>
    <format dxfId="83">
      <pivotArea collapsedLevelsAreSubtotals="1" fieldPosition="0">
        <references count="2">
          <reference field="2" count="1">
            <x v="1"/>
          </reference>
          <reference field="9" count="1" selected="0">
            <x v="1"/>
          </reference>
        </references>
      </pivotArea>
    </format>
    <format dxfId="84">
      <pivotArea collapsedLevelsAreSubtotals="1" fieldPosition="0">
        <references count="2">
          <reference field="2" count="1">
            <x v="2"/>
          </reference>
          <reference field="9" count="1" selected="0">
            <x v="1"/>
          </reference>
        </references>
      </pivotArea>
    </format>
    <format dxfId="85">
      <pivotArea collapsedLevelsAreSubtotals="1" fieldPosition="0">
        <references count="2">
          <reference field="2" count="1">
            <x v="3"/>
          </reference>
          <reference field="9" count="1" selected="0">
            <x v="1"/>
          </reference>
        </references>
      </pivotArea>
    </format>
    <format dxfId="86">
      <pivotArea collapsedLevelsAreSubtotals="1" fieldPosition="0">
        <references count="2">
          <reference field="2" count="1">
            <x v="5"/>
          </reference>
          <reference field="9" count="1" selected="0">
            <x v="1"/>
          </reference>
        </references>
      </pivotArea>
    </format>
    <format dxfId="87">
      <pivotArea collapsedLevelsAreSubtotals="1" fieldPosition="0">
        <references count="2">
          <reference field="2" count="1">
            <x v="6"/>
          </reference>
          <reference field="9" count="1" selected="0">
            <x v="1"/>
          </reference>
        </references>
      </pivotArea>
    </format>
    <format dxfId="88">
      <pivotArea collapsedLevelsAreSubtotals="1" fieldPosition="0">
        <references count="2">
          <reference field="2" count="1">
            <x v="7"/>
          </reference>
          <reference field="9" count="1" selected="0">
            <x v="1"/>
          </reference>
        </references>
      </pivotArea>
    </format>
    <format dxfId="89">
      <pivotArea collapsedLevelsAreSubtotals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90">
      <pivotArea collapsedLevelsAreSubtotals="1" fieldPosition="0">
        <references count="2">
          <reference field="2" count="1">
            <x v="9"/>
          </reference>
          <reference field="9" count="1" selected="0">
            <x v="1"/>
          </reference>
        </references>
      </pivotArea>
    </format>
    <format dxfId="91">
      <pivotArea collapsedLevelsAreSubtotals="1" fieldPosition="0">
        <references count="2">
          <reference field="2" count="1">
            <x v="11"/>
          </reference>
          <reference field="9" count="1" selected="0">
            <x v="1"/>
          </reference>
        </references>
      </pivotArea>
    </format>
    <format dxfId="92">
      <pivotArea collapsedLevelsAreSubtotals="1" fieldPosition="0">
        <references count="2">
          <reference field="2" count="1">
            <x v="12"/>
          </reference>
          <reference field="9" count="1" selected="0">
            <x v="1"/>
          </reference>
        </references>
      </pivotArea>
    </format>
    <format dxfId="93">
      <pivotArea collapsedLevelsAreSubtotals="1" fieldPosition="0">
        <references count="2">
          <reference field="2" count="1">
            <x v="13"/>
          </reference>
          <reference field="9" count="1" selected="0">
            <x v="1"/>
          </reference>
        </references>
      </pivotArea>
    </format>
    <format dxfId="94">
      <pivotArea collapsedLevelsAreSubtotals="1" fieldPosition="0">
        <references count="2">
          <reference field="2" count="1">
            <x v="16"/>
          </reference>
          <reference field="9" count="1" selected="0">
            <x v="1"/>
          </reference>
        </references>
      </pivotArea>
    </format>
    <format dxfId="95">
      <pivotArea collapsedLevelsAreSubtotals="1" fieldPosition="0">
        <references count="2">
          <reference field="2" count="1">
            <x v="17"/>
          </reference>
          <reference field="9" count="1" selected="0">
            <x v="1"/>
          </reference>
        </references>
      </pivotArea>
    </format>
    <format dxfId="96">
      <pivotArea collapsedLevelsAreSubtotals="1" fieldPosition="0">
        <references count="2">
          <reference field="2" count="1">
            <x v="18"/>
          </reference>
          <reference field="9" count="1" selected="0">
            <x v="1"/>
          </reference>
        </references>
      </pivotArea>
    </format>
    <format dxfId="97">
      <pivotArea collapsedLevelsAreSubtotals="1" fieldPosition="0">
        <references count="2">
          <reference field="2" count="1">
            <x v="0"/>
          </reference>
          <reference field="9" count="1" selected="0">
            <x v="2"/>
          </reference>
        </references>
      </pivotArea>
    </format>
    <format dxfId="98">
      <pivotArea collapsedLevelsAreSubtotals="1" fieldPosition="0">
        <references count="2">
          <reference field="2" count="1">
            <x v="1"/>
          </reference>
          <reference field="9" count="1" selected="0">
            <x v="2"/>
          </reference>
        </references>
      </pivotArea>
    </format>
    <format dxfId="99">
      <pivotArea collapsedLevelsAreSubtotals="1" fieldPosition="0">
        <references count="2">
          <reference field="2" count="1">
            <x v="2"/>
          </reference>
          <reference field="9" count="1" selected="0">
            <x v="2"/>
          </reference>
        </references>
      </pivotArea>
    </format>
    <format dxfId="100">
      <pivotArea collapsedLevelsAreSubtotals="1" fieldPosition="0">
        <references count="2">
          <reference field="2" count="1">
            <x v="3"/>
          </reference>
          <reference field="9" count="1" selected="0">
            <x v="2"/>
          </reference>
        </references>
      </pivotArea>
    </format>
    <format dxfId="101">
      <pivotArea collapsedLevelsAreSubtotals="1" fieldPosition="0">
        <references count="2">
          <reference field="2" count="1">
            <x v="7"/>
          </reference>
          <reference field="9" count="1" selected="0">
            <x v="2"/>
          </reference>
        </references>
      </pivotArea>
    </format>
    <format dxfId="102">
      <pivotArea collapsedLevelsAreSubtotals="1" fieldPosition="0">
        <references count="2">
          <reference field="2" count="1">
            <x v="8"/>
          </reference>
          <reference field="9" count="1" selected="0">
            <x v="2"/>
          </reference>
        </references>
      </pivotArea>
    </format>
    <format dxfId="103">
      <pivotArea collapsedLevelsAreSubtotals="1" fieldPosition="0">
        <references count="2">
          <reference field="2" count="1">
            <x v="9"/>
          </reference>
          <reference field="9" count="1" selected="0">
            <x v="2"/>
          </reference>
        </references>
      </pivotArea>
    </format>
    <format dxfId="104">
      <pivotArea collapsedLevelsAreSubtotals="1" fieldPosition="0">
        <references count="2">
          <reference field="2" count="1">
            <x v="11"/>
          </reference>
          <reference field="9" count="1" selected="0">
            <x v="2"/>
          </reference>
        </references>
      </pivotArea>
    </format>
    <format dxfId="105">
      <pivotArea collapsedLevelsAreSubtotals="1" fieldPosition="0">
        <references count="2">
          <reference field="2" count="1">
            <x v="12"/>
          </reference>
          <reference field="9" count="1" selected="0">
            <x v="2"/>
          </reference>
        </references>
      </pivotArea>
    </format>
    <format dxfId="106">
      <pivotArea collapsedLevelsAreSubtotals="1" fieldPosition="0">
        <references count="2">
          <reference field="2" count="1">
            <x v="13"/>
          </reference>
          <reference field="9" count="1" selected="0">
            <x v="2"/>
          </reference>
        </references>
      </pivotArea>
    </format>
    <format dxfId="107">
      <pivotArea collapsedLevelsAreSubtotals="1" fieldPosition="0">
        <references count="2">
          <reference field="2" count="1">
            <x v="16"/>
          </reference>
          <reference field="9" count="1" selected="0">
            <x v="2"/>
          </reference>
        </references>
      </pivotArea>
    </format>
    <format dxfId="108">
      <pivotArea collapsedLevelsAreSubtotals="1" fieldPosition="0">
        <references count="2">
          <reference field="2" count="1">
            <x v="17"/>
          </reference>
          <reference field="9" count="1" selected="0">
            <x v="2"/>
          </reference>
        </references>
      </pivotArea>
    </format>
    <format dxfId="109">
      <pivotArea collapsedLevelsAreSubtotals="1" fieldPosition="0">
        <references count="2">
          <reference field="2" count="1">
            <x v="5"/>
          </reference>
          <reference field="9" count="2" selected="0">
            <x v="2"/>
            <x v="3"/>
          </reference>
        </references>
      </pivotArea>
    </format>
    <format dxfId="110">
      <pivotArea collapsedLevelsAreSubtotals="1" fieldPosition="0">
        <references count="2">
          <reference field="2" count="1">
            <x v="0"/>
          </reference>
          <reference field="9" count="1" selected="0">
            <x v="3"/>
          </reference>
        </references>
      </pivotArea>
    </format>
    <format dxfId="111">
      <pivotArea collapsedLevelsAreSubtotals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112">
      <pivotArea collapsedLevelsAreSubtotals="1" fieldPosition="0">
        <references count="2">
          <reference field="2" count="1">
            <x v="2"/>
          </reference>
          <reference field="9" count="1" selected="0">
            <x v="3"/>
          </reference>
        </references>
      </pivotArea>
    </format>
    <format dxfId="113">
      <pivotArea collapsedLevelsAreSubtotals="1" fieldPosition="0">
        <references count="2">
          <reference field="2" count="1">
            <x v="3"/>
          </reference>
          <reference field="9" count="1" selected="0">
            <x v="3"/>
          </reference>
        </references>
      </pivotArea>
    </format>
    <format dxfId="114">
      <pivotArea collapsedLevelsAreSubtotals="1" fieldPosition="0">
        <references count="2">
          <reference field="2" count="1">
            <x v="5"/>
          </reference>
          <reference field="9" count="1" selected="0">
            <x v="3"/>
          </reference>
        </references>
      </pivotArea>
    </format>
    <format dxfId="115">
      <pivotArea collapsedLevelsAreSubtotals="1" fieldPosition="0">
        <references count="2">
          <reference field="2" count="1">
            <x v="6"/>
          </reference>
          <reference field="9" count="1" selected="0">
            <x v="3"/>
          </reference>
        </references>
      </pivotArea>
    </format>
    <format dxfId="116">
      <pivotArea collapsedLevelsAreSubtotals="1" fieldPosition="0">
        <references count="2">
          <reference field="2" count="1">
            <x v="7"/>
          </reference>
          <reference field="9" count="1" selected="0">
            <x v="3"/>
          </reference>
        </references>
      </pivotArea>
    </format>
    <format dxfId="117">
      <pivotArea collapsedLevelsAreSubtotals="1" fieldPosition="0">
        <references count="2">
          <reference field="2" count="1">
            <x v="8"/>
          </reference>
          <reference field="9" count="1" selected="0">
            <x v="3"/>
          </reference>
        </references>
      </pivotArea>
    </format>
    <format dxfId="118">
      <pivotArea collapsedLevelsAreSubtotals="1" fieldPosition="0">
        <references count="2">
          <reference field="2" count="1">
            <x v="9"/>
          </reference>
          <reference field="9" count="1" selected="0">
            <x v="3"/>
          </reference>
        </references>
      </pivotArea>
    </format>
    <format dxfId="119">
      <pivotArea collapsedLevelsAreSubtotals="1" fieldPosition="0">
        <references count="2">
          <reference field="2" count="1">
            <x v="11"/>
          </reference>
          <reference field="9" count="1" selected="0">
            <x v="3"/>
          </reference>
        </references>
      </pivotArea>
    </format>
    <format dxfId="120">
      <pivotArea collapsedLevelsAreSubtotals="1" fieldPosition="0">
        <references count="2">
          <reference field="2" count="1">
            <x v="12"/>
          </reference>
          <reference field="9" count="1" selected="0">
            <x v="3"/>
          </reference>
        </references>
      </pivotArea>
    </format>
    <format dxfId="121">
      <pivotArea collapsedLevelsAreSubtotals="1" fieldPosition="0">
        <references count="2">
          <reference field="2" count="1">
            <x v="13"/>
          </reference>
          <reference field="9" count="1" selected="0">
            <x v="3"/>
          </reference>
        </references>
      </pivotArea>
    </format>
    <format dxfId="122">
      <pivotArea collapsedLevelsAreSubtotals="1" fieldPosition="0">
        <references count="2">
          <reference field="2" count="1">
            <x v="16"/>
          </reference>
          <reference field="9" count="1" selected="0">
            <x v="3"/>
          </reference>
        </references>
      </pivotArea>
    </format>
    <format dxfId="123">
      <pivotArea collapsedLevelsAreSubtotals="1" fieldPosition="0">
        <references count="2">
          <reference field="2" count="1">
            <x v="17"/>
          </reference>
          <reference field="9" count="1" selected="0">
            <x v="3"/>
          </reference>
        </references>
      </pivotArea>
    </format>
    <format dxfId="124">
      <pivotArea collapsedLevelsAreSubtotals="1" fieldPosition="0">
        <references count="2">
          <reference field="2" count="1">
            <x v="5"/>
          </reference>
          <reference field="9" count="1" selected="0">
            <x v="2"/>
          </reference>
        </references>
      </pivotArea>
    </format>
    <format dxfId="125">
      <pivotArea field="9" grandRow="1" outline="0" collapsedLevelsAreSubtotals="1" axis="axisCol" fieldPosition="0">
        <references count="1">
          <reference field="9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3" dT="2026-08-05T16:27:00.03" personId="{387BBE96-2BA4-408B-B52C-2F00EED25525}" id="{C1CC917E-412A-43B8-9277-C15866667885}">
    <text>Well / GLK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l.sharepoint.com/:p:/r/sites/p1281device/Shared%20Documents/Testchip/0_X81Z/8_Catalog/X81Z_TC_ROSPFT_catalog.pptx?d=w72c6aba483e54d618d7e64afc9907359&amp;csf=1&amp;web=1&amp;e=wBgaET" TargetMode="External"/><Relationship Id="rId13" Type="http://schemas.openxmlformats.org/officeDocument/2006/relationships/hyperlink" Target="https://intel.sharepoint.com/:p:/r/sites/p1281device/Shared%20Documents/Testchip/0_X81Z/8_Catalog/1281-TC_X81Z_MOS_PFT_PW_Catalog_v1.pptx?d=wa75370ea9a8042b4bcdefea0b3c8ef41&amp;csf=1&amp;web=1&amp;e=vvxRZX&amp;nav=eyJzSWQiOjE1ODQsImNJZCI6ODIwMTg1MzgzfQ" TargetMode="External"/><Relationship Id="rId18" Type="http://schemas.openxmlformats.org/officeDocument/2006/relationships/hyperlink" Target="https://intel.sharepoint.com/:p:/r/sites/p1281device/Shared%20Documents/Testchip/0_X81Z/8_Catalog/P1281_X81Z_MOL_Contact_Catalogue.pptx?d=w80104aa052894ce4a4bd544a85a69b42&amp;csf=1&amp;web=1&amp;e=7890Pt" TargetMode="External"/><Relationship Id="rId3" Type="http://schemas.openxmlformats.org/officeDocument/2006/relationships/hyperlink" Target="https://intel.sharepoint.com/:p:/r/sites/p1281device/Shared%20Documents/Testchip/0_X81Z/8_Catalog/1281-TC_X81Z_Golden-PFT_MAT_GNAC_26ww32.5_v2_catalog.pptx?d=w6337101e00354944b7191754ebfade54&amp;csf=1&amp;web=1&amp;e=iNfscf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intel.sharepoint.com/:p:/r/sites/p1281device/Shared%20Documents/Testchip/0_X81Z/8_Catalog/P1281_X81Z_LLE_Catalogue_26WW33.pptx?d=w1cd80fc49c4142948a98ed1e24dc713e&amp;csf=1&amp;web=1&amp;e=GgmNHo" TargetMode="External"/><Relationship Id="rId12" Type="http://schemas.openxmlformats.org/officeDocument/2006/relationships/hyperlink" Target="https://intel.sharepoint.com/:p:/r/sites/p1281device/Shared%20Documents/Testchip/0_X81Z/8_Catalog/1281-TC_X81Z_Golden-PFT_MAT_GNAC_26ww32.5_v2_catalog.pptx?d=w6337101e00354944b7191754ebfade54&amp;csf=1&amp;web=1&amp;e=iNfscf" TargetMode="External"/><Relationship Id="rId17" Type="http://schemas.openxmlformats.org/officeDocument/2006/relationships/hyperlink" Target="https://intel.sharepoint.com/:p:/r/sites/p1281device/Shared%20Documents/Testchip/0_X81Z/8_Catalog/P1281_X81Z_MOL_Contact_Catalogue.pptx?d=w80104aa052894ce4a4bd544a85a69b42&amp;csf=1&amp;web=1&amp;e=7890Pt" TargetMode="External"/><Relationship Id="rId2" Type="http://schemas.openxmlformats.org/officeDocument/2006/relationships/hyperlink" Target="../../../../../../:f:/r/sites/p1281device/Shared%20Documents/Testchip/0_X81Z/8_Catalog?d=wde0a933290d84e8491712eb709eb9b27&amp;csf=1&amp;web=1&amp;e=yABdz8" TargetMode="External"/><Relationship Id="rId16" Type="http://schemas.openxmlformats.org/officeDocument/2006/relationships/hyperlink" Target="https://intel.sharepoint.com/:p:/r/sites/p1281device/Shared%20Documents/Testchip/0_X81Z/8_Catalog/P1281_X81Z_MOL_Contact_Catalogue.pptx?d=w80104aa052894ce4a4bd544a85a69b42&amp;csf=1&amp;web=1&amp;e=7890Pt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intel-my.sharepoint.com/:x:/r/personal/aaryan_oberoi_intel_com/Documents/1281/x81Z-A%20ISO-FE%20Content%20Revised.xlsb?d=wd69b3d3441ff4b2aba7ecb0a1ca24715&amp;csf=1&amp;web=1&amp;e=fMZYJX" TargetMode="External"/><Relationship Id="rId6" Type="http://schemas.openxmlformats.org/officeDocument/2006/relationships/hyperlink" Target="https://intel.sharepoint.com/:p:/r/sites/p1281device/Shared%20Documents/Testchip/0_X81Z/8_Catalog/1281-TC_X81Z_LLE%20MLR_26WW33.5_Catalog.pptx?d=w7c113bf732744653a253d7ebe97477ee&amp;csf=1&amp;web=1&amp;e=9KdjPj" TargetMode="External"/><Relationship Id="rId11" Type="http://schemas.openxmlformats.org/officeDocument/2006/relationships/hyperlink" Target="https://intel.sharepoint.com/:p:/r/sites/p1281device/Shared%20Documents/Testchip/0_X81Z/8_Catalog/X81Z%20PFT%20PW%20skew%20catalog%20-%20Han.pptx?d=w39fcfa9370f748a6b0e172060e5cd507&amp;csf=1&amp;web=1&amp;e=9opKDl" TargetMode="External"/><Relationship Id="rId5" Type="http://schemas.openxmlformats.org/officeDocument/2006/relationships/hyperlink" Target="https://intel.sharepoint.com/:p:/r/sites/p1281device/Shared%20Documents/Testchip/0_X81Z/8_Catalog/1281-TC_X81Z_PW%20MLR_26WW33.5_Catalog.pptx?d=w7f094b9b05aa464a8957fe0665089b2c&amp;csf=1&amp;web=1&amp;e=SccrYF" TargetMode="External"/><Relationship Id="rId15" Type="http://schemas.openxmlformats.org/officeDocument/2006/relationships/hyperlink" Target="https://intel.sharepoint.com/:p:/r/sites/p1281device/Shared%20Documents/Testchip/0_X81Z/1_Content%20Alignment/Center-point%20MLR/X81Z_Miller_Catalouge.pptx?d=w8bb57904fb4a4e6c9d97302794ebe43e&amp;csf=1&amp;web=1&amp;e=ELNMbp" TargetMode="External"/><Relationship Id="rId10" Type="http://schemas.openxmlformats.org/officeDocument/2006/relationships/hyperlink" Target="https://intel.sharepoint.com/:p:/r/sites/p1281device/Shared%20Documents/Testchip/0_X81Z/8_Catalog/1281-TC_X81Z_ADT_Catalog_26WW33.pptx?d=wd8c3a894e26e45758fc13b11bb3b48a2&amp;csf=1&amp;web=1&amp;e=0wKwYA" TargetMode="External"/><Relationship Id="rId19" Type="http://schemas.openxmlformats.org/officeDocument/2006/relationships/hyperlink" Target="https://intel.sharepoint.com/:p:/r/sites/p1281device/Shared%20Documents/Testchip/0_X81Z/8_Catalog/P1281_X81Z_MOL_Contact_Catalogue.pptx?d=w80104aa052894ce4a4bd544a85a69b42&amp;csf=1&amp;web=1&amp;e=7890Pt" TargetMode="External"/><Relationship Id="rId4" Type="http://schemas.openxmlformats.org/officeDocument/2006/relationships/hyperlink" Target="https://intel.sharepoint.com/:p:/r/sites/p1281device/Shared%20Documents/Testchip/0_X81Z/8_Catalog/1281-TC_X81Z_Golden-PFT_MAT_GNAC_26ww32.5_v2_catalog.pptx?d=w6337101e00354944b7191754ebfade54&amp;csf=1&amp;web=1&amp;e=iNfscf" TargetMode="External"/><Relationship Id="rId9" Type="http://schemas.openxmlformats.org/officeDocument/2006/relationships/hyperlink" Target="../8_Catalog/X81Z_Etest_Memory_Catalog_26WW33.pptx" TargetMode="External"/><Relationship Id="rId14" Type="http://schemas.openxmlformats.org/officeDocument/2006/relationships/hyperlink" Target="https://intel.sharepoint.com/:p:/r/sites/p1281device/Shared%20Documents/Testchip/0_X81Z/1_Content%20Alignment/Center-point%20MLR/X81Z_Miller_Catalouge.pptx?d=w8bb57904fb4a4e6c9d97302794ebe43e&amp;csf=1&amp;web=1&amp;e=ELNMbp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/3_LLE/X81A_LLE_Content_WIP.xlsx?web=1" TargetMode="External"/><Relationship Id="rId21" Type="http://schemas.openxmlformats.org/officeDocument/2006/relationships/hyperlink" Target="../3_LLE/X81A_LLE_Content_WIP.xlsx?web=1" TargetMode="External"/><Relationship Id="rId42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47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63" Type="http://schemas.openxmlformats.org/officeDocument/2006/relationships/hyperlink" Target="../../../../:p:/r/sites/p1281device/Shared%20Documents/Testchip/X81Z_X81A/2_TSDR/MGC/1281%20X81A-Lite%20PXL-MGC-FS-AG%20TSDR%20Proposal.pptx?d=wace10aa27c534bd3ad04a20f514cb61d&amp;csf=1&amp;web=1&amp;e=saODzy" TargetMode="External"/><Relationship Id="rId68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84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89" Type="http://schemas.openxmlformats.org/officeDocument/2006/relationships/hyperlink" Target="../3_LLE/X81A_LLE_Content_WIP.xlsx?web=1" TargetMode="External"/><Relationship Id="rId16" Type="http://schemas.openxmlformats.org/officeDocument/2006/relationships/hyperlink" Target="https://intel.sharepoint.com/:x:/r/sites/p1281device/Shared%20Documents/Testchip/X81Z_X81A/2_TSDR/MOL/FKTCN/1281%20MOL_FKTCN.xlsx?d=wf721e9dfbc854c46a04fb4524244b7a6&amp;csf=1&amp;web=1&amp;e=548HKO" TargetMode="External"/><Relationship Id="rId107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11" Type="http://schemas.openxmlformats.org/officeDocument/2006/relationships/hyperlink" Target="../../../../:p:/r/sites/p1281device/Shared%20Documents/Testchip/X81Z_X81A/2_TSDR/FTI/FTI_TSDR_Shubhajit_v3.pptx?d=w428e05e7063d4e4e9413ed4eed1e975f&amp;csf=1&amp;web=1&amp;e=wMP9iE" TargetMode="External"/><Relationship Id="rId32" Type="http://schemas.openxmlformats.org/officeDocument/2006/relationships/hyperlink" Target="../3_LLE/X81A_LLE_Content_WIP.xlsx?web=1" TargetMode="External"/><Relationship Id="rId37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53" Type="http://schemas.openxmlformats.org/officeDocument/2006/relationships/hyperlink" Target="https://intel.sharepoint.com/:x:/r/sites/p1281device/Shared%20Documents/Testchip/X81Z_X81A/1_Content%20Alignment/WID/X81A_WID_content_plan_v3.xlsx?d=wd6e7c4ee6465435c9fb17740e0b2592e&amp;csf=1&amp;web=1&amp;e=lk4A9I" TargetMode="External"/><Relationship Id="rId58" Type="http://schemas.openxmlformats.org/officeDocument/2006/relationships/hyperlink" Target="https://intel.sharepoint.com/:p:/r/sites/p1281device/Shared%20Documents/Testchip/X81Z_X81A/1_Content%20Alignment/Center-point%20MLR/2026WW15%20Miller%20Skew%20Summary_V0.pptx?d=wa3cb6dc3846c48f8824ef205b5126bf1&amp;csf=1&amp;web=1&amp;e=d1ZyDl" TargetMode="External"/><Relationship Id="rId74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79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102" Type="http://schemas.openxmlformats.org/officeDocument/2006/relationships/hyperlink" Target="https://jira.devtools.intel.com/browse/TSDR1282-523" TargetMode="External"/><Relationship Id="rId5" Type="http://schemas.openxmlformats.org/officeDocument/2006/relationships/hyperlink" Target="../../../../:p:/r/sites/p1281device/Shared%20Documents/Testchip/X81Z_X81A/2_TSDR/PLYCD,%20PP/Poly_Skew_Summary_V2.pptx?d=w86d53f4c0bb7438f89ad9793f4de65be&amp;csf=1&amp;web=1&amp;e=5dRfJ6" TargetMode="External"/><Relationship Id="rId90" Type="http://schemas.openxmlformats.org/officeDocument/2006/relationships/hyperlink" Target="https://jira.devtools.intel.com/browse/TSDR1282-472" TargetMode="External"/><Relationship Id="rId95" Type="http://schemas.openxmlformats.org/officeDocument/2006/relationships/hyperlink" Target="https://intel.sharepoint.com/:p:/r/sites/p1281device/Shared%20Documents/Testchip/X81Z_X81A/2_TSDR/EHV_HV_ADT/X81Z_HV_EHV_ADT_Catelog.pptx?d=wdd3af81b12ad45f99958b108f88da690&amp;csf=1&amp;web=1&amp;e=OCbL64" TargetMode="External"/><Relationship Id="rId22" Type="http://schemas.openxmlformats.org/officeDocument/2006/relationships/hyperlink" Target="../3_LLE/X81A_LLE_Content_WIP.xlsx?web=1" TargetMode="External"/><Relationship Id="rId27" Type="http://schemas.openxmlformats.org/officeDocument/2006/relationships/hyperlink" Target="../3_LLE/X81A_LLE_Content_WIP.xlsx?web=1" TargetMode="External"/><Relationship Id="rId43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48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64" Type="http://schemas.openxmlformats.org/officeDocument/2006/relationships/hyperlink" Target="../../../../:p:/r/sites/p1281device/Shared%20Documents/Testchip/X81Z_X81A/2_TSDR/MGC/1281%20X81A-Lite%20PXL-MGC-FS-AG%20TSDR%20Proposal.pptx?d=wace10aa27c534bd3ad04a20f514cb61d&amp;csf=1&amp;web=1&amp;e=saODzy" TargetMode="External"/><Relationship Id="rId69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80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85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12" Type="http://schemas.openxmlformats.org/officeDocument/2006/relationships/hyperlink" Target="../../../../:p:/r/sites/p1281device/Shared%20Documents/Testchip/X81Z_X81A/3_LLE/P1281_X81A_LLE_Summary_WW14.5_mtg.pptx?d=we08ab2f801ec4321a970daf1043a40f3&amp;csf=1&amp;web=1&amp;e=qfdDfH" TargetMode="External"/><Relationship Id="rId17" Type="http://schemas.openxmlformats.org/officeDocument/2006/relationships/hyperlink" Target="https://intel.sharepoint.com/:x:/r/sites/p1281device/Shared%20Documents/Testchip/X81Z_X81A/2_TSDR/MOL/ViaT_ViaG_KLV/1281%20MOL%20KLV%20(VT_VG)%E2%80%8B_rev0.xlsx?d=w5e23da1bd1bb4afdb1a1ae24e3ff31f7&amp;csf=1&amp;web=1&amp;e=5l1ceZ" TargetMode="External"/><Relationship Id="rId33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38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59" Type="http://schemas.openxmlformats.org/officeDocument/2006/relationships/hyperlink" Target="https://intel.sharepoint.com/:p:/r/sites/p1281device/Shared%20Documents/Testchip/X81Z_X81A/1_Content%20Alignment/Center-point%20MLR/2026WW15%20Miller%20Skew%20Summary_V0.pptx?d=wa3cb6dc3846c48f8824ef205b5126bf1&amp;csf=1&amp;web=1&amp;e=d1ZyDl" TargetMode="External"/><Relationship Id="rId103" Type="http://schemas.openxmlformats.org/officeDocument/2006/relationships/hyperlink" Target="https://jira.devtools.intel.com/browse/TSDR1282-530" TargetMode="External"/><Relationship Id="rId108" Type="http://schemas.openxmlformats.org/officeDocument/2006/relationships/printerSettings" Target="../printerSettings/printerSettings2.bin"/><Relationship Id="rId54" Type="http://schemas.openxmlformats.org/officeDocument/2006/relationships/hyperlink" Target="https://intel.sharepoint.com/:x:/r/sites/p1281device/Shared%20Documents/Testchip/X81Z_X81A/1_Content%20Alignment/WID/X81A_WID_content_plan_v3.xlsx?d=wd6e7c4ee6465435c9fb17740e0b2592e&amp;csf=1&amp;web=1&amp;e=lk4A9I" TargetMode="External"/><Relationship Id="rId70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75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91" Type="http://schemas.openxmlformats.org/officeDocument/2006/relationships/hyperlink" Target="https://jira.devtools.intel.com/browse/TSDR1282-472" TargetMode="External"/><Relationship Id="rId96" Type="http://schemas.openxmlformats.org/officeDocument/2006/relationships/hyperlink" Target="https://jira.devtools.intel.com/browse/TSDR1282-554" TargetMode="External"/><Relationship Id="rId1" Type="http://schemas.openxmlformats.org/officeDocument/2006/relationships/hyperlink" Target="../../../../:p:/r/sites/p1281device/Shared%20Documents/Testchip/X81Z_X81A/2_TSDR/PLYCD,%20PP/Poly_Skew_Summary_V2.pptx?d=w86d53f4c0bb7438f89ad9793f4de65be&amp;csf=1&amp;web=1&amp;e=5dRfJ6" TargetMode="External"/><Relationship Id="rId6" Type="http://schemas.openxmlformats.org/officeDocument/2006/relationships/hyperlink" Target="../../../../:p:/r/sites/p1281device/Shared%20Documents/Testchip/X81Z_X81A/2_TSDR/Spacer/P1281_SPACER_TSDR_skews.pptx?d=wf46a37887060411f83ec2696c5942f80&amp;csf=1&amp;web=1&amp;e=cdyRFd" TargetMode="External"/><Relationship Id="rId15" Type="http://schemas.openxmlformats.org/officeDocument/2006/relationships/hyperlink" Target="https://intel.sharepoint.com/:x:/r/sites/p1281device/Shared%20Documents/Testchip/X81Z_X81A/2_TSDR/MOL/FKTCN/1281%20MOL_FKTCN.xlsx?d=wf721e9dfbc854c46a04fb4524244b7a6&amp;csf=1&amp;web=1&amp;e=548HKO" TargetMode="External"/><Relationship Id="rId23" Type="http://schemas.openxmlformats.org/officeDocument/2006/relationships/hyperlink" Target="../3_LLE/X81A_LLE_Content_WIP.xlsx?web=1" TargetMode="External"/><Relationship Id="rId28" Type="http://schemas.openxmlformats.org/officeDocument/2006/relationships/hyperlink" Target="../3_LLE/X81A_LLE_Content_WIP.xlsx?web=1" TargetMode="External"/><Relationship Id="rId36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49" Type="http://schemas.openxmlformats.org/officeDocument/2006/relationships/hyperlink" Target="https://intel.sharepoint.com/:x:/r/sites/p1281device/Shared%20Documents/Testchip/X81Z_X81A/1_Content%20Alignment/WID/X81A_WID_content_plan_v3.xlsx?d=wd6e7c4ee6465435c9fb17740e0b2592e&amp;csf=1&amp;web=1&amp;e=lk4A9I" TargetMode="External"/><Relationship Id="rId57" Type="http://schemas.openxmlformats.org/officeDocument/2006/relationships/hyperlink" Target="https://intel.sharepoint.com/:p:/r/sites/p1281device/Shared%20Documents/Testchip/X81Z_X81A/1_Content%20Alignment/Center-point%20MLR/2026WW15%20Miller%20Skew%20Summary_V0.pptx?d=wa3cb6dc3846c48f8824ef205b5126bf1&amp;csf=1&amp;web=1&amp;e=d1ZyDl" TargetMode="External"/><Relationship Id="rId106" Type="http://schemas.openxmlformats.org/officeDocument/2006/relationships/hyperlink" Target="https://jira.devtools.intel.com/browse/TSDR1282-433" TargetMode="External"/><Relationship Id="rId10" Type="http://schemas.openxmlformats.org/officeDocument/2006/relationships/hyperlink" Target="../../../../:p:/r/sites/p1281device/Shared%20Documents/Testchip/X81Z_X81A/2_TSDR/MGC/1281%20X81A-Lite%20PXL-MGC-FS-AG%20TSDR%20Proposal.pptx?d=wace10aa27c534bd3ad04a20f514cb61d&amp;csf=1&amp;web=1&amp;e=saODzy" TargetMode="External"/><Relationship Id="rId31" Type="http://schemas.openxmlformats.org/officeDocument/2006/relationships/hyperlink" Target="../3_LLE/X81A_LLE_Content_WIP.xlsx?web=1" TargetMode="External"/><Relationship Id="rId44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52" Type="http://schemas.openxmlformats.org/officeDocument/2006/relationships/hyperlink" Target="https://intel.sharepoint.com/:x:/r/sites/p1281device/Shared%20Documents/Testchip/X81Z_X81A/1_Content%20Alignment/WID/X81A_WID_content_plan_v3.xlsx?d=wd6e7c4ee6465435c9fb17740e0b2592e&amp;csf=1&amp;web=1&amp;e=lk4A9I" TargetMode="External"/><Relationship Id="rId60" Type="http://schemas.openxmlformats.org/officeDocument/2006/relationships/hyperlink" Target="https://intel.sharepoint.com/:p:/r/sites/p1281device/Shared%20Documents/Testchip/X81Z_X81A/1_Content%20Alignment/Center-point%20MLR/2026WW15%20Miller%20Skew%20Summary_V0.pptx?d=wa3cb6dc3846c48f8824ef205b5126bf1&amp;csf=1&amp;web=1&amp;e=d1ZyDl" TargetMode="External"/><Relationship Id="rId65" Type="http://schemas.openxmlformats.org/officeDocument/2006/relationships/hyperlink" Target="https://intel.sharepoint.com/:x:/r/sites/p1281device/Shared%20Documents/Testchip/X81Z_X81A/2_TSDR/MOL/TCN_PLY_PGR_CHN/1281%20MOL%20TCN_PLY_PGR_CHN.xlsx?d=wff67c68687764df585cb29e224c41e8d&amp;csf=1&amp;web=1&amp;e=1GRIJk" TargetMode="External"/><Relationship Id="rId73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78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81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86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94" Type="http://schemas.openxmlformats.org/officeDocument/2006/relationships/hyperlink" Target="https://intel.sharepoint.com/:p:/r/sites/p1281device/Shared%20Documents/Testchip/X81Z_X81A/2_TSDR/EHV_HV_ADT/X81Z_HV_EHV_ADT_Catelog.pptx?d=wdd3af81b12ad45f99958b108f88da690&amp;csf=1&amp;web=1&amp;e=OCbL64" TargetMode="External"/><Relationship Id="rId99" Type="http://schemas.openxmlformats.org/officeDocument/2006/relationships/hyperlink" Target="https://jira.devtools.intel.com/browse/TSDR1282-554" TargetMode="External"/><Relationship Id="rId101" Type="http://schemas.openxmlformats.org/officeDocument/2006/relationships/hyperlink" Target="https://jira.devtools.intel.com/browse/TSDR1282-523" TargetMode="External"/><Relationship Id="rId4" Type="http://schemas.openxmlformats.org/officeDocument/2006/relationships/hyperlink" Target="../../../../:p:/r/sites/p1281device/Shared%20Documents/Testchip/X81Z_X81A/2_TSDR/PLYCD,%20PP/Poly_Skew_Summary_V2.pptx?d=w86d53f4c0bb7438f89ad9793f4de65be&amp;csf=1&amp;web=1&amp;e=5dRfJ6" TargetMode="External"/><Relationship Id="rId9" Type="http://schemas.openxmlformats.org/officeDocument/2006/relationships/hyperlink" Target="../../../../:p:/r/sites/p1281device/Shared%20Documents/Testchip/X81Z_X81A/2_TSDR/min-LNR,%20narrow-Z/Min%20LNR%20skews%20-%20TSDR%20review%20ww14.3.pptx?d=w596e87cc1186478ea33a341183f8255c&amp;csf=1&amp;web=1&amp;e=1a0oX0" TargetMode="External"/><Relationship Id="rId13" Type="http://schemas.openxmlformats.org/officeDocument/2006/relationships/hyperlink" Target="https://intel.sharepoint.com/:p:/r/sites/p1281device/Shared%20Documents/Testchip/X81Z_X81A/2_TSDR/EHV_HV_ADT/X81Z_HV_EHV_ADT_Catelog.pptx?d=wdd3af81b12ad45f99958b108f88da690&amp;csf=1&amp;web=1&amp;e=OCbL64" TargetMode="External"/><Relationship Id="rId18" Type="http://schemas.openxmlformats.org/officeDocument/2006/relationships/hyperlink" Target="https://intel.sharepoint.com/:x:/r/sites/p1281device/Shared%20Documents/Testchip/X81Z_X81A/2_TSDR/MOL/ViaT_ViaG_KLV/1281%20MOL%20KLV%20(VT_VG)%E2%80%8B_rev0.xlsx?d=w5e23da1bd1bb4afdb1a1ae24e3ff31f7&amp;csf=1&amp;web=1&amp;e=5l1ceZ" TargetMode="External"/><Relationship Id="rId39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109" Type="http://schemas.openxmlformats.org/officeDocument/2006/relationships/vmlDrawing" Target="../drawings/vmlDrawing1.vml"/><Relationship Id="rId34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50" Type="http://schemas.openxmlformats.org/officeDocument/2006/relationships/hyperlink" Target="https://intel.sharepoint.com/:x:/r/sites/p1281device/Shared%20Documents/Testchip/X81Z_X81A/1_Content%20Alignment/WID/X81A_WID_content_plan_v3.xlsx?d=wd6e7c4ee6465435c9fb17740e0b2592e&amp;csf=1&amp;web=1&amp;e=lk4A9I" TargetMode="External"/><Relationship Id="rId55" Type="http://schemas.openxmlformats.org/officeDocument/2006/relationships/hyperlink" Target="https://intel.sharepoint.com/:x:/r/sites/p1281device/Shared%20Documents/Testchip/X81Z_X81A/1_Content%20Alignment/WID/X81A_WID_content_plan_v3.xlsx?d=wd6e7c4ee6465435c9fb17740e0b2592e&amp;csf=1&amp;web=1&amp;e=lk4A9I" TargetMode="External"/><Relationship Id="rId76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97" Type="http://schemas.openxmlformats.org/officeDocument/2006/relationships/hyperlink" Target="https://jira.devtools.intel.com/browse/TSDR1282-554" TargetMode="External"/><Relationship Id="rId104" Type="http://schemas.openxmlformats.org/officeDocument/2006/relationships/hyperlink" Target="https://jira.devtools.intel.com/browse/TSDR1282-433" TargetMode="External"/><Relationship Id="rId7" Type="http://schemas.openxmlformats.org/officeDocument/2006/relationships/hyperlink" Target="../../../../:p:/r/sites/p1281device/Shared%20Documents/Testchip/X81Z_X81A/2_TSDR/Spacer/P1281_SPACER_TSDR_skews.pptx?d=wf46a37887060411f83ec2696c5942f80&amp;csf=1&amp;web=1&amp;e=cdyRFd" TargetMode="External"/><Relationship Id="rId71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92" Type="http://schemas.openxmlformats.org/officeDocument/2006/relationships/hyperlink" Target="https://jira.devtools.intel.com/browse/TSDR1282-472" TargetMode="External"/><Relationship Id="rId2" Type="http://schemas.openxmlformats.org/officeDocument/2006/relationships/hyperlink" Target="../../../../:p:/r/sites/p1281device/Shared%20Documents/Testchip/X81Z_X81A/2_TSDR/PLYCD,%20PP/Poly_Skew_Summary_V2.pptx?d=w86d53f4c0bb7438f89ad9793f4de65be&amp;csf=1&amp;web=1&amp;e=5dRfJ6" TargetMode="External"/><Relationship Id="rId29" Type="http://schemas.openxmlformats.org/officeDocument/2006/relationships/hyperlink" Target="../3_LLE/X81A_LLE_Content_WIP.xlsx?web=1" TargetMode="External"/><Relationship Id="rId24" Type="http://schemas.openxmlformats.org/officeDocument/2006/relationships/hyperlink" Target="../3_LLE/X81A_LLE_Content_WIP.xlsx?web=1" TargetMode="External"/><Relationship Id="rId40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45" Type="http://schemas.openxmlformats.org/officeDocument/2006/relationships/hyperlink" Target="../../../Forms/AllItems.aspx?id=%2Fsites%2Fp1281device%2FShared%20Documents%2FTestchip%2FX81Z%5FX81A%2F2%5FTSDR%2FMOL%2FMOL%20ECD%20%28Poly%2C%20TCN%29%E2%80%8B&amp;viewid=5d169bcd%2D0830%2D46e1%2Daffc%2D8751a642a668&amp;as=json" TargetMode="External"/><Relationship Id="rId66" Type="http://schemas.openxmlformats.org/officeDocument/2006/relationships/hyperlink" Target="https://intel.sharepoint.com/:x:/r/sites/p1281device/Shared%20Documents/Testchip/X81Z_X81A/2_TSDR/MOL/TCN_PLY_PGR_CHN/1281%20MOL%20TCN_PLY_PGR_CHN.xlsx?d=wff67c68687764df585cb29e224c41e8d&amp;csf=1&amp;web=1&amp;e=1GRIJk" TargetMode="External"/><Relationship Id="rId87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110" Type="http://schemas.openxmlformats.org/officeDocument/2006/relationships/comments" Target="../comments1.xml"/><Relationship Id="rId61" Type="http://schemas.openxmlformats.org/officeDocument/2006/relationships/hyperlink" Target="https://intel.sharepoint.com/:x:/r/sites/p1281device/Shared%20Documents/Testchip/X81Z_X81A/5_Execution/MOS_PFT%20%27golden%27%20PFT,%20MP/X81Z_PFT_Row-tracker_26WW22.4_v2.xlsx?d=w4586b4d8ba86451a9422ca02197b70b7&amp;csf=1&amp;web=1&amp;e=O0Vckz" TargetMode="External"/><Relationship Id="rId82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19" Type="http://schemas.openxmlformats.org/officeDocument/2006/relationships/hyperlink" Target="../3_LLE/X81A_LLE_Content_WIP.xlsx?web=1" TargetMode="External"/><Relationship Id="rId14" Type="http://schemas.openxmlformats.org/officeDocument/2006/relationships/hyperlink" Target="https://intel.sharepoint.com/:p:/r/sites/p1281device/Shared%20Documents/Testchip/X81Z_X81A/2_TSDR/EHV_HV_ADT/X81Z_HV_EHV_ADT_Catelog.pptx?d=wdd3af81b12ad45f99958b108f88da690&amp;csf=1&amp;web=1&amp;e=OCbL64" TargetMode="External"/><Relationship Id="rId30" Type="http://schemas.openxmlformats.org/officeDocument/2006/relationships/hyperlink" Target="../3_LLE/X81A_LLE_Content_WIP.xlsx?web=1" TargetMode="External"/><Relationship Id="rId35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56" Type="http://schemas.openxmlformats.org/officeDocument/2006/relationships/hyperlink" Target="https://intel.sharepoint.com/:x:/r/sites/p1281device/Shared%20Documents/Testchip/X81Z_X81A/1_Content%20Alignment/WID/X81A_WID_content_plan_v3.xlsx?d=wd6e7c4ee6465435c9fb17740e0b2592e&amp;csf=1&amp;web=1&amp;e=lk4A9I" TargetMode="External"/><Relationship Id="rId77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100" Type="http://schemas.openxmlformats.org/officeDocument/2006/relationships/hyperlink" Target="https://jira.devtools.intel.com/browse/TSDR1282-530" TargetMode="External"/><Relationship Id="rId105" Type="http://schemas.openxmlformats.org/officeDocument/2006/relationships/hyperlink" Target="https://jira.devtools.intel.com/browse/TSDR1282-433" TargetMode="External"/><Relationship Id="rId8" Type="http://schemas.openxmlformats.org/officeDocument/2006/relationships/hyperlink" Target="../../../../:p:/r/sites/p1281device/Shared%20Documents/Testchip/X81Z_X81A/2_TSDR/min-LNR,%20narrow-Z/Min%20LNR%20skews%20-%20TSDR%20review%20ww14.3.pptx?d=w596e87cc1186478ea33a341183f8255c&amp;csf=1&amp;web=1&amp;e=1a0oX0" TargetMode="External"/><Relationship Id="rId51" Type="http://schemas.openxmlformats.org/officeDocument/2006/relationships/hyperlink" Target="https://intel.sharepoint.com/:x:/r/sites/p1281device/Shared%20Documents/Testchip/X81Z_X81A/1_Content%20Alignment/WID/X81A_WID_content_plan_v3.xlsx?d=wd6e7c4ee6465435c9fb17740e0b2592e&amp;csf=1&amp;web=1&amp;e=lk4A9I" TargetMode="External"/><Relationship Id="rId72" Type="http://schemas.openxmlformats.org/officeDocument/2006/relationships/hyperlink" Target="https://intel.sharepoint.com/:x:/r/sites/p1281device/Shared%20Documents/Testchip/X81Z_X81A/2_TSDR/ISO_FE/x81Z-A%20ISO-FE%20Content%20Revised.xlsb?d=wf4da0adcb01d438483319cf1061ac63f&amp;csf=1&amp;web=1&amp;e=nzaZPR" TargetMode="External"/><Relationship Id="rId93" Type="http://schemas.openxmlformats.org/officeDocument/2006/relationships/hyperlink" Target="https://jira.devtools.intel.com/browse/TSDR1282-472" TargetMode="External"/><Relationship Id="rId98" Type="http://schemas.openxmlformats.org/officeDocument/2006/relationships/hyperlink" Target="https://jira.devtools.intel.com/browse/TSDR1282-554" TargetMode="External"/><Relationship Id="rId3" Type="http://schemas.openxmlformats.org/officeDocument/2006/relationships/hyperlink" Target="../../../../:p:/r/sites/p1281device/Shared%20Documents/Testchip/X81Z_X81A/2_TSDR/PLYCD,%20PP/Poly_Skew_Summary_V2.pptx?d=w86d53f4c0bb7438f89ad9793f4de65be&amp;csf=1&amp;web=1&amp;e=5dRfJ6" TargetMode="External"/><Relationship Id="rId25" Type="http://schemas.openxmlformats.org/officeDocument/2006/relationships/hyperlink" Target="../3_LLE/X81A_LLE_Content_WIP.xlsx?web=1" TargetMode="External"/><Relationship Id="rId46" Type="http://schemas.openxmlformats.org/officeDocument/2006/relationships/hyperlink" Target="../../../Forms/AllItems.aspx?id=%2Fsites%2Fp1281device%2FShared%20Documents%2FTestchip%2FX81Z%5FX81A%2F2%5FTSDR%2FMOL%2FMOL%20ECD%20%28Poly%2C%20TCN%29%E2%80%8B&amp;viewid=5d169bcd%2D0830%2D46e1%2Daffc%2D8751a642a668&amp;as=json" TargetMode="External"/><Relationship Id="rId67" Type="http://schemas.openxmlformats.org/officeDocument/2006/relationships/hyperlink" Target="https://intel.sharepoint.com/:x:/r/sites/p1281device/Shared%20Documents/Testchip/X81Z_X81A/2_TSDR/MOL/TCN_PLY_PGR_CHN/1281%20MOL%20TCN_PLY_PGR_CHN.xlsx?d=wff67c68687764df585cb29e224c41e8d&amp;csf=1&amp;web=1&amp;e=1GRIJk" TargetMode="External"/><Relationship Id="rId20" Type="http://schemas.openxmlformats.org/officeDocument/2006/relationships/hyperlink" Target="../3_LLE/X81A_LLE_Content_WIP.xlsx?web=1" TargetMode="External"/><Relationship Id="rId41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62" Type="http://schemas.openxmlformats.org/officeDocument/2006/relationships/hyperlink" Target="https://intel.sharepoint.com/:x:/r/sites/p1281device/Shared%20Documents/Testchip/X81Z_X81A/5_Execution/MOS_PFT%20%27golden%27%20PFT,%20MP/X81Z_PFT_Row-tracker_26WW22.4_v2.xlsx?d=w4586b4d8ba86451a9422ca02197b70b7&amp;csf=1&amp;web=1&amp;e=O0Vckz" TargetMode="External"/><Relationship Id="rId83" Type="http://schemas.openxmlformats.org/officeDocument/2006/relationships/hyperlink" Target="https://intel.sharepoint.com/:x:/r/sites/p1281device/Shared%20Documents/Testchip/X81Z_X81A/1_Content%20Alignment/Center-point%20logic%20PFT,%20ROS,%20ROSPFT,%20CELLPFT/X81A_ROSPFT_coverage.xlsx?d=w41d1d529c0ca49a5b737429e9be2acac&amp;csf=1&amp;web=1&amp;e=1L5NFu" TargetMode="External"/><Relationship Id="rId88" Type="http://schemas.openxmlformats.org/officeDocument/2006/relationships/hyperlink" Target="https://intel.sharepoint.com/:x:/r/sites/p1281device/Shared%20Documents/Testchip/X81Z_X81A/2_TSDR/MOL/FKTCN/1281%20MOL_FKTCN.xlsx?d=wf721e9dfbc854c46a04fb4524244b7a6&amp;csf=1&amp;web=1&amp;e=548HKO" TargetMode="External"/><Relationship Id="rId111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17F7-3DB2-407A-8287-3F2B91893B27}">
  <sheetPr>
    <tabColor theme="5"/>
  </sheetPr>
  <dimension ref="B1:M1048575"/>
  <sheetViews>
    <sheetView topLeftCell="D12" zoomScale="85" zoomScaleNormal="85" workbookViewId="0">
      <selection activeCell="P34" sqref="P34"/>
    </sheetView>
  </sheetViews>
  <sheetFormatPr defaultColWidth="9.140625" defaultRowHeight="14.45"/>
  <cols>
    <col min="1" max="1" width="2.42578125" style="63" customWidth="1"/>
    <col min="2" max="2" width="19.5703125" style="63" customWidth="1"/>
    <col min="3" max="3" width="22" style="63" customWidth="1"/>
    <col min="4" max="4" width="23.5703125" style="63" customWidth="1"/>
    <col min="5" max="5" width="22.140625" style="63" bestFit="1" customWidth="1"/>
    <col min="6" max="6" width="14.5703125" style="63" customWidth="1"/>
    <col min="7" max="7" width="49.42578125" style="63" customWidth="1"/>
    <col min="8" max="8" width="22.5703125" style="63" hidden="1" customWidth="1"/>
    <col min="9" max="9" width="19.5703125" style="63" hidden="1" customWidth="1"/>
    <col min="10" max="10" width="20.5703125" style="63" hidden="1" customWidth="1"/>
    <col min="11" max="11" width="24.140625" style="108" customWidth="1"/>
    <col min="12" max="12" width="68.5703125" style="63" customWidth="1"/>
    <col min="13" max="13" width="9.140625" style="63"/>
    <col min="14" max="14" width="9.140625" style="63" customWidth="1"/>
    <col min="15" max="16384" width="9.140625" style="63"/>
  </cols>
  <sheetData>
    <row r="1" spans="2:12">
      <c r="B1" s="62" t="s">
        <v>0</v>
      </c>
    </row>
    <row r="2" spans="2:12">
      <c r="B2" s="64" t="s">
        <v>1</v>
      </c>
    </row>
    <row r="3" spans="2:12">
      <c r="B3" s="64" t="s">
        <v>2</v>
      </c>
      <c r="C3" s="62" t="s">
        <v>3</v>
      </c>
    </row>
    <row r="4" spans="2:12">
      <c r="B4" s="64" t="s">
        <v>4</v>
      </c>
      <c r="C4" s="62" t="s">
        <v>5</v>
      </c>
    </row>
    <row r="5" spans="2:12">
      <c r="B5" s="64" t="s">
        <v>6</v>
      </c>
      <c r="C5" s="62" t="s">
        <v>7</v>
      </c>
    </row>
    <row r="7" spans="2:12">
      <c r="B7" s="65" t="s">
        <v>8</v>
      </c>
      <c r="C7" s="66" t="s">
        <v>9</v>
      </c>
      <c r="D7" s="65" t="s">
        <v>10</v>
      </c>
      <c r="E7" s="65" t="s">
        <v>11</v>
      </c>
      <c r="F7" s="65" t="s">
        <v>12</v>
      </c>
      <c r="G7" s="66" t="s">
        <v>13</v>
      </c>
      <c r="H7" s="84" t="s">
        <v>14</v>
      </c>
      <c r="I7" s="85" t="s">
        <v>15</v>
      </c>
      <c r="J7" s="86" t="s">
        <v>16</v>
      </c>
      <c r="K7" s="85" t="s">
        <v>17</v>
      </c>
      <c r="L7" s="118" t="s">
        <v>18</v>
      </c>
    </row>
    <row r="8" spans="2:12">
      <c r="B8" s="132" t="s">
        <v>19</v>
      </c>
      <c r="C8" s="133"/>
      <c r="D8" s="134"/>
      <c r="E8" s="67"/>
      <c r="F8" s="68" t="s">
        <v>20</v>
      </c>
      <c r="G8" s="68"/>
      <c r="H8" s="98" t="s">
        <v>20</v>
      </c>
      <c r="I8" s="99"/>
      <c r="J8" s="100"/>
      <c r="K8" s="109"/>
      <c r="L8" s="113"/>
    </row>
    <row r="9" spans="2:12">
      <c r="B9" s="125" t="s">
        <v>21</v>
      </c>
      <c r="C9" s="69" t="s">
        <v>22</v>
      </c>
      <c r="D9" s="70" t="s">
        <v>23</v>
      </c>
      <c r="E9" s="70" t="s">
        <v>24</v>
      </c>
      <c r="F9" s="69" t="s">
        <v>25</v>
      </c>
      <c r="G9" s="69" t="s">
        <v>26</v>
      </c>
      <c r="H9" s="82">
        <v>9</v>
      </c>
      <c r="I9" s="101" t="s">
        <v>27</v>
      </c>
      <c r="J9" s="94">
        <v>5</v>
      </c>
      <c r="K9" s="110">
        <v>3</v>
      </c>
      <c r="L9" s="107" t="s">
        <v>28</v>
      </c>
    </row>
    <row r="10" spans="2:12" ht="15" customHeight="1">
      <c r="B10" s="127"/>
      <c r="C10" s="69" t="s">
        <v>22</v>
      </c>
      <c r="D10" s="70" t="s">
        <v>29</v>
      </c>
      <c r="E10" s="70" t="s">
        <v>30</v>
      </c>
      <c r="F10" s="69" t="s">
        <v>31</v>
      </c>
      <c r="G10" s="69" t="s">
        <v>26</v>
      </c>
      <c r="H10" s="82">
        <v>2</v>
      </c>
      <c r="I10" s="101" t="s">
        <v>27</v>
      </c>
      <c r="J10" s="94">
        <v>2</v>
      </c>
      <c r="K10" s="110">
        <v>1</v>
      </c>
      <c r="L10" s="107" t="s">
        <v>28</v>
      </c>
    </row>
    <row r="11" spans="2:12">
      <c r="B11" s="135"/>
      <c r="C11" s="69" t="s">
        <v>22</v>
      </c>
      <c r="D11" s="70" t="s">
        <v>32</v>
      </c>
      <c r="E11" s="70" t="s">
        <v>33</v>
      </c>
      <c r="F11" s="69" t="s">
        <v>25</v>
      </c>
      <c r="G11" s="69" t="s">
        <v>34</v>
      </c>
      <c r="H11" s="82">
        <v>2</v>
      </c>
      <c r="I11" s="101" t="s">
        <v>27</v>
      </c>
      <c r="J11" s="94">
        <v>2</v>
      </c>
      <c r="K11" s="110">
        <v>2</v>
      </c>
      <c r="L11" s="107" t="s">
        <v>28</v>
      </c>
    </row>
    <row r="12" spans="2:12">
      <c r="B12" s="136" t="s">
        <v>35</v>
      </c>
      <c r="C12" s="73" t="s">
        <v>22</v>
      </c>
      <c r="D12" s="70" t="s">
        <v>36</v>
      </c>
      <c r="E12" s="70" t="s">
        <v>37</v>
      </c>
      <c r="F12" s="69" t="s">
        <v>38</v>
      </c>
      <c r="G12" s="69" t="s">
        <v>39</v>
      </c>
      <c r="H12" s="82">
        <v>3</v>
      </c>
      <c r="I12" s="101" t="s">
        <v>27</v>
      </c>
      <c r="J12" s="94">
        <v>3</v>
      </c>
      <c r="K12" s="110">
        <v>2</v>
      </c>
      <c r="L12" s="107" t="s">
        <v>28</v>
      </c>
    </row>
    <row r="13" spans="2:12" ht="14.45" customHeight="1">
      <c r="B13" s="137"/>
      <c r="C13" s="73" t="s">
        <v>40</v>
      </c>
      <c r="D13" s="70" t="s">
        <v>41</v>
      </c>
      <c r="E13" s="70" t="s">
        <v>42</v>
      </c>
      <c r="F13" s="69" t="s">
        <v>43</v>
      </c>
      <c r="G13" s="69" t="s">
        <v>44</v>
      </c>
      <c r="H13" s="82">
        <v>1</v>
      </c>
      <c r="I13" s="102" t="s">
        <v>45</v>
      </c>
      <c r="J13" s="138">
        <v>2</v>
      </c>
      <c r="K13" s="128">
        <v>0</v>
      </c>
      <c r="L13" s="113"/>
    </row>
    <row r="14" spans="2:12" ht="14.45" customHeight="1">
      <c r="B14" s="137"/>
      <c r="C14" s="73" t="s">
        <v>40</v>
      </c>
      <c r="D14" s="70" t="s">
        <v>41</v>
      </c>
      <c r="E14" s="70" t="s">
        <v>46</v>
      </c>
      <c r="F14" s="69" t="s">
        <v>47</v>
      </c>
      <c r="G14" s="69" t="s">
        <v>44</v>
      </c>
      <c r="H14" s="82">
        <v>1</v>
      </c>
      <c r="I14" s="102" t="s">
        <v>45</v>
      </c>
      <c r="J14" s="139"/>
      <c r="K14" s="129"/>
      <c r="L14" s="113"/>
    </row>
    <row r="15" spans="2:12" ht="14.45" customHeight="1">
      <c r="B15" s="137"/>
      <c r="C15" s="73" t="s">
        <v>40</v>
      </c>
      <c r="D15" s="70" t="s">
        <v>41</v>
      </c>
      <c r="E15" s="70" t="s">
        <v>48</v>
      </c>
      <c r="F15" s="69" t="s">
        <v>47</v>
      </c>
      <c r="G15" s="69" t="s">
        <v>44</v>
      </c>
      <c r="H15" s="82">
        <v>2</v>
      </c>
      <c r="I15" s="102" t="s">
        <v>45</v>
      </c>
      <c r="J15" s="140"/>
      <c r="K15" s="130"/>
      <c r="L15" s="113"/>
    </row>
    <row r="16" spans="2:12" hidden="1">
      <c r="B16" s="137"/>
      <c r="C16" s="73" t="s">
        <v>22</v>
      </c>
      <c r="D16" s="70" t="s">
        <v>49</v>
      </c>
      <c r="E16" s="70" t="s">
        <v>50</v>
      </c>
      <c r="F16" s="69" t="s">
        <v>51</v>
      </c>
      <c r="G16" s="69" t="s">
        <v>52</v>
      </c>
      <c r="H16" s="82">
        <v>0</v>
      </c>
      <c r="I16" s="103" t="s">
        <v>53</v>
      </c>
      <c r="J16" s="94">
        <v>0</v>
      </c>
      <c r="K16" s="110"/>
      <c r="L16" s="113"/>
    </row>
    <row r="17" spans="2:13">
      <c r="B17" s="137"/>
      <c r="C17" s="73" t="s">
        <v>54</v>
      </c>
      <c r="D17" s="70" t="s">
        <v>55</v>
      </c>
      <c r="E17" s="70" t="s">
        <v>56</v>
      </c>
      <c r="F17" s="69" t="s">
        <v>57</v>
      </c>
      <c r="G17" s="69" t="s">
        <v>58</v>
      </c>
      <c r="H17" s="87">
        <v>37</v>
      </c>
      <c r="I17" s="102" t="s">
        <v>59</v>
      </c>
      <c r="J17" s="94">
        <v>25</v>
      </c>
      <c r="K17" s="110">
        <v>22</v>
      </c>
      <c r="L17" s="113"/>
    </row>
    <row r="18" spans="2:13">
      <c r="B18" s="141" t="s">
        <v>60</v>
      </c>
      <c r="C18" s="69" t="s">
        <v>61</v>
      </c>
      <c r="D18" s="70" t="s">
        <v>62</v>
      </c>
      <c r="E18" s="70" t="s">
        <v>24</v>
      </c>
      <c r="F18" s="69" t="s">
        <v>25</v>
      </c>
      <c r="G18" s="69" t="s">
        <v>63</v>
      </c>
      <c r="H18" s="82">
        <v>37</v>
      </c>
      <c r="I18" s="102" t="s">
        <v>64</v>
      </c>
      <c r="J18" s="94">
        <v>21</v>
      </c>
      <c r="K18" s="110">
        <v>19</v>
      </c>
      <c r="L18" s="107" t="s">
        <v>65</v>
      </c>
    </row>
    <row r="19" spans="2:13">
      <c r="B19" s="127"/>
      <c r="C19" s="69" t="s">
        <v>66</v>
      </c>
      <c r="D19" s="70" t="s">
        <v>67</v>
      </c>
      <c r="E19" s="70" t="s">
        <v>68</v>
      </c>
      <c r="F19" s="69" t="s">
        <v>69</v>
      </c>
      <c r="G19" s="69" t="s">
        <v>70</v>
      </c>
      <c r="H19" s="82">
        <v>17</v>
      </c>
      <c r="I19" s="102" t="s">
        <v>71</v>
      </c>
      <c r="J19" s="94">
        <v>16</v>
      </c>
      <c r="K19" s="110">
        <v>16</v>
      </c>
      <c r="L19" s="107" t="s">
        <v>72</v>
      </c>
    </row>
    <row r="20" spans="2:13">
      <c r="B20" s="127"/>
      <c r="C20" s="69" t="s">
        <v>61</v>
      </c>
      <c r="D20" s="70" t="s">
        <v>73</v>
      </c>
      <c r="E20" s="70" t="s">
        <v>24</v>
      </c>
      <c r="F20" s="69" t="s">
        <v>25</v>
      </c>
      <c r="G20" s="69" t="s">
        <v>74</v>
      </c>
      <c r="H20" s="82">
        <v>34</v>
      </c>
      <c r="I20" s="102" t="s">
        <v>71</v>
      </c>
      <c r="J20" s="94">
        <v>29</v>
      </c>
      <c r="K20" s="110">
        <v>24</v>
      </c>
      <c r="L20" s="107" t="s">
        <v>65</v>
      </c>
    </row>
    <row r="21" spans="2:13">
      <c r="B21" s="127"/>
      <c r="C21" s="69" t="s">
        <v>75</v>
      </c>
      <c r="D21" s="70" t="s">
        <v>76</v>
      </c>
      <c r="E21" s="70" t="s">
        <v>24</v>
      </c>
      <c r="F21" s="69" t="s">
        <v>25</v>
      </c>
      <c r="G21" s="69" t="s">
        <v>77</v>
      </c>
      <c r="H21" s="82">
        <v>46</v>
      </c>
      <c r="I21" s="102" t="s">
        <v>27</v>
      </c>
      <c r="J21" s="94">
        <v>28</v>
      </c>
      <c r="K21" s="110">
        <v>28</v>
      </c>
      <c r="L21" s="117" t="s">
        <v>78</v>
      </c>
    </row>
    <row r="22" spans="2:13">
      <c r="B22" s="127"/>
      <c r="C22" s="69"/>
      <c r="D22" s="70"/>
      <c r="E22" s="70"/>
      <c r="F22" s="69"/>
      <c r="G22" s="69"/>
      <c r="H22" s="82"/>
      <c r="I22" s="102"/>
      <c r="J22" s="94"/>
      <c r="K22" s="110"/>
      <c r="L22" s="119" t="s">
        <v>79</v>
      </c>
      <c r="M22" s="116"/>
    </row>
    <row r="23" spans="2:13" ht="15.75" customHeight="1">
      <c r="B23" s="127"/>
      <c r="C23" s="69" t="s">
        <v>80</v>
      </c>
      <c r="D23" s="70" t="s">
        <v>81</v>
      </c>
      <c r="E23" s="70" t="s">
        <v>68</v>
      </c>
      <c r="F23" s="69" t="s">
        <v>69</v>
      </c>
      <c r="G23" s="69" t="s">
        <v>34</v>
      </c>
      <c r="H23" s="82">
        <v>18</v>
      </c>
      <c r="I23" s="102" t="s">
        <v>82</v>
      </c>
      <c r="J23" s="94">
        <v>10</v>
      </c>
      <c r="K23" s="110">
        <v>4</v>
      </c>
      <c r="L23" s="107" t="s">
        <v>83</v>
      </c>
    </row>
    <row r="24" spans="2:13">
      <c r="B24" s="126"/>
      <c r="C24" s="69" t="s">
        <v>84</v>
      </c>
      <c r="D24" s="70" t="s">
        <v>85</v>
      </c>
      <c r="E24" s="70" t="s">
        <v>86</v>
      </c>
      <c r="F24" s="69" t="s">
        <v>47</v>
      </c>
      <c r="G24" s="69" t="s">
        <v>87</v>
      </c>
      <c r="H24" s="83">
        <v>24</v>
      </c>
      <c r="I24" s="102" t="s">
        <v>71</v>
      </c>
      <c r="J24" s="94">
        <v>17</v>
      </c>
      <c r="K24" s="110">
        <v>6</v>
      </c>
      <c r="L24" s="115" t="s">
        <v>88</v>
      </c>
    </row>
    <row r="25" spans="2:13">
      <c r="B25" s="125" t="s">
        <v>89</v>
      </c>
      <c r="C25" s="69" t="s">
        <v>90</v>
      </c>
      <c r="D25" s="70" t="s">
        <v>91</v>
      </c>
      <c r="E25" s="70" t="s">
        <v>24</v>
      </c>
      <c r="F25" s="69" t="s">
        <v>25</v>
      </c>
      <c r="G25" s="71" t="s">
        <v>92</v>
      </c>
      <c r="H25" s="88">
        <v>113</v>
      </c>
      <c r="I25" s="104" t="s">
        <v>93</v>
      </c>
      <c r="J25" s="94">
        <v>70</v>
      </c>
      <c r="K25" s="110">
        <v>62</v>
      </c>
      <c r="L25" s="107" t="s">
        <v>94</v>
      </c>
    </row>
    <row r="26" spans="2:13">
      <c r="B26" s="126"/>
      <c r="C26" s="69" t="s">
        <v>90</v>
      </c>
      <c r="D26" s="70" t="s">
        <v>95</v>
      </c>
      <c r="E26" s="70" t="s">
        <v>68</v>
      </c>
      <c r="F26" s="69" t="s">
        <v>69</v>
      </c>
      <c r="G26" s="69" t="s">
        <v>96</v>
      </c>
      <c r="H26" s="89">
        <v>24</v>
      </c>
      <c r="I26" s="103" t="s">
        <v>93</v>
      </c>
      <c r="J26" s="94">
        <v>17</v>
      </c>
      <c r="K26" s="110">
        <v>11</v>
      </c>
      <c r="L26" s="107" t="s">
        <v>97</v>
      </c>
    </row>
    <row r="27" spans="2:13">
      <c r="B27" s="125" t="s">
        <v>98</v>
      </c>
      <c r="C27" s="69" t="s">
        <v>99</v>
      </c>
      <c r="D27" s="70" t="s">
        <v>100</v>
      </c>
      <c r="E27" s="70" t="s">
        <v>101</v>
      </c>
      <c r="F27" s="69" t="s">
        <v>47</v>
      </c>
      <c r="G27" s="69" t="s">
        <v>102</v>
      </c>
      <c r="H27" s="82">
        <v>3</v>
      </c>
      <c r="I27" s="102" t="s">
        <v>45</v>
      </c>
      <c r="J27" s="94">
        <v>3</v>
      </c>
      <c r="K27" s="110">
        <v>2</v>
      </c>
      <c r="L27" s="122" t="s">
        <v>103</v>
      </c>
    </row>
    <row r="28" spans="2:13">
      <c r="B28" s="127"/>
      <c r="C28" s="69" t="s">
        <v>99</v>
      </c>
      <c r="D28" s="70" t="s">
        <v>104</v>
      </c>
      <c r="E28" s="70" t="s">
        <v>86</v>
      </c>
      <c r="F28" s="69" t="s">
        <v>47</v>
      </c>
      <c r="G28" s="69" t="s">
        <v>44</v>
      </c>
      <c r="H28" s="82">
        <v>10</v>
      </c>
      <c r="I28" s="102" t="s">
        <v>45</v>
      </c>
      <c r="J28" s="94">
        <v>7</v>
      </c>
      <c r="K28" s="110">
        <v>4</v>
      </c>
      <c r="L28" s="122"/>
    </row>
    <row r="29" spans="2:13">
      <c r="B29" s="126"/>
      <c r="C29" s="69" t="s">
        <v>99</v>
      </c>
      <c r="D29" s="70" t="s">
        <v>105</v>
      </c>
      <c r="E29" s="70" t="s">
        <v>24</v>
      </c>
      <c r="F29" s="69" t="s">
        <v>25</v>
      </c>
      <c r="G29" s="69" t="s">
        <v>44</v>
      </c>
      <c r="H29" s="82">
        <v>2</v>
      </c>
      <c r="I29" s="102" t="s">
        <v>45</v>
      </c>
      <c r="J29" s="94">
        <v>2</v>
      </c>
      <c r="K29" s="110">
        <v>0</v>
      </c>
      <c r="L29" s="113"/>
    </row>
    <row r="30" spans="2:13">
      <c r="B30" s="74" t="s">
        <v>106</v>
      </c>
      <c r="C30" s="69" t="s">
        <v>84</v>
      </c>
      <c r="D30" s="70" t="s">
        <v>106</v>
      </c>
      <c r="E30" s="70" t="s">
        <v>107</v>
      </c>
      <c r="F30" s="69"/>
      <c r="G30" s="69" t="s">
        <v>108</v>
      </c>
      <c r="H30" s="82">
        <v>20</v>
      </c>
      <c r="I30" s="102" t="s">
        <v>64</v>
      </c>
      <c r="J30" s="94">
        <v>4</v>
      </c>
      <c r="K30" s="110">
        <v>6</v>
      </c>
      <c r="L30" s="113"/>
    </row>
    <row r="31" spans="2:13">
      <c r="B31" s="74" t="s">
        <v>109</v>
      </c>
      <c r="C31" s="69" t="s">
        <v>75</v>
      </c>
      <c r="D31" s="70" t="s">
        <v>109</v>
      </c>
      <c r="E31" s="70"/>
      <c r="F31" s="69" t="s">
        <v>110</v>
      </c>
      <c r="G31" s="69" t="s">
        <v>111</v>
      </c>
      <c r="H31" s="82">
        <v>0</v>
      </c>
      <c r="I31" s="102"/>
      <c r="J31" s="94">
        <v>0</v>
      </c>
      <c r="K31" s="110">
        <v>0</v>
      </c>
      <c r="L31" s="113"/>
    </row>
    <row r="32" spans="2:13">
      <c r="B32" s="75" t="s">
        <v>112</v>
      </c>
      <c r="C32" s="76" t="s">
        <v>113</v>
      </c>
      <c r="D32" s="77" t="s">
        <v>114</v>
      </c>
      <c r="E32" s="77" t="s">
        <v>107</v>
      </c>
      <c r="F32" s="76"/>
      <c r="G32" s="76" t="s">
        <v>115</v>
      </c>
      <c r="H32" s="90">
        <v>30</v>
      </c>
      <c r="I32" s="102"/>
      <c r="J32" s="94">
        <v>30</v>
      </c>
      <c r="K32" s="110">
        <v>8</v>
      </c>
      <c r="L32" s="113"/>
    </row>
    <row r="33" spans="2:12">
      <c r="B33" s="75" t="s">
        <v>116</v>
      </c>
      <c r="C33" s="76" t="s">
        <v>117</v>
      </c>
      <c r="D33" s="77" t="s">
        <v>118</v>
      </c>
      <c r="E33" s="77" t="s">
        <v>119</v>
      </c>
      <c r="F33" s="76"/>
      <c r="G33" s="76" t="s">
        <v>120</v>
      </c>
      <c r="H33" s="82">
        <v>42</v>
      </c>
      <c r="I33" s="102" t="s">
        <v>71</v>
      </c>
      <c r="J33" s="94">
        <v>21</v>
      </c>
      <c r="K33" s="110">
        <v>15</v>
      </c>
      <c r="L33" s="113"/>
    </row>
    <row r="34" spans="2:12">
      <c r="B34" s="75" t="s">
        <v>121</v>
      </c>
      <c r="C34" s="76" t="s">
        <v>61</v>
      </c>
      <c r="D34" s="77" t="s">
        <v>122</v>
      </c>
      <c r="E34" s="77" t="s">
        <v>123</v>
      </c>
      <c r="F34" s="76" t="s">
        <v>51</v>
      </c>
      <c r="G34" s="76" t="s">
        <v>124</v>
      </c>
      <c r="H34" s="82">
        <v>1</v>
      </c>
      <c r="I34" s="103" t="s">
        <v>82</v>
      </c>
      <c r="J34" s="94">
        <v>1</v>
      </c>
      <c r="K34" s="110">
        <v>1</v>
      </c>
      <c r="L34" s="107" t="s">
        <v>65</v>
      </c>
    </row>
    <row r="35" spans="2:12">
      <c r="B35" s="131" t="s">
        <v>125</v>
      </c>
      <c r="C35" s="76" t="s">
        <v>84</v>
      </c>
      <c r="D35" s="76" t="s">
        <v>126</v>
      </c>
      <c r="E35" s="76" t="s">
        <v>127</v>
      </c>
      <c r="F35" s="76"/>
      <c r="G35" s="78" t="s">
        <v>87</v>
      </c>
      <c r="H35" s="91">
        <v>13</v>
      </c>
      <c r="I35" s="102" t="s">
        <v>71</v>
      </c>
      <c r="J35" s="94">
        <v>7</v>
      </c>
      <c r="K35" s="110">
        <v>3</v>
      </c>
      <c r="L35" s="113"/>
    </row>
    <row r="36" spans="2:12">
      <c r="B36" s="131"/>
      <c r="C36" s="76" t="s">
        <v>90</v>
      </c>
      <c r="D36" s="76" t="s">
        <v>128</v>
      </c>
      <c r="E36" s="76" t="s">
        <v>127</v>
      </c>
      <c r="F36" s="76"/>
      <c r="G36" s="78" t="s">
        <v>129</v>
      </c>
      <c r="H36" s="92">
        <v>10</v>
      </c>
      <c r="I36" s="102" t="s">
        <v>93</v>
      </c>
      <c r="J36" s="94">
        <v>7</v>
      </c>
      <c r="K36" s="110">
        <v>0</v>
      </c>
      <c r="L36" s="113"/>
    </row>
    <row r="37" spans="2:12">
      <c r="B37" s="131"/>
      <c r="C37" s="76" t="s">
        <v>130</v>
      </c>
      <c r="D37" s="76" t="s">
        <v>131</v>
      </c>
      <c r="E37" s="76" t="s">
        <v>127</v>
      </c>
      <c r="F37" s="76"/>
      <c r="G37" s="69" t="s">
        <v>132</v>
      </c>
      <c r="H37" s="92">
        <v>1</v>
      </c>
      <c r="I37" s="102" t="s">
        <v>64</v>
      </c>
      <c r="J37" s="94">
        <v>1</v>
      </c>
      <c r="K37" s="110">
        <v>0</v>
      </c>
      <c r="L37" s="107"/>
    </row>
    <row r="38" spans="2:12">
      <c r="B38" s="123" t="s">
        <v>133</v>
      </c>
      <c r="C38" s="76" t="s">
        <v>130</v>
      </c>
      <c r="D38" s="76" t="s">
        <v>134</v>
      </c>
      <c r="E38" s="76" t="s">
        <v>135</v>
      </c>
      <c r="F38" s="76"/>
      <c r="G38" s="69" t="s">
        <v>132</v>
      </c>
      <c r="H38" s="92">
        <v>6</v>
      </c>
      <c r="I38" s="102" t="s">
        <v>64</v>
      </c>
      <c r="J38" s="94">
        <v>6</v>
      </c>
      <c r="K38" s="110">
        <v>5</v>
      </c>
      <c r="L38" s="107" t="s">
        <v>136</v>
      </c>
    </row>
    <row r="39" spans="2:12">
      <c r="B39" s="123"/>
      <c r="C39" s="76" t="s">
        <v>130</v>
      </c>
      <c r="D39" s="76" t="s">
        <v>134</v>
      </c>
      <c r="E39" s="76" t="s">
        <v>137</v>
      </c>
      <c r="F39" s="76"/>
      <c r="G39" s="69" t="s">
        <v>70</v>
      </c>
      <c r="H39" s="92">
        <v>1</v>
      </c>
      <c r="I39" s="102" t="s">
        <v>64</v>
      </c>
      <c r="J39" s="94">
        <v>1</v>
      </c>
      <c r="K39" s="110">
        <v>2</v>
      </c>
      <c r="L39" s="107" t="s">
        <v>72</v>
      </c>
    </row>
    <row r="40" spans="2:12">
      <c r="B40" s="124"/>
      <c r="C40" s="79" t="s">
        <v>130</v>
      </c>
      <c r="D40" s="79" t="s">
        <v>134</v>
      </c>
      <c r="E40" s="79" t="s">
        <v>138</v>
      </c>
      <c r="F40" s="79"/>
      <c r="G40" s="80" t="s">
        <v>139</v>
      </c>
      <c r="H40" s="93">
        <v>1</v>
      </c>
      <c r="I40" s="105" t="s">
        <v>64</v>
      </c>
      <c r="J40" s="94">
        <v>1</v>
      </c>
      <c r="K40" s="110">
        <v>0</v>
      </c>
      <c r="L40" s="113"/>
    </row>
    <row r="41" spans="2:12">
      <c r="B41" s="95" t="s">
        <v>140</v>
      </c>
      <c r="C41" s="69" t="s">
        <v>141</v>
      </c>
      <c r="D41" s="69" t="s">
        <v>73</v>
      </c>
      <c r="E41" s="69" t="s">
        <v>127</v>
      </c>
      <c r="F41" s="69" t="s">
        <v>127</v>
      </c>
      <c r="G41" s="69" t="s">
        <v>124</v>
      </c>
      <c r="H41" s="94">
        <v>32</v>
      </c>
      <c r="I41" s="103"/>
      <c r="J41" s="94">
        <v>0</v>
      </c>
      <c r="K41" s="110">
        <v>0</v>
      </c>
      <c r="L41" s="113"/>
    </row>
    <row r="42" spans="2:12">
      <c r="B42" s="96"/>
      <c r="C42" s="96"/>
      <c r="D42" s="96"/>
      <c r="E42" s="96"/>
      <c r="F42" s="96"/>
      <c r="G42" s="96"/>
      <c r="H42" s="97">
        <f>SUM(H9:H41)-H32-H33</f>
        <v>470</v>
      </c>
      <c r="I42" s="97" t="e">
        <f>SUM(I9:I41)-I32-I33</f>
        <v>#VALUE!</v>
      </c>
      <c r="J42" s="97">
        <f>SUM(J9:J41)-J32-J33</f>
        <v>287</v>
      </c>
      <c r="K42" s="111">
        <f>SUM(K9:K41)-K32-K33</f>
        <v>223</v>
      </c>
      <c r="L42" s="106"/>
    </row>
    <row r="43" spans="2:12">
      <c r="B43" s="72"/>
      <c r="C43" s="72"/>
      <c r="D43" s="72"/>
      <c r="E43" s="72"/>
      <c r="F43" s="72"/>
      <c r="G43" s="72"/>
      <c r="H43" s="72"/>
      <c r="I43" s="72"/>
      <c r="J43" s="72"/>
      <c r="K43" s="112"/>
    </row>
    <row r="74" spans="10:10">
      <c r="J74" s="63" t="s">
        <v>142</v>
      </c>
    </row>
    <row r="1048575" spans="9:10">
      <c r="I1048575" s="81" t="s">
        <v>143</v>
      </c>
      <c r="J1048575" s="72"/>
    </row>
  </sheetData>
  <autoFilter ref="A7:K7" xr:uid="{00000000-0001-0000-0000-000000000000}"/>
  <mergeCells count="11">
    <mergeCell ref="B8:D8"/>
    <mergeCell ref="B9:B11"/>
    <mergeCell ref="B12:B17"/>
    <mergeCell ref="J13:J15"/>
    <mergeCell ref="B18:B24"/>
    <mergeCell ref="L27:L28"/>
    <mergeCell ref="B38:B40"/>
    <mergeCell ref="B25:B26"/>
    <mergeCell ref="B27:B29"/>
    <mergeCell ref="K13:K15"/>
    <mergeCell ref="B35:B37"/>
  </mergeCells>
  <hyperlinks>
    <hyperlink ref="H17" r:id="rId1" display="43" xr:uid="{CFF65308-DD14-42E1-9838-77F092013C6C}"/>
    <hyperlink ref="L7" r:id="rId2" xr:uid="{103DE7A5-E125-4ADA-9128-6D8164244027}"/>
    <hyperlink ref="L18" r:id="rId3" display="https://intel.sharepoint.com/:p:/r/sites/p1281device/Shared Documents/Testchip/0_X81Z/8_Catalog/1281-TC_X81Z_Golden-PFT_MAT_GNAC_26ww32.5_v2_catalog.pptx?d=w6337101e00354944b7191754ebfade54&amp;csf=1&amp;web=1&amp;e=iNfscf" xr:uid="{6A25B9EC-B62C-4184-8282-02E65D11F7CE}"/>
    <hyperlink ref="L34" r:id="rId4" display="https://intel.sharepoint.com/:p:/r/sites/p1281device/Shared Documents/Testchip/0_X81Z/8_Catalog/1281-TC_X81Z_Golden-PFT_MAT_GNAC_26ww32.5_v2_catalog.pptx?d=w6337101e00354944b7191754ebfade54&amp;csf=1&amp;web=1&amp;e=iNfscf" xr:uid="{BC705319-5699-4B5B-A89C-73F7AEA41D0B}"/>
    <hyperlink ref="L23" r:id="rId5" display="1281-TC_X81Z_PW MLR_26WW33.5_Catalog.pptx" xr:uid="{BC6B3AED-A84B-472B-A8B7-E3CC7D06AE75}"/>
    <hyperlink ref="L26" r:id="rId6" xr:uid="{BFFEEA75-9E92-4896-B3C5-1F47D14DAF2A}"/>
    <hyperlink ref="L25" r:id="rId7" xr:uid="{13B077A3-C7F7-4E3F-9A9E-C2765303DCF4}"/>
    <hyperlink ref="L24" r:id="rId8" xr:uid="{CD3E9221-1899-451B-AEED-5F325D321308}"/>
    <hyperlink ref="L27:L28" r:id="rId9" display="X81Z_Etest_Memory_Catalog_26WW33.pptx" xr:uid="{906F3CA1-A6E7-49DF-8D9F-7930F4D229B8}"/>
    <hyperlink ref="L38" r:id="rId10" display="https://intel.sharepoint.com/:p:/r/sites/p1281device/Shared Documents/Testchip/0_X81Z/8_Catalog/1281-TC_X81Z_ADT_Catalog_26WW33.pptx?d=wd8c3a894e26e45758fc13b11bb3b48a2&amp;csf=1&amp;web=1&amp;e=0wKwYA" xr:uid="{F9DD768E-A726-4484-9351-BCFEC91EB595}"/>
    <hyperlink ref="L22" r:id="rId11" xr:uid="{154BC9B5-E3B1-48AF-9B1E-17A362081D42}"/>
    <hyperlink ref="L20" r:id="rId12" display="https://intel.sharepoint.com/:p:/r/sites/p1281device/Shared Documents/Testchip/0_X81Z/8_Catalog/1281-TC_X81Z_Golden-PFT_MAT_GNAC_26ww32.5_v2_catalog.pptx?d=w6337101e00354944b7191754ebfade54&amp;csf=1&amp;web=1&amp;e=iNfscf" xr:uid="{C5D57A19-192A-4E2F-8E9A-5953D36C129E}"/>
    <hyperlink ref="L21" r:id="rId13" xr:uid="{70949D9D-5360-47BC-950B-A379E8F19937}"/>
    <hyperlink ref="L19" r:id="rId14" xr:uid="{8C244601-26F1-4B65-9559-7CB9C1431EE0}"/>
    <hyperlink ref="L39" r:id="rId15" xr:uid="{3B6C9C95-C241-45F1-9069-12645243DE2E}"/>
    <hyperlink ref="L9" r:id="rId16" xr:uid="{852DC67D-CFDE-4E0A-BCFD-735157DEF669}"/>
    <hyperlink ref="L10" r:id="rId17" xr:uid="{102A5588-40D1-4D1F-8AB0-A01A0954B397}"/>
    <hyperlink ref="L11" r:id="rId18" xr:uid="{3AE06FB9-A27E-4333-A1B0-937F89312ACE}"/>
    <hyperlink ref="L12" r:id="rId19" xr:uid="{01A9CE9A-0131-4385-90FD-6B6D13E5C0AC}"/>
  </hyperlinks>
  <pageMargins left="0.25" right="0.25" top="0.75" bottom="0.75" header="0.3" footer="0.3"/>
  <pageSetup orientation="landscape" r:id="rId20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E319"/>
  <sheetViews>
    <sheetView tabSelected="1" topLeftCell="A217" zoomScaleNormal="100" workbookViewId="0">
      <pane xSplit="1" topLeftCell="B1" activePane="topRight" state="frozen"/>
      <selection pane="topRight" activeCell="H219" sqref="H219"/>
    </sheetView>
  </sheetViews>
  <sheetFormatPr defaultColWidth="8.5703125" defaultRowHeight="14.45"/>
  <cols>
    <col min="1" max="1" width="20.5703125" style="15" bestFit="1" customWidth="1"/>
    <col min="2" max="2" width="22.42578125" style="15" customWidth="1"/>
    <col min="3" max="3" width="16.5703125" style="4" bestFit="1" customWidth="1"/>
    <col min="4" max="4" width="14.5703125" style="4" customWidth="1"/>
    <col min="5" max="5" width="10" style="4" customWidth="1"/>
    <col min="6" max="6" width="6" style="4" customWidth="1"/>
    <col min="7" max="7" width="8.5703125" style="15" customWidth="1"/>
    <col min="8" max="8" width="15.5703125" style="4" customWidth="1"/>
    <col min="9" max="9" width="93.42578125" style="4" bestFit="1" customWidth="1"/>
    <col min="10" max="10" width="8.5703125" style="15" hidden="1" customWidth="1"/>
    <col min="11" max="11" width="8.5703125" style="3" hidden="1" customWidth="1"/>
    <col min="12" max="12" width="11.85546875" style="45" hidden="1" customWidth="1"/>
    <col min="13" max="13" width="12.85546875" style="31" hidden="1" customWidth="1"/>
    <col min="14" max="14" width="4.5703125" style="31" hidden="1" customWidth="1"/>
    <col min="15" max="15" width="16.42578125" hidden="1" customWidth="1"/>
    <col min="16" max="16" width="16.42578125" style="44" hidden="1" customWidth="1"/>
    <col min="17" max="17" width="16.5703125" style="44" hidden="1" customWidth="1"/>
    <col min="18" max="18" width="18.42578125" style="44" hidden="1" customWidth="1"/>
    <col min="19" max="19" width="12.5703125" style="44" hidden="1" customWidth="1"/>
    <col min="20" max="20" width="12.42578125" style="44" hidden="1" customWidth="1"/>
    <col min="21" max="21" width="20.42578125" style="44" hidden="1" customWidth="1"/>
    <col min="22" max="22" width="17.5703125" style="44" hidden="1" customWidth="1"/>
    <col min="23" max="23" width="14.5703125" style="44" hidden="1" customWidth="1"/>
    <col min="24" max="24" width="13.42578125" style="44" hidden="1" customWidth="1"/>
    <col min="25" max="25" width="36.140625" style="45" hidden="1" customWidth="1"/>
    <col min="26" max="26" width="47.85546875" style="45" hidden="1" customWidth="1"/>
    <col min="27" max="27" width="51.42578125" style="1" hidden="1" customWidth="1"/>
    <col min="28" max="28" width="15.5703125" style="44" bestFit="1" customWidth="1"/>
    <col min="29" max="29" width="17.42578125" style="44" bestFit="1" customWidth="1"/>
    <col min="30" max="30" width="8.5703125" style="44"/>
    <col min="31" max="31" width="0" style="1" hidden="1" customWidth="1"/>
    <col min="32" max="16384" width="8.5703125" style="1"/>
  </cols>
  <sheetData>
    <row r="1" spans="1:31" s="13" customFormat="1">
      <c r="A1" s="14" t="s">
        <v>144</v>
      </c>
      <c r="B1" s="14" t="s">
        <v>145</v>
      </c>
      <c r="C1" s="12" t="s">
        <v>146</v>
      </c>
      <c r="D1" s="12" t="s">
        <v>147</v>
      </c>
      <c r="E1" s="12" t="s">
        <v>148</v>
      </c>
      <c r="F1" s="12" t="s">
        <v>149</v>
      </c>
      <c r="G1" s="14" t="s">
        <v>150</v>
      </c>
      <c r="H1" s="12" t="s">
        <v>151</v>
      </c>
      <c r="I1" s="12" t="s">
        <v>152</v>
      </c>
      <c r="J1" s="14" t="s">
        <v>153</v>
      </c>
      <c r="K1" s="29" t="s">
        <v>154</v>
      </c>
      <c r="L1" s="50" t="s">
        <v>155</v>
      </c>
      <c r="M1" s="34" t="s">
        <v>156</v>
      </c>
      <c r="N1" s="34" t="s">
        <v>157</v>
      </c>
      <c r="O1" s="36" t="s">
        <v>158</v>
      </c>
      <c r="P1" s="43" t="s">
        <v>159</v>
      </c>
      <c r="Q1" s="43" t="s">
        <v>160</v>
      </c>
      <c r="R1" s="43" t="s">
        <v>161</v>
      </c>
      <c r="S1" s="43" t="s">
        <v>162</v>
      </c>
      <c r="T1" s="43" t="s">
        <v>163</v>
      </c>
      <c r="U1" s="43" t="s">
        <v>164</v>
      </c>
      <c r="V1" s="43" t="s">
        <v>165</v>
      </c>
      <c r="W1" s="43" t="s">
        <v>166</v>
      </c>
      <c r="X1" s="43" t="s">
        <v>167</v>
      </c>
      <c r="Y1" s="50" t="s">
        <v>168</v>
      </c>
      <c r="Z1" s="50" t="s">
        <v>169</v>
      </c>
      <c r="AA1" s="30" t="s">
        <v>170</v>
      </c>
      <c r="AB1" s="120" t="s">
        <v>171</v>
      </c>
      <c r="AC1" s="120" t="s">
        <v>172</v>
      </c>
      <c r="AD1" s="120" t="s">
        <v>173</v>
      </c>
      <c r="AE1" s="13" t="s">
        <v>174</v>
      </c>
    </row>
    <row r="2" spans="1:31" hidden="1">
      <c r="A2" s="15" t="s">
        <v>175</v>
      </c>
      <c r="B2" s="15" t="s">
        <v>176</v>
      </c>
      <c r="C2" s="4" t="s">
        <v>177</v>
      </c>
      <c r="D2" s="4" t="s">
        <v>24</v>
      </c>
      <c r="E2" s="4" t="s">
        <v>25</v>
      </c>
      <c r="G2" s="15">
        <v>0</v>
      </c>
      <c r="H2" s="4" t="s">
        <v>76</v>
      </c>
      <c r="I2" s="17" t="s">
        <v>178</v>
      </c>
      <c r="J2" s="15" t="s">
        <v>179</v>
      </c>
      <c r="K2" s="15"/>
      <c r="M2" s="15"/>
      <c r="N2" s="15" t="s">
        <v>180</v>
      </c>
      <c r="O2" s="4" t="s">
        <v>75</v>
      </c>
      <c r="P2" s="4" t="s">
        <v>181</v>
      </c>
      <c r="Q2" s="18" t="s">
        <v>182</v>
      </c>
      <c r="R2" s="4" t="s">
        <v>183</v>
      </c>
      <c r="S2" s="4" t="s">
        <v>183</v>
      </c>
      <c r="T2" s="4" t="s">
        <v>183</v>
      </c>
      <c r="U2" s="4"/>
      <c r="V2" s="4"/>
      <c r="W2" s="4"/>
      <c r="X2" s="4"/>
      <c r="Y2" s="15"/>
      <c r="Z2" s="15"/>
      <c r="AA2" s="4"/>
      <c r="AC2" s="44" t="s">
        <v>131</v>
      </c>
      <c r="AE2"/>
    </row>
    <row r="3" spans="1:31" hidden="1">
      <c r="A3" s="15" t="s">
        <v>184</v>
      </c>
      <c r="B3" s="15" t="s">
        <v>176</v>
      </c>
      <c r="C3" s="4" t="s">
        <v>75</v>
      </c>
      <c r="D3" s="4" t="s">
        <v>24</v>
      </c>
      <c r="E3" s="4" t="s">
        <v>25</v>
      </c>
      <c r="G3" s="15">
        <v>1</v>
      </c>
      <c r="H3" s="4" t="s">
        <v>131</v>
      </c>
      <c r="I3" s="41" t="s">
        <v>131</v>
      </c>
      <c r="J3" s="15" t="s">
        <v>185</v>
      </c>
      <c r="K3" s="15" t="s">
        <v>186</v>
      </c>
      <c r="M3" s="15" t="s">
        <v>187</v>
      </c>
      <c r="N3" s="15"/>
      <c r="O3" s="4" t="s">
        <v>75</v>
      </c>
      <c r="P3" s="44" t="s">
        <v>188</v>
      </c>
      <c r="Q3" s="46" t="s">
        <v>182</v>
      </c>
      <c r="S3" s="44" t="s">
        <v>189</v>
      </c>
      <c r="U3" s="44" t="s">
        <v>90</v>
      </c>
      <c r="V3" s="47">
        <v>46220</v>
      </c>
      <c r="W3" s="47">
        <v>46221</v>
      </c>
      <c r="Z3" s="60" t="s">
        <v>190</v>
      </c>
      <c r="AA3" s="4"/>
      <c r="AC3" s="44" t="s">
        <v>131</v>
      </c>
      <c r="AD3" s="44" t="s">
        <v>191</v>
      </c>
      <c r="AE3" s="1">
        <v>372</v>
      </c>
    </row>
    <row r="4" spans="1:31" hidden="1">
      <c r="A4" s="15" t="s">
        <v>192</v>
      </c>
      <c r="B4" s="15" t="s">
        <v>176</v>
      </c>
      <c r="C4" s="4" t="s">
        <v>75</v>
      </c>
      <c r="D4" s="4" t="s">
        <v>24</v>
      </c>
      <c r="E4" s="4" t="s">
        <v>25</v>
      </c>
      <c r="F4" s="4" t="s">
        <v>193</v>
      </c>
      <c r="G4" s="15">
        <v>1</v>
      </c>
      <c r="H4" s="4" t="s">
        <v>131</v>
      </c>
      <c r="I4" s="11" t="s">
        <v>194</v>
      </c>
      <c r="J4" s="15" t="s">
        <v>185</v>
      </c>
      <c r="K4" s="15" t="s">
        <v>186</v>
      </c>
      <c r="M4" s="15" t="s">
        <v>195</v>
      </c>
      <c r="N4" s="15"/>
      <c r="O4" s="4" t="s">
        <v>75</v>
      </c>
      <c r="P4" s="44" t="s">
        <v>188</v>
      </c>
      <c r="Q4" s="46" t="s">
        <v>182</v>
      </c>
      <c r="S4" s="44" t="s">
        <v>189</v>
      </c>
      <c r="U4" s="44" t="s">
        <v>61</v>
      </c>
      <c r="V4" s="47">
        <v>46230</v>
      </c>
      <c r="W4" s="47">
        <v>46230</v>
      </c>
      <c r="Z4" s="60" t="s">
        <v>190</v>
      </c>
      <c r="AA4" s="4"/>
      <c r="AC4" s="44" t="s">
        <v>131</v>
      </c>
      <c r="AD4" s="44" t="s">
        <v>191</v>
      </c>
      <c r="AE4" s="1">
        <v>372</v>
      </c>
    </row>
    <row r="5" spans="1:31" hidden="1">
      <c r="A5" s="15" t="s">
        <v>196</v>
      </c>
      <c r="B5" s="15" t="s">
        <v>176</v>
      </c>
      <c r="C5" s="4" t="s">
        <v>75</v>
      </c>
      <c r="D5" s="4" t="s">
        <v>24</v>
      </c>
      <c r="E5" s="4" t="s">
        <v>25</v>
      </c>
      <c r="G5" s="15">
        <v>1</v>
      </c>
      <c r="H5" s="4" t="s">
        <v>131</v>
      </c>
      <c r="I5" s="41" t="s">
        <v>131</v>
      </c>
      <c r="J5" s="15" t="s">
        <v>185</v>
      </c>
      <c r="K5" s="15" t="s">
        <v>186</v>
      </c>
      <c r="M5" s="15" t="s">
        <v>187</v>
      </c>
      <c r="N5" s="15"/>
      <c r="O5" s="4" t="s">
        <v>75</v>
      </c>
      <c r="P5" s="44" t="s">
        <v>188</v>
      </c>
      <c r="Q5" s="46" t="s">
        <v>182</v>
      </c>
      <c r="S5" s="44" t="s">
        <v>189</v>
      </c>
      <c r="U5" s="44" t="s">
        <v>90</v>
      </c>
      <c r="V5" s="47">
        <v>46220</v>
      </c>
      <c r="W5" s="47">
        <v>46221</v>
      </c>
      <c r="Z5" s="60" t="s">
        <v>190</v>
      </c>
      <c r="AA5" s="4"/>
      <c r="AC5" s="44" t="s">
        <v>131</v>
      </c>
      <c r="AD5" s="44" t="s">
        <v>191</v>
      </c>
      <c r="AE5" s="1">
        <v>372</v>
      </c>
    </row>
    <row r="6" spans="1:31" customFormat="1" hidden="1">
      <c r="A6" s="15" t="s">
        <v>197</v>
      </c>
      <c r="B6" s="15" t="s">
        <v>176</v>
      </c>
      <c r="C6" s="4" t="s">
        <v>75</v>
      </c>
      <c r="D6" s="4" t="s">
        <v>24</v>
      </c>
      <c r="E6" s="4" t="s">
        <v>25</v>
      </c>
      <c r="F6" s="4" t="s">
        <v>193</v>
      </c>
      <c r="G6" s="15">
        <v>1</v>
      </c>
      <c r="H6" s="4" t="s">
        <v>131</v>
      </c>
      <c r="I6" s="11" t="s">
        <v>194</v>
      </c>
      <c r="J6" s="15" t="s">
        <v>185</v>
      </c>
      <c r="K6" s="15" t="s">
        <v>186</v>
      </c>
      <c r="L6" s="45"/>
      <c r="M6" s="15" t="s">
        <v>195</v>
      </c>
      <c r="N6" s="15"/>
      <c r="O6" s="4" t="s">
        <v>75</v>
      </c>
      <c r="P6" s="44" t="s">
        <v>188</v>
      </c>
      <c r="Q6" s="46" t="s">
        <v>182</v>
      </c>
      <c r="R6" s="44"/>
      <c r="S6" s="44" t="s">
        <v>189</v>
      </c>
      <c r="T6" s="44"/>
      <c r="U6" s="44" t="s">
        <v>61</v>
      </c>
      <c r="V6" s="47">
        <v>46230</v>
      </c>
      <c r="W6" s="47">
        <v>46230</v>
      </c>
      <c r="X6" s="44"/>
      <c r="Y6" s="45"/>
      <c r="Z6" s="60" t="s">
        <v>190</v>
      </c>
      <c r="AA6" s="4"/>
      <c r="AB6" s="44"/>
      <c r="AC6" s="44" t="s">
        <v>131</v>
      </c>
      <c r="AD6" s="44" t="s">
        <v>191</v>
      </c>
      <c r="AE6" s="1">
        <v>372</v>
      </c>
    </row>
    <row r="7" spans="1:31" customFormat="1" hidden="1">
      <c r="A7" s="15" t="s">
        <v>198</v>
      </c>
      <c r="B7" s="15" t="s">
        <v>176</v>
      </c>
      <c r="C7" s="4" t="s">
        <v>75</v>
      </c>
      <c r="D7" s="4" t="s">
        <v>24</v>
      </c>
      <c r="E7" s="4" t="s">
        <v>25</v>
      </c>
      <c r="F7" s="4"/>
      <c r="G7" s="15">
        <v>1</v>
      </c>
      <c r="H7" s="4" t="s">
        <v>131</v>
      </c>
      <c r="I7" s="4" t="s">
        <v>199</v>
      </c>
      <c r="J7" s="15" t="s">
        <v>185</v>
      </c>
      <c r="K7" s="15" t="s">
        <v>186</v>
      </c>
      <c r="L7" s="45"/>
      <c r="M7" s="15" t="s">
        <v>187</v>
      </c>
      <c r="N7" s="15"/>
      <c r="O7" s="4" t="s">
        <v>75</v>
      </c>
      <c r="P7" s="44" t="s">
        <v>188</v>
      </c>
      <c r="Q7" s="46" t="s">
        <v>182</v>
      </c>
      <c r="R7" s="44"/>
      <c r="S7" s="44" t="s">
        <v>189</v>
      </c>
      <c r="T7" s="44"/>
      <c r="U7" s="44" t="s">
        <v>90</v>
      </c>
      <c r="V7" s="47">
        <v>46227</v>
      </c>
      <c r="W7" s="47">
        <v>46228</v>
      </c>
      <c r="X7" s="44"/>
      <c r="Y7" s="45"/>
      <c r="Z7" s="60" t="s">
        <v>190</v>
      </c>
      <c r="AA7" s="4"/>
      <c r="AB7" s="44"/>
      <c r="AC7" s="44" t="s">
        <v>131</v>
      </c>
      <c r="AD7" s="44" t="s">
        <v>191</v>
      </c>
      <c r="AE7" s="1">
        <v>372</v>
      </c>
    </row>
    <row r="8" spans="1:31" customFormat="1" hidden="1">
      <c r="A8" s="15" t="s">
        <v>200</v>
      </c>
      <c r="B8" s="15" t="s">
        <v>201</v>
      </c>
      <c r="C8" s="4" t="s">
        <v>66</v>
      </c>
      <c r="D8" s="4" t="s">
        <v>68</v>
      </c>
      <c r="E8" s="4" t="s">
        <v>69</v>
      </c>
      <c r="F8" s="4"/>
      <c r="G8" s="15">
        <v>1</v>
      </c>
      <c r="H8" s="4" t="s">
        <v>202</v>
      </c>
      <c r="I8" s="11" t="s">
        <v>203</v>
      </c>
      <c r="J8" s="15" t="s">
        <v>185</v>
      </c>
      <c r="K8" s="15" t="s">
        <v>186</v>
      </c>
      <c r="L8" s="45"/>
      <c r="M8" s="15"/>
      <c r="N8" s="15"/>
      <c r="O8" s="4" t="s">
        <v>75</v>
      </c>
      <c r="P8" s="44" t="s">
        <v>188</v>
      </c>
      <c r="Q8" s="46" t="s">
        <v>182</v>
      </c>
      <c r="R8" s="44" t="s">
        <v>189</v>
      </c>
      <c r="S8" s="44" t="s">
        <v>189</v>
      </c>
      <c r="T8" s="44" t="s">
        <v>189</v>
      </c>
      <c r="U8" s="44" t="s">
        <v>61</v>
      </c>
      <c r="V8" s="44" t="s">
        <v>204</v>
      </c>
      <c r="W8" s="44" t="s">
        <v>204</v>
      </c>
      <c r="X8" s="44" t="s">
        <v>204</v>
      </c>
      <c r="Y8" s="45"/>
      <c r="Z8" s="45" t="s">
        <v>205</v>
      </c>
      <c r="AA8" s="4"/>
      <c r="AB8" s="44"/>
      <c r="AC8" s="44" t="s">
        <v>131</v>
      </c>
      <c r="AD8" s="44" t="s">
        <v>191</v>
      </c>
      <c r="AE8" s="1">
        <v>112</v>
      </c>
    </row>
    <row r="9" spans="1:31" customFormat="1" hidden="1">
      <c r="A9" s="15" t="s">
        <v>206</v>
      </c>
      <c r="B9" s="15" t="s">
        <v>201</v>
      </c>
      <c r="C9" s="4" t="s">
        <v>66</v>
      </c>
      <c r="D9" s="4" t="s">
        <v>68</v>
      </c>
      <c r="E9" s="4" t="s">
        <v>69</v>
      </c>
      <c r="F9" s="4"/>
      <c r="G9" s="15">
        <v>1</v>
      </c>
      <c r="H9" s="4" t="s">
        <v>202</v>
      </c>
      <c r="I9" s="11" t="s">
        <v>207</v>
      </c>
      <c r="J9" s="15" t="s">
        <v>185</v>
      </c>
      <c r="K9" s="15" t="s">
        <v>186</v>
      </c>
      <c r="L9" s="45"/>
      <c r="M9" s="15"/>
      <c r="N9" s="15"/>
      <c r="O9" s="4" t="s">
        <v>75</v>
      </c>
      <c r="P9" s="44" t="s">
        <v>188</v>
      </c>
      <c r="Q9" s="46" t="s">
        <v>182</v>
      </c>
      <c r="R9" s="44" t="s">
        <v>189</v>
      </c>
      <c r="S9" s="44" t="s">
        <v>189</v>
      </c>
      <c r="T9" s="44" t="s">
        <v>189</v>
      </c>
      <c r="U9" s="44" t="s">
        <v>61</v>
      </c>
      <c r="V9" s="44" t="s">
        <v>204</v>
      </c>
      <c r="W9" s="44" t="s">
        <v>204</v>
      </c>
      <c r="X9" s="44" t="s">
        <v>204</v>
      </c>
      <c r="Y9" s="45"/>
      <c r="Z9" s="45" t="s">
        <v>205</v>
      </c>
      <c r="AA9" s="4"/>
      <c r="AB9" s="44"/>
      <c r="AC9" s="44" t="s">
        <v>131</v>
      </c>
      <c r="AD9" s="44" t="s">
        <v>191</v>
      </c>
      <c r="AE9" s="1">
        <v>112</v>
      </c>
    </row>
    <row r="10" spans="1:31" customFormat="1" hidden="1">
      <c r="A10" s="15" t="s">
        <v>208</v>
      </c>
      <c r="B10" s="15" t="s">
        <v>176</v>
      </c>
      <c r="C10" s="4" t="s">
        <v>177</v>
      </c>
      <c r="D10" s="4" t="s">
        <v>24</v>
      </c>
      <c r="E10" s="4" t="s">
        <v>25</v>
      </c>
      <c r="F10" s="4"/>
      <c r="G10" s="15">
        <v>0</v>
      </c>
      <c r="H10" s="4" t="s">
        <v>76</v>
      </c>
      <c r="I10" s="17" t="s">
        <v>178</v>
      </c>
      <c r="J10" s="15" t="s">
        <v>179</v>
      </c>
      <c r="K10" s="15"/>
      <c r="L10" s="45"/>
      <c r="M10" s="15"/>
      <c r="N10" s="15" t="s">
        <v>180</v>
      </c>
      <c r="O10" s="4" t="s">
        <v>75</v>
      </c>
      <c r="P10" s="4" t="s">
        <v>181</v>
      </c>
      <c r="Q10" s="18" t="s">
        <v>182</v>
      </c>
      <c r="R10" s="4" t="s">
        <v>183</v>
      </c>
      <c r="S10" s="4" t="s">
        <v>183</v>
      </c>
      <c r="T10" s="4" t="s">
        <v>183</v>
      </c>
      <c r="U10" s="4"/>
      <c r="V10" s="4"/>
      <c r="W10" s="4"/>
      <c r="X10" s="4"/>
      <c r="Y10" s="15"/>
      <c r="Z10" s="15"/>
      <c r="AA10" s="4"/>
      <c r="AB10" s="44"/>
      <c r="AC10" s="44" t="s">
        <v>209</v>
      </c>
      <c r="AD10" s="44" t="s">
        <v>191</v>
      </c>
    </row>
    <row r="11" spans="1:31" customFormat="1" hidden="1">
      <c r="A11" s="15" t="s">
        <v>210</v>
      </c>
      <c r="B11" s="15" t="s">
        <v>176</v>
      </c>
      <c r="C11" s="4" t="s">
        <v>211</v>
      </c>
      <c r="D11" s="4" t="s">
        <v>24</v>
      </c>
      <c r="E11" s="4" t="s">
        <v>25</v>
      </c>
      <c r="F11" s="4"/>
      <c r="G11" s="15">
        <v>1</v>
      </c>
      <c r="H11" s="4" t="s">
        <v>135</v>
      </c>
      <c r="I11" s="4" t="s">
        <v>212</v>
      </c>
      <c r="J11" s="15" t="s">
        <v>179</v>
      </c>
      <c r="K11" s="15" t="s">
        <v>186</v>
      </c>
      <c r="L11" s="45" t="s">
        <v>189</v>
      </c>
      <c r="M11" s="31" t="s">
        <v>213</v>
      </c>
      <c r="N11" s="31"/>
      <c r="O11" s="4" t="s">
        <v>61</v>
      </c>
      <c r="P11" s="44" t="s">
        <v>214</v>
      </c>
      <c r="Q11" s="46" t="s">
        <v>215</v>
      </c>
      <c r="R11" s="44" t="s">
        <v>189</v>
      </c>
      <c r="S11" s="44" t="s">
        <v>189</v>
      </c>
      <c r="T11" s="44" t="s">
        <v>189</v>
      </c>
      <c r="U11" s="44" t="s">
        <v>61</v>
      </c>
      <c r="V11" s="44" t="s">
        <v>216</v>
      </c>
      <c r="W11" s="44" t="s">
        <v>216</v>
      </c>
      <c r="X11" s="44"/>
      <c r="Y11" s="45"/>
      <c r="Z11" s="28" t="s">
        <v>217</v>
      </c>
      <c r="AA11" s="4"/>
      <c r="AB11" s="44" t="s">
        <v>218</v>
      </c>
      <c r="AC11" s="44" t="s">
        <v>219</v>
      </c>
      <c r="AD11" s="44" t="s">
        <v>220</v>
      </c>
      <c r="AE11" s="1">
        <v>372</v>
      </c>
    </row>
    <row r="12" spans="1:31" customFormat="1" hidden="1">
      <c r="A12" s="15" t="s">
        <v>221</v>
      </c>
      <c r="B12" s="15" t="s">
        <v>176</v>
      </c>
      <c r="C12" s="4" t="s">
        <v>211</v>
      </c>
      <c r="D12" s="4" t="s">
        <v>24</v>
      </c>
      <c r="E12" s="4" t="s">
        <v>25</v>
      </c>
      <c r="F12" s="4"/>
      <c r="G12" s="15">
        <v>1</v>
      </c>
      <c r="H12" s="4" t="s">
        <v>135</v>
      </c>
      <c r="I12" s="4" t="s">
        <v>222</v>
      </c>
      <c r="J12" s="15" t="s">
        <v>223</v>
      </c>
      <c r="K12" s="3"/>
      <c r="L12" s="45" t="s">
        <v>189</v>
      </c>
      <c r="M12" s="31" t="s">
        <v>189</v>
      </c>
      <c r="N12" s="31"/>
      <c r="O12" t="s">
        <v>61</v>
      </c>
      <c r="P12" s="44" t="s">
        <v>214</v>
      </c>
      <c r="Q12" s="46" t="s">
        <v>215</v>
      </c>
      <c r="R12" s="44" t="s">
        <v>189</v>
      </c>
      <c r="S12" s="44" t="s">
        <v>183</v>
      </c>
      <c r="T12" s="44" t="s">
        <v>189</v>
      </c>
      <c r="U12" s="44" t="s">
        <v>75</v>
      </c>
      <c r="V12" s="47">
        <v>46207</v>
      </c>
      <c r="W12" s="44"/>
      <c r="X12" s="44"/>
      <c r="Y12" s="45"/>
      <c r="Z12" s="45" t="s">
        <v>224</v>
      </c>
      <c r="AA12" s="1" t="s">
        <v>225</v>
      </c>
      <c r="AB12" s="44" t="s">
        <v>218</v>
      </c>
      <c r="AC12" s="44" t="s">
        <v>219</v>
      </c>
      <c r="AD12" s="44" t="s">
        <v>220</v>
      </c>
      <c r="AE12" s="1">
        <v>372</v>
      </c>
    </row>
    <row r="13" spans="1:31" customFormat="1" hidden="1">
      <c r="A13" s="15" t="s">
        <v>226</v>
      </c>
      <c r="B13" s="15" t="s">
        <v>176</v>
      </c>
      <c r="C13" s="4" t="s">
        <v>211</v>
      </c>
      <c r="D13" s="4" t="s">
        <v>24</v>
      </c>
      <c r="E13" s="4" t="s">
        <v>25</v>
      </c>
      <c r="F13" s="4"/>
      <c r="G13" s="15">
        <v>1</v>
      </c>
      <c r="H13" s="4" t="s">
        <v>135</v>
      </c>
      <c r="I13" s="4" t="s">
        <v>227</v>
      </c>
      <c r="J13" s="15" t="s">
        <v>223</v>
      </c>
      <c r="K13" s="3"/>
      <c r="L13" s="45"/>
      <c r="M13" s="31" t="s">
        <v>189</v>
      </c>
      <c r="N13" s="31"/>
      <c r="O13" t="s">
        <v>61</v>
      </c>
      <c r="P13" s="44" t="s">
        <v>214</v>
      </c>
      <c r="Q13" s="46" t="s">
        <v>215</v>
      </c>
      <c r="R13" s="44" t="s">
        <v>189</v>
      </c>
      <c r="S13" s="44" t="s">
        <v>183</v>
      </c>
      <c r="T13" s="44" t="s">
        <v>189</v>
      </c>
      <c r="U13" s="44" t="s">
        <v>75</v>
      </c>
      <c r="V13" s="47">
        <v>46207</v>
      </c>
      <c r="W13" s="44"/>
      <c r="X13" s="44"/>
      <c r="Y13" s="45"/>
      <c r="Z13" s="45" t="s">
        <v>228</v>
      </c>
      <c r="AA13" s="1" t="s">
        <v>225</v>
      </c>
      <c r="AB13" s="121"/>
      <c r="AC13" s="121" t="s">
        <v>229</v>
      </c>
      <c r="AD13" s="121" t="s">
        <v>191</v>
      </c>
      <c r="AE13" s="1">
        <v>372</v>
      </c>
    </row>
    <row r="14" spans="1:31" customFormat="1" hidden="1">
      <c r="A14" s="15" t="s">
        <v>230</v>
      </c>
      <c r="B14" s="15" t="s">
        <v>176</v>
      </c>
      <c r="C14" s="4" t="s">
        <v>211</v>
      </c>
      <c r="D14" s="4" t="s">
        <v>24</v>
      </c>
      <c r="E14" s="4" t="s">
        <v>25</v>
      </c>
      <c r="F14" s="4"/>
      <c r="G14" s="15">
        <v>1</v>
      </c>
      <c r="H14" s="4" t="s">
        <v>135</v>
      </c>
      <c r="I14" s="4" t="s">
        <v>231</v>
      </c>
      <c r="J14" s="15" t="s">
        <v>179</v>
      </c>
      <c r="K14" s="15"/>
      <c r="L14" s="45" t="s">
        <v>189</v>
      </c>
      <c r="M14" s="31" t="s">
        <v>213</v>
      </c>
      <c r="N14" s="31"/>
      <c r="O14" s="4" t="s">
        <v>61</v>
      </c>
      <c r="P14" s="44" t="s">
        <v>214</v>
      </c>
      <c r="Q14" s="46" t="s">
        <v>215</v>
      </c>
      <c r="R14" s="44" t="s">
        <v>189</v>
      </c>
      <c r="S14" s="44" t="s">
        <v>189</v>
      </c>
      <c r="T14" s="44" t="s">
        <v>189</v>
      </c>
      <c r="U14" s="44" t="s">
        <v>61</v>
      </c>
      <c r="V14" s="44" t="s">
        <v>216</v>
      </c>
      <c r="W14" s="44" t="s">
        <v>216</v>
      </c>
      <c r="X14" s="44"/>
      <c r="Y14" s="45"/>
      <c r="Z14" s="28" t="s">
        <v>217</v>
      </c>
      <c r="AA14" s="4"/>
      <c r="AB14" s="121"/>
      <c r="AC14" s="121" t="s">
        <v>229</v>
      </c>
      <c r="AD14" s="121" t="s">
        <v>191</v>
      </c>
      <c r="AE14" s="1">
        <v>372</v>
      </c>
    </row>
    <row r="15" spans="1:31" customFormat="1" hidden="1">
      <c r="A15" s="15" t="s">
        <v>232</v>
      </c>
      <c r="B15" s="15" t="s">
        <v>176</v>
      </c>
      <c r="C15" s="4" t="s">
        <v>211</v>
      </c>
      <c r="D15" s="4" t="s">
        <v>24</v>
      </c>
      <c r="E15" s="4" t="s">
        <v>25</v>
      </c>
      <c r="F15" s="4"/>
      <c r="G15" s="15">
        <v>1</v>
      </c>
      <c r="H15" s="4" t="s">
        <v>135</v>
      </c>
      <c r="I15" s="4" t="s">
        <v>212</v>
      </c>
      <c r="J15" s="15" t="s">
        <v>179</v>
      </c>
      <c r="K15" s="15" t="s">
        <v>186</v>
      </c>
      <c r="L15" s="45" t="s">
        <v>189</v>
      </c>
      <c r="M15" s="31" t="s">
        <v>213</v>
      </c>
      <c r="N15" s="31"/>
      <c r="O15" s="4" t="s">
        <v>61</v>
      </c>
      <c r="P15" s="44" t="s">
        <v>214</v>
      </c>
      <c r="Q15" s="46" t="s">
        <v>215</v>
      </c>
      <c r="R15" s="44" t="s">
        <v>189</v>
      </c>
      <c r="S15" s="44" t="s">
        <v>189</v>
      </c>
      <c r="T15" s="44" t="s">
        <v>189</v>
      </c>
      <c r="U15" s="44" t="s">
        <v>61</v>
      </c>
      <c r="V15" s="44" t="s">
        <v>216</v>
      </c>
      <c r="W15" s="44" t="s">
        <v>216</v>
      </c>
      <c r="X15" s="44"/>
      <c r="Y15" s="45"/>
      <c r="Z15" s="28" t="s">
        <v>217</v>
      </c>
      <c r="AA15" s="4"/>
      <c r="AB15" s="44" t="s">
        <v>218</v>
      </c>
      <c r="AC15" s="44" t="s">
        <v>219</v>
      </c>
      <c r="AD15" s="44" t="s">
        <v>220</v>
      </c>
      <c r="AE15" s="1">
        <v>372</v>
      </c>
    </row>
    <row r="16" spans="1:31" customFormat="1" ht="14.1" hidden="1" customHeight="1">
      <c r="A16" s="15" t="s">
        <v>233</v>
      </c>
      <c r="B16" s="15" t="s">
        <v>176</v>
      </c>
      <c r="C16" s="4" t="s">
        <v>211</v>
      </c>
      <c r="D16" s="4" t="s">
        <v>24</v>
      </c>
      <c r="E16" s="4" t="s">
        <v>25</v>
      </c>
      <c r="F16" s="4"/>
      <c r="G16" s="15">
        <v>1</v>
      </c>
      <c r="H16" s="4" t="s">
        <v>135</v>
      </c>
      <c r="I16" s="4" t="s">
        <v>222</v>
      </c>
      <c r="J16" s="15" t="s">
        <v>223</v>
      </c>
      <c r="K16" s="3"/>
      <c r="L16" s="45" t="s">
        <v>189</v>
      </c>
      <c r="M16" s="31" t="s">
        <v>189</v>
      </c>
      <c r="N16" s="31"/>
      <c r="O16" t="s">
        <v>61</v>
      </c>
      <c r="P16" s="44" t="s">
        <v>214</v>
      </c>
      <c r="Q16" s="46" t="s">
        <v>215</v>
      </c>
      <c r="R16" s="44" t="s">
        <v>189</v>
      </c>
      <c r="S16" s="44" t="s">
        <v>183</v>
      </c>
      <c r="T16" s="44" t="s">
        <v>183</v>
      </c>
      <c r="U16" s="44" t="s">
        <v>75</v>
      </c>
      <c r="V16" s="47">
        <v>46207</v>
      </c>
      <c r="W16" s="44"/>
      <c r="X16" s="44"/>
      <c r="Y16" s="45"/>
      <c r="Z16" s="45" t="s">
        <v>224</v>
      </c>
      <c r="AA16" s="1" t="s">
        <v>225</v>
      </c>
      <c r="AB16" s="44" t="s">
        <v>218</v>
      </c>
      <c r="AC16" s="44" t="s">
        <v>219</v>
      </c>
      <c r="AD16" s="44" t="s">
        <v>220</v>
      </c>
      <c r="AE16" s="1">
        <v>372</v>
      </c>
    </row>
    <row r="17" spans="1:31" hidden="1">
      <c r="A17" s="15" t="s">
        <v>234</v>
      </c>
      <c r="B17" s="15" t="s">
        <v>176</v>
      </c>
      <c r="C17" s="4" t="s">
        <v>211</v>
      </c>
      <c r="D17" s="4" t="s">
        <v>24</v>
      </c>
      <c r="E17" s="4" t="s">
        <v>25</v>
      </c>
      <c r="G17" s="15">
        <v>1</v>
      </c>
      <c r="H17" s="4" t="s">
        <v>135</v>
      </c>
      <c r="I17" s="4" t="s">
        <v>227</v>
      </c>
      <c r="J17" s="15" t="s">
        <v>223</v>
      </c>
      <c r="M17" s="31" t="s">
        <v>189</v>
      </c>
      <c r="O17" t="s">
        <v>61</v>
      </c>
      <c r="P17" s="44" t="s">
        <v>214</v>
      </c>
      <c r="Q17" s="46" t="s">
        <v>215</v>
      </c>
      <c r="R17" s="44" t="s">
        <v>189</v>
      </c>
      <c r="S17" s="44" t="s">
        <v>183</v>
      </c>
      <c r="T17" s="44" t="s">
        <v>189</v>
      </c>
      <c r="U17" s="44" t="s">
        <v>75</v>
      </c>
      <c r="V17" s="47">
        <v>46207</v>
      </c>
      <c r="Z17" s="45" t="s">
        <v>228</v>
      </c>
      <c r="AA17" s="1" t="s">
        <v>225</v>
      </c>
      <c r="AB17" s="121"/>
      <c r="AC17" s="121" t="s">
        <v>229</v>
      </c>
      <c r="AD17" s="121" t="s">
        <v>191</v>
      </c>
      <c r="AE17" s="1">
        <v>372</v>
      </c>
    </row>
    <row r="18" spans="1:31" hidden="1">
      <c r="A18" s="15" t="s">
        <v>235</v>
      </c>
      <c r="B18" s="15" t="s">
        <v>176</v>
      </c>
      <c r="C18" s="4" t="s">
        <v>211</v>
      </c>
      <c r="D18" s="4" t="s">
        <v>24</v>
      </c>
      <c r="E18" s="4" t="s">
        <v>25</v>
      </c>
      <c r="G18" s="15">
        <v>1</v>
      </c>
      <c r="H18" s="4" t="s">
        <v>135</v>
      </c>
      <c r="I18" s="4" t="s">
        <v>231</v>
      </c>
      <c r="J18" s="15" t="s">
        <v>179</v>
      </c>
      <c r="K18" s="15"/>
      <c r="L18" s="45" t="s">
        <v>189</v>
      </c>
      <c r="M18" s="31" t="s">
        <v>213</v>
      </c>
      <c r="O18" s="4" t="s">
        <v>61</v>
      </c>
      <c r="P18" s="44" t="s">
        <v>214</v>
      </c>
      <c r="Q18" s="46" t="s">
        <v>215</v>
      </c>
      <c r="R18" s="44" t="s">
        <v>189</v>
      </c>
      <c r="S18" s="44" t="s">
        <v>189</v>
      </c>
      <c r="T18" s="44" t="s">
        <v>189</v>
      </c>
      <c r="U18" s="44" t="s">
        <v>61</v>
      </c>
      <c r="V18" s="44" t="s">
        <v>216</v>
      </c>
      <c r="W18" s="44" t="s">
        <v>216</v>
      </c>
      <c r="Z18" s="28" t="s">
        <v>217</v>
      </c>
      <c r="AA18" s="4"/>
      <c r="AB18" s="121"/>
      <c r="AC18" s="121" t="s">
        <v>229</v>
      </c>
      <c r="AD18" s="121" t="s">
        <v>191</v>
      </c>
      <c r="AE18" s="1">
        <v>372</v>
      </c>
    </row>
    <row r="19" spans="1:31" customFormat="1" hidden="1">
      <c r="A19" s="15" t="s">
        <v>236</v>
      </c>
      <c r="B19" s="15" t="s">
        <v>201</v>
      </c>
      <c r="C19" s="4" t="s">
        <v>66</v>
      </c>
      <c r="D19" s="4" t="s">
        <v>68</v>
      </c>
      <c r="E19" s="4" t="s">
        <v>69</v>
      </c>
      <c r="F19" s="4"/>
      <c r="G19" s="15">
        <v>1</v>
      </c>
      <c r="H19" s="4" t="s">
        <v>237</v>
      </c>
      <c r="I19" s="4" t="s">
        <v>238</v>
      </c>
      <c r="J19" s="15" t="s">
        <v>179</v>
      </c>
      <c r="K19" s="15"/>
      <c r="L19" s="45" t="s">
        <v>189</v>
      </c>
      <c r="M19" s="15" t="s">
        <v>239</v>
      </c>
      <c r="N19" s="15"/>
      <c r="O19" s="4" t="s">
        <v>66</v>
      </c>
      <c r="P19" s="44" t="s">
        <v>189</v>
      </c>
      <c r="Q19" s="46" t="s">
        <v>240</v>
      </c>
      <c r="R19" s="44" t="s">
        <v>189</v>
      </c>
      <c r="S19" s="44" t="s">
        <v>189</v>
      </c>
      <c r="T19" s="44" t="s">
        <v>189</v>
      </c>
      <c r="U19" s="44" t="s">
        <v>61</v>
      </c>
      <c r="V19" s="44" t="s">
        <v>241</v>
      </c>
      <c r="W19" s="44" t="s">
        <v>241</v>
      </c>
      <c r="X19" s="44" t="s">
        <v>242</v>
      </c>
      <c r="Y19" s="45"/>
      <c r="Z19" s="45" t="s">
        <v>243</v>
      </c>
      <c r="AA19" s="4"/>
      <c r="AB19" s="44"/>
      <c r="AC19" s="44" t="s">
        <v>219</v>
      </c>
      <c r="AD19" s="44" t="s">
        <v>220</v>
      </c>
      <c r="AE19" s="1">
        <v>112</v>
      </c>
    </row>
    <row r="20" spans="1:31" hidden="1">
      <c r="A20" s="15" t="s">
        <v>244</v>
      </c>
      <c r="B20" s="15" t="s">
        <v>201</v>
      </c>
      <c r="C20" s="4" t="s">
        <v>66</v>
      </c>
      <c r="D20" s="4" t="s">
        <v>68</v>
      </c>
      <c r="E20" s="4" t="s">
        <v>69</v>
      </c>
      <c r="G20" s="15">
        <v>1</v>
      </c>
      <c r="H20" s="4" t="s">
        <v>237</v>
      </c>
      <c r="I20" s="4" t="s">
        <v>245</v>
      </c>
      <c r="J20" s="15" t="s">
        <v>223</v>
      </c>
      <c r="K20" s="15"/>
      <c r="M20" s="15" t="s">
        <v>239</v>
      </c>
      <c r="N20" s="15"/>
      <c r="O20" t="s">
        <v>66</v>
      </c>
      <c r="P20" s="44" t="s">
        <v>189</v>
      </c>
      <c r="Q20" s="46" t="s">
        <v>240</v>
      </c>
      <c r="R20" s="44" t="s">
        <v>189</v>
      </c>
      <c r="S20" s="44" t="s">
        <v>189</v>
      </c>
      <c r="T20" s="44" t="s">
        <v>189</v>
      </c>
      <c r="U20" s="44" t="s">
        <v>61</v>
      </c>
      <c r="V20" s="44" t="s">
        <v>246</v>
      </c>
      <c r="W20" s="44" t="s">
        <v>247</v>
      </c>
      <c r="X20" s="44" t="s">
        <v>248</v>
      </c>
      <c r="Z20" s="45" t="s">
        <v>249</v>
      </c>
      <c r="AA20" s="4"/>
      <c r="AC20" s="44" t="s">
        <v>219</v>
      </c>
      <c r="AD20" s="44" t="s">
        <v>220</v>
      </c>
      <c r="AE20" s="1">
        <v>112</v>
      </c>
    </row>
    <row r="21" spans="1:31" hidden="1">
      <c r="A21" s="15" t="s">
        <v>250</v>
      </c>
      <c r="B21" s="15" t="s">
        <v>201</v>
      </c>
      <c r="C21" s="4" t="s">
        <v>66</v>
      </c>
      <c r="D21" s="4" t="s">
        <v>68</v>
      </c>
      <c r="E21" s="4" t="s">
        <v>69</v>
      </c>
      <c r="G21" s="15">
        <v>1</v>
      </c>
      <c r="H21" s="4" t="s">
        <v>237</v>
      </c>
      <c r="I21" s="4" t="s">
        <v>251</v>
      </c>
      <c r="J21" s="15" t="s">
        <v>223</v>
      </c>
      <c r="K21" s="15"/>
      <c r="M21" s="15" t="s">
        <v>239</v>
      </c>
      <c r="N21" s="15"/>
      <c r="O21" t="s">
        <v>66</v>
      </c>
      <c r="P21" s="44" t="s">
        <v>189</v>
      </c>
      <c r="Q21" s="46" t="s">
        <v>240</v>
      </c>
      <c r="R21" s="44" t="s">
        <v>189</v>
      </c>
      <c r="S21" s="44" t="s">
        <v>189</v>
      </c>
      <c r="T21" s="44" t="s">
        <v>189</v>
      </c>
      <c r="U21" s="44" t="s">
        <v>61</v>
      </c>
      <c r="V21" s="44" t="s">
        <v>246</v>
      </c>
      <c r="W21" s="44" t="s">
        <v>247</v>
      </c>
      <c r="X21" s="44" t="s">
        <v>248</v>
      </c>
      <c r="Z21" s="45" t="s">
        <v>249</v>
      </c>
      <c r="AA21" s="4"/>
      <c r="AC21" s="44" t="s">
        <v>219</v>
      </c>
      <c r="AD21" s="44" t="s">
        <v>220</v>
      </c>
      <c r="AE21" s="1">
        <v>112</v>
      </c>
    </row>
    <row r="22" spans="1:31" hidden="1">
      <c r="A22" s="15" t="s">
        <v>252</v>
      </c>
      <c r="B22" s="15" t="s">
        <v>201</v>
      </c>
      <c r="C22" s="4" t="s">
        <v>66</v>
      </c>
      <c r="D22" s="4" t="s">
        <v>68</v>
      </c>
      <c r="E22" s="4" t="s">
        <v>69</v>
      </c>
      <c r="G22" s="15">
        <v>1</v>
      </c>
      <c r="H22" s="41" t="s">
        <v>237</v>
      </c>
      <c r="I22" s="4" t="s">
        <v>253</v>
      </c>
      <c r="J22" s="15" t="s">
        <v>185</v>
      </c>
      <c r="K22" s="15"/>
      <c r="M22" s="15" t="s">
        <v>239</v>
      </c>
      <c r="N22" s="15"/>
      <c r="O22" s="4" t="s">
        <v>66</v>
      </c>
      <c r="P22" s="44" t="s">
        <v>189</v>
      </c>
      <c r="Q22" s="46" t="s">
        <v>240</v>
      </c>
      <c r="R22" s="44" t="s">
        <v>189</v>
      </c>
      <c r="S22" s="44" t="s">
        <v>189</v>
      </c>
      <c r="T22" s="44" t="s">
        <v>189</v>
      </c>
      <c r="U22" s="44" t="s">
        <v>254</v>
      </c>
      <c r="V22" s="44" t="s">
        <v>255</v>
      </c>
      <c r="W22" s="44" t="s">
        <v>256</v>
      </c>
      <c r="X22" s="44" t="s">
        <v>257</v>
      </c>
      <c r="Z22" s="45" t="s">
        <v>205</v>
      </c>
      <c r="AA22" s="4"/>
      <c r="AC22" s="44" t="s">
        <v>219</v>
      </c>
      <c r="AD22" s="44" t="s">
        <v>220</v>
      </c>
      <c r="AE22" s="1">
        <v>112</v>
      </c>
    </row>
    <row r="23" spans="1:31" hidden="1">
      <c r="A23" s="15" t="s">
        <v>258</v>
      </c>
      <c r="B23" s="15" t="s">
        <v>201</v>
      </c>
      <c r="C23" s="4" t="s">
        <v>66</v>
      </c>
      <c r="D23" s="4" t="s">
        <v>68</v>
      </c>
      <c r="E23" s="4" t="s">
        <v>69</v>
      </c>
      <c r="G23" s="15">
        <v>1</v>
      </c>
      <c r="H23" s="4" t="s">
        <v>237</v>
      </c>
      <c r="I23" s="4" t="s">
        <v>238</v>
      </c>
      <c r="J23" s="15" t="s">
        <v>179</v>
      </c>
      <c r="K23" s="15"/>
      <c r="L23" s="45" t="s">
        <v>189</v>
      </c>
      <c r="M23" s="15" t="s">
        <v>239</v>
      </c>
      <c r="N23" s="15"/>
      <c r="O23" s="4" t="s">
        <v>66</v>
      </c>
      <c r="P23" s="44" t="s">
        <v>189</v>
      </c>
      <c r="Q23" s="46" t="s">
        <v>240</v>
      </c>
      <c r="R23" s="44" t="s">
        <v>189</v>
      </c>
      <c r="S23" s="44" t="s">
        <v>189</v>
      </c>
      <c r="T23" s="44" t="s">
        <v>189</v>
      </c>
      <c r="U23" s="44" t="s">
        <v>61</v>
      </c>
      <c r="V23" s="44" t="s">
        <v>241</v>
      </c>
      <c r="W23" s="44" t="s">
        <v>241</v>
      </c>
      <c r="X23" s="44" t="s">
        <v>259</v>
      </c>
      <c r="Z23" s="45" t="s">
        <v>243</v>
      </c>
      <c r="AA23" s="4"/>
      <c r="AC23" s="44" t="s">
        <v>219</v>
      </c>
      <c r="AD23" s="44" t="s">
        <v>220</v>
      </c>
      <c r="AE23" s="1">
        <v>112</v>
      </c>
    </row>
    <row r="24" spans="1:31" customFormat="1" hidden="1">
      <c r="A24" s="15" t="s">
        <v>260</v>
      </c>
      <c r="B24" s="15" t="s">
        <v>201</v>
      </c>
      <c r="C24" s="4" t="s">
        <v>66</v>
      </c>
      <c r="D24" s="4" t="s">
        <v>68</v>
      </c>
      <c r="E24" s="4" t="s">
        <v>69</v>
      </c>
      <c r="F24" s="4"/>
      <c r="G24" s="15">
        <v>1</v>
      </c>
      <c r="H24" s="4" t="s">
        <v>237</v>
      </c>
      <c r="I24" s="4" t="s">
        <v>245</v>
      </c>
      <c r="J24" s="15" t="s">
        <v>223</v>
      </c>
      <c r="K24" s="15"/>
      <c r="L24" s="45"/>
      <c r="M24" s="15" t="s">
        <v>239</v>
      </c>
      <c r="N24" s="15"/>
      <c r="O24" t="s">
        <v>66</v>
      </c>
      <c r="P24" s="44" t="s">
        <v>189</v>
      </c>
      <c r="Q24" s="46" t="s">
        <v>240</v>
      </c>
      <c r="R24" s="44" t="s">
        <v>189</v>
      </c>
      <c r="S24" s="44" t="s">
        <v>189</v>
      </c>
      <c r="T24" s="44" t="s">
        <v>189</v>
      </c>
      <c r="U24" s="44" t="s">
        <v>61</v>
      </c>
      <c r="V24" s="44" t="s">
        <v>246</v>
      </c>
      <c r="W24" s="44" t="s">
        <v>247</v>
      </c>
      <c r="X24" s="44" t="s">
        <v>248</v>
      </c>
      <c r="Y24" s="45"/>
      <c r="Z24" s="45" t="s">
        <v>249</v>
      </c>
      <c r="AA24" s="4"/>
      <c r="AB24" s="44"/>
      <c r="AC24" s="44" t="s">
        <v>219</v>
      </c>
      <c r="AD24" s="44" t="s">
        <v>220</v>
      </c>
      <c r="AE24" s="1">
        <v>112</v>
      </c>
    </row>
    <row r="25" spans="1:31" hidden="1">
      <c r="A25" s="15" t="s">
        <v>261</v>
      </c>
      <c r="B25" s="15" t="s">
        <v>201</v>
      </c>
      <c r="C25" s="4" t="s">
        <v>66</v>
      </c>
      <c r="D25" s="4" t="s">
        <v>68</v>
      </c>
      <c r="E25" s="4" t="s">
        <v>69</v>
      </c>
      <c r="G25" s="15">
        <v>1</v>
      </c>
      <c r="H25" s="4" t="s">
        <v>237</v>
      </c>
      <c r="I25" s="4" t="s">
        <v>251</v>
      </c>
      <c r="J25" s="15" t="s">
        <v>223</v>
      </c>
      <c r="K25" s="15"/>
      <c r="M25" s="15" t="s">
        <v>239</v>
      </c>
      <c r="N25" s="15"/>
      <c r="O25" t="s">
        <v>66</v>
      </c>
      <c r="P25" s="44" t="s">
        <v>189</v>
      </c>
      <c r="Q25" s="46" t="s">
        <v>240</v>
      </c>
      <c r="R25" s="44" t="s">
        <v>189</v>
      </c>
      <c r="S25" s="44" t="s">
        <v>189</v>
      </c>
      <c r="T25" s="44" t="s">
        <v>189</v>
      </c>
      <c r="U25" s="44" t="s">
        <v>61</v>
      </c>
      <c r="V25" s="44" t="s">
        <v>246</v>
      </c>
      <c r="W25" s="44" t="s">
        <v>247</v>
      </c>
      <c r="X25" s="44" t="s">
        <v>248</v>
      </c>
      <c r="Z25" s="45" t="s">
        <v>249</v>
      </c>
      <c r="AA25" s="4"/>
      <c r="AC25" s="44" t="s">
        <v>219</v>
      </c>
      <c r="AD25" s="44" t="s">
        <v>220</v>
      </c>
      <c r="AE25" s="1">
        <v>112</v>
      </c>
    </row>
    <row r="26" spans="1:31" hidden="1">
      <c r="A26" s="15" t="s">
        <v>262</v>
      </c>
      <c r="B26" s="15" t="s">
        <v>201</v>
      </c>
      <c r="C26" s="4" t="s">
        <v>66</v>
      </c>
      <c r="D26" s="4" t="s">
        <v>68</v>
      </c>
      <c r="E26" s="4" t="s">
        <v>69</v>
      </c>
      <c r="G26" s="15">
        <v>1</v>
      </c>
      <c r="H26" s="41" t="s">
        <v>237</v>
      </c>
      <c r="I26" s="4" t="s">
        <v>263</v>
      </c>
      <c r="J26" s="15" t="s">
        <v>185</v>
      </c>
      <c r="K26" s="15"/>
      <c r="M26" s="15" t="s">
        <v>239</v>
      </c>
      <c r="N26" s="15"/>
      <c r="O26" s="4" t="s">
        <v>66</v>
      </c>
      <c r="P26" s="44" t="s">
        <v>189</v>
      </c>
      <c r="Q26" s="46" t="s">
        <v>240</v>
      </c>
      <c r="R26" s="44" t="s">
        <v>189</v>
      </c>
      <c r="S26" s="44" t="s">
        <v>189</v>
      </c>
      <c r="T26" s="44" t="s">
        <v>189</v>
      </c>
      <c r="U26" s="44" t="s">
        <v>254</v>
      </c>
      <c r="V26" s="44" t="s">
        <v>255</v>
      </c>
      <c r="W26" s="44" t="s">
        <v>264</v>
      </c>
      <c r="X26" s="44" t="s">
        <v>265</v>
      </c>
      <c r="Z26" s="45" t="s">
        <v>205</v>
      </c>
      <c r="AA26" s="4"/>
      <c r="AC26" s="44" t="s">
        <v>219</v>
      </c>
      <c r="AD26" s="44" t="s">
        <v>220</v>
      </c>
      <c r="AE26" s="1">
        <v>112</v>
      </c>
    </row>
    <row r="27" spans="1:31" customFormat="1" hidden="1">
      <c r="A27" s="15" t="s">
        <v>266</v>
      </c>
      <c r="B27" s="15" t="s">
        <v>201</v>
      </c>
      <c r="C27" s="4" t="s">
        <v>66</v>
      </c>
      <c r="D27" s="4" t="s">
        <v>68</v>
      </c>
      <c r="E27" s="4" t="s">
        <v>69</v>
      </c>
      <c r="F27" s="4"/>
      <c r="G27" s="15">
        <v>1</v>
      </c>
      <c r="H27" s="4" t="s">
        <v>237</v>
      </c>
      <c r="I27" s="4" t="s">
        <v>238</v>
      </c>
      <c r="J27" s="15" t="s">
        <v>179</v>
      </c>
      <c r="K27" s="15"/>
      <c r="L27" s="45" t="s">
        <v>189</v>
      </c>
      <c r="M27" s="15" t="s">
        <v>239</v>
      </c>
      <c r="N27" s="15"/>
      <c r="O27" s="4" t="s">
        <v>66</v>
      </c>
      <c r="P27" s="44" t="s">
        <v>189</v>
      </c>
      <c r="Q27" s="46" t="s">
        <v>240</v>
      </c>
      <c r="R27" s="44" t="s">
        <v>189</v>
      </c>
      <c r="S27" s="44" t="s">
        <v>189</v>
      </c>
      <c r="T27" s="44" t="s">
        <v>189</v>
      </c>
      <c r="U27" s="44" t="s">
        <v>61</v>
      </c>
      <c r="V27" s="44" t="s">
        <v>241</v>
      </c>
      <c r="W27" s="44" t="s">
        <v>241</v>
      </c>
      <c r="X27" s="44" t="s">
        <v>259</v>
      </c>
      <c r="Y27" s="45"/>
      <c r="Z27" s="45" t="s">
        <v>243</v>
      </c>
      <c r="AA27" s="4"/>
      <c r="AB27" s="44"/>
      <c r="AC27" s="44" t="s">
        <v>219</v>
      </c>
      <c r="AD27" s="44" t="s">
        <v>220</v>
      </c>
      <c r="AE27" s="1">
        <v>112</v>
      </c>
    </row>
    <row r="28" spans="1:31" hidden="1">
      <c r="A28" s="15" t="s">
        <v>267</v>
      </c>
      <c r="B28" s="15" t="s">
        <v>201</v>
      </c>
      <c r="C28" s="4" t="s">
        <v>66</v>
      </c>
      <c r="D28" s="4" t="s">
        <v>68</v>
      </c>
      <c r="E28" s="4" t="s">
        <v>69</v>
      </c>
      <c r="G28" s="15">
        <v>1</v>
      </c>
      <c r="H28" s="4" t="s">
        <v>237</v>
      </c>
      <c r="I28" s="4" t="s">
        <v>245</v>
      </c>
      <c r="J28" s="15" t="s">
        <v>223</v>
      </c>
      <c r="K28" s="15"/>
      <c r="M28" s="15" t="s">
        <v>239</v>
      </c>
      <c r="N28" s="15"/>
      <c r="O28" t="s">
        <v>66</v>
      </c>
      <c r="P28" s="44" t="s">
        <v>189</v>
      </c>
      <c r="Q28" s="46" t="s">
        <v>240</v>
      </c>
      <c r="R28" s="44" t="s">
        <v>189</v>
      </c>
      <c r="S28" s="44" t="s">
        <v>189</v>
      </c>
      <c r="T28" s="44" t="s">
        <v>189</v>
      </c>
      <c r="U28" s="44" t="s">
        <v>61</v>
      </c>
      <c r="V28" s="44" t="s">
        <v>246</v>
      </c>
      <c r="W28" s="44" t="s">
        <v>247</v>
      </c>
      <c r="X28" s="44" t="s">
        <v>248</v>
      </c>
      <c r="Z28" s="45" t="s">
        <v>249</v>
      </c>
      <c r="AA28" s="4"/>
      <c r="AC28" s="44" t="s">
        <v>219</v>
      </c>
      <c r="AD28" s="44" t="s">
        <v>220</v>
      </c>
      <c r="AE28" s="1">
        <v>112</v>
      </c>
    </row>
    <row r="29" spans="1:31" hidden="1">
      <c r="A29" s="15" t="s">
        <v>268</v>
      </c>
      <c r="B29" s="15" t="s">
        <v>201</v>
      </c>
      <c r="C29" s="4" t="s">
        <v>66</v>
      </c>
      <c r="D29" s="4" t="s">
        <v>68</v>
      </c>
      <c r="E29" s="4" t="s">
        <v>69</v>
      </c>
      <c r="G29" s="15">
        <v>1</v>
      </c>
      <c r="H29" s="4" t="s">
        <v>237</v>
      </c>
      <c r="I29" s="4" t="s">
        <v>251</v>
      </c>
      <c r="J29" s="15" t="s">
        <v>223</v>
      </c>
      <c r="K29" s="15"/>
      <c r="M29" s="15" t="s">
        <v>239</v>
      </c>
      <c r="N29" s="15"/>
      <c r="O29" t="s">
        <v>66</v>
      </c>
      <c r="P29" s="44" t="s">
        <v>189</v>
      </c>
      <c r="Q29" s="46" t="s">
        <v>240</v>
      </c>
      <c r="R29" s="44" t="s">
        <v>189</v>
      </c>
      <c r="S29" s="44" t="s">
        <v>183</v>
      </c>
      <c r="T29" s="44" t="s">
        <v>189</v>
      </c>
      <c r="U29" s="44" t="s">
        <v>61</v>
      </c>
      <c r="V29" s="44" t="s">
        <v>246</v>
      </c>
      <c r="W29" s="44" t="s">
        <v>247</v>
      </c>
      <c r="X29" s="44" t="s">
        <v>241</v>
      </c>
      <c r="Z29" s="45" t="s">
        <v>249</v>
      </c>
      <c r="AA29" s="4"/>
      <c r="AC29" s="44" t="s">
        <v>219</v>
      </c>
      <c r="AD29" s="44" t="s">
        <v>220</v>
      </c>
      <c r="AE29" s="1">
        <v>112</v>
      </c>
    </row>
    <row r="30" spans="1:31" customFormat="1" hidden="1">
      <c r="A30" s="15" t="s">
        <v>269</v>
      </c>
      <c r="B30" s="15" t="s">
        <v>201</v>
      </c>
      <c r="C30" s="4" t="s">
        <v>66</v>
      </c>
      <c r="D30" s="4" t="s">
        <v>68</v>
      </c>
      <c r="E30" s="4" t="s">
        <v>69</v>
      </c>
      <c r="F30" s="4"/>
      <c r="G30" s="15">
        <v>1</v>
      </c>
      <c r="H30" s="4" t="s">
        <v>237</v>
      </c>
      <c r="I30" s="4" t="s">
        <v>253</v>
      </c>
      <c r="J30" s="15" t="s">
        <v>185</v>
      </c>
      <c r="K30" s="15"/>
      <c r="L30" s="45"/>
      <c r="M30" s="15" t="s">
        <v>239</v>
      </c>
      <c r="N30" s="15"/>
      <c r="O30" s="4" t="s">
        <v>66</v>
      </c>
      <c r="P30" s="44" t="s">
        <v>189</v>
      </c>
      <c r="Q30" s="46" t="s">
        <v>240</v>
      </c>
      <c r="R30" s="44" t="s">
        <v>189</v>
      </c>
      <c r="S30" s="44" t="s">
        <v>189</v>
      </c>
      <c r="T30" s="44" t="s">
        <v>189</v>
      </c>
      <c r="U30" s="44" t="s">
        <v>254</v>
      </c>
      <c r="V30" s="44" t="s">
        <v>270</v>
      </c>
      <c r="W30" s="44" t="s">
        <v>270</v>
      </c>
      <c r="X30" s="44" t="s">
        <v>271</v>
      </c>
      <c r="Y30" s="45"/>
      <c r="Z30" s="45" t="s">
        <v>205</v>
      </c>
      <c r="AA30" s="4"/>
      <c r="AB30" s="44"/>
      <c r="AC30" s="44" t="s">
        <v>219</v>
      </c>
      <c r="AD30" s="44" t="s">
        <v>220</v>
      </c>
      <c r="AE30" s="1">
        <v>112</v>
      </c>
    </row>
    <row r="31" spans="1:31" hidden="1">
      <c r="A31" s="15" t="s">
        <v>272</v>
      </c>
      <c r="B31" s="15" t="s">
        <v>201</v>
      </c>
      <c r="C31" s="4" t="s">
        <v>273</v>
      </c>
      <c r="D31" s="4" t="s">
        <v>68</v>
      </c>
      <c r="E31" s="4" t="s">
        <v>69</v>
      </c>
      <c r="G31" s="15">
        <v>1</v>
      </c>
      <c r="H31" s="4" t="s">
        <v>274</v>
      </c>
      <c r="I31" s="4" t="s">
        <v>275</v>
      </c>
      <c r="J31" s="15" t="s">
        <v>185</v>
      </c>
      <c r="K31" s="15"/>
      <c r="L31" s="45" t="s">
        <v>189</v>
      </c>
      <c r="M31" s="15" t="s">
        <v>239</v>
      </c>
      <c r="N31" s="15"/>
      <c r="O31" s="4" t="s">
        <v>66</v>
      </c>
      <c r="P31" s="44" t="s">
        <v>189</v>
      </c>
      <c r="Q31" s="46" t="s">
        <v>240</v>
      </c>
      <c r="R31" s="44" t="s">
        <v>189</v>
      </c>
      <c r="S31" s="44" t="s">
        <v>189</v>
      </c>
      <c r="T31" s="44" t="s">
        <v>189</v>
      </c>
      <c r="U31" s="44" t="s">
        <v>254</v>
      </c>
      <c r="V31" s="44" t="s">
        <v>257</v>
      </c>
      <c r="W31" s="44" t="s">
        <v>257</v>
      </c>
      <c r="Z31" s="46" t="s">
        <v>276</v>
      </c>
      <c r="AA31" s="4" t="s">
        <v>277</v>
      </c>
      <c r="AC31" s="44" t="s">
        <v>219</v>
      </c>
      <c r="AD31" s="44" t="s">
        <v>220</v>
      </c>
      <c r="AE31" s="1">
        <v>112</v>
      </c>
    </row>
    <row r="32" spans="1:31" hidden="1">
      <c r="A32" s="15" t="s">
        <v>278</v>
      </c>
      <c r="B32" s="15" t="s">
        <v>201</v>
      </c>
      <c r="C32" s="4" t="s">
        <v>273</v>
      </c>
      <c r="D32" s="4" t="s">
        <v>68</v>
      </c>
      <c r="E32" s="4" t="s">
        <v>69</v>
      </c>
      <c r="G32" s="15">
        <v>1</v>
      </c>
      <c r="H32" s="4" t="s">
        <v>274</v>
      </c>
      <c r="I32" s="4" t="s">
        <v>275</v>
      </c>
      <c r="J32" s="15" t="s">
        <v>185</v>
      </c>
      <c r="K32" s="15"/>
      <c r="L32" s="45" t="s">
        <v>189</v>
      </c>
      <c r="M32" s="15" t="s">
        <v>239</v>
      </c>
      <c r="N32" s="15"/>
      <c r="O32" s="4" t="s">
        <v>66</v>
      </c>
      <c r="P32" s="44" t="s">
        <v>189</v>
      </c>
      <c r="Q32" s="46" t="s">
        <v>240</v>
      </c>
      <c r="R32" s="44" t="s">
        <v>189</v>
      </c>
      <c r="S32" s="44" t="s">
        <v>189</v>
      </c>
      <c r="T32" s="44" t="s">
        <v>189</v>
      </c>
      <c r="U32" s="44" t="s">
        <v>254</v>
      </c>
      <c r="V32" s="44" t="s">
        <v>257</v>
      </c>
      <c r="W32" s="44" t="s">
        <v>257</v>
      </c>
      <c r="Z32" s="46" t="s">
        <v>279</v>
      </c>
      <c r="AA32" s="4" t="s">
        <v>277</v>
      </c>
      <c r="AC32" s="44" t="s">
        <v>219</v>
      </c>
      <c r="AD32" s="44" t="s">
        <v>220</v>
      </c>
      <c r="AE32" s="1">
        <v>112</v>
      </c>
    </row>
    <row r="33" spans="1:31" customFormat="1" hidden="1">
      <c r="A33" s="15" t="s">
        <v>280</v>
      </c>
      <c r="B33" s="15" t="s">
        <v>201</v>
      </c>
      <c r="C33" s="4" t="s">
        <v>273</v>
      </c>
      <c r="D33" s="4" t="s">
        <v>68</v>
      </c>
      <c r="E33" s="4" t="s">
        <v>69</v>
      </c>
      <c r="F33" s="4"/>
      <c r="G33" s="15">
        <v>1</v>
      </c>
      <c r="H33" s="4" t="s">
        <v>274</v>
      </c>
      <c r="I33" s="4" t="s">
        <v>281</v>
      </c>
      <c r="J33" s="15" t="s">
        <v>185</v>
      </c>
      <c r="K33" s="15"/>
      <c r="L33" s="45" t="s">
        <v>189</v>
      </c>
      <c r="M33" s="15" t="s">
        <v>239</v>
      </c>
      <c r="N33" s="15"/>
      <c r="O33" s="4" t="s">
        <v>66</v>
      </c>
      <c r="P33" s="44" t="s">
        <v>189</v>
      </c>
      <c r="Q33" s="46" t="s">
        <v>240</v>
      </c>
      <c r="R33" s="44" t="s">
        <v>189</v>
      </c>
      <c r="S33" s="44" t="s">
        <v>189</v>
      </c>
      <c r="T33" s="44" t="s">
        <v>189</v>
      </c>
      <c r="U33" s="44" t="s">
        <v>254</v>
      </c>
      <c r="V33" s="44" t="s">
        <v>257</v>
      </c>
      <c r="W33" s="44" t="s">
        <v>257</v>
      </c>
      <c r="X33" s="44"/>
      <c r="Y33" s="45"/>
      <c r="Z33" s="46" t="s">
        <v>279</v>
      </c>
      <c r="AA33" s="4" t="s">
        <v>277</v>
      </c>
      <c r="AB33" s="44"/>
      <c r="AC33" s="44" t="s">
        <v>219</v>
      </c>
      <c r="AD33" s="44" t="s">
        <v>220</v>
      </c>
      <c r="AE33" s="1">
        <v>112</v>
      </c>
    </row>
    <row r="34" spans="1:31">
      <c r="A34" s="15" t="s">
        <v>282</v>
      </c>
      <c r="B34" s="15" t="s">
        <v>176</v>
      </c>
      <c r="C34" s="4" t="s">
        <v>283</v>
      </c>
      <c r="D34" s="4" t="s">
        <v>24</v>
      </c>
      <c r="E34" s="4" t="s">
        <v>25</v>
      </c>
      <c r="G34" s="15">
        <v>1</v>
      </c>
      <c r="H34" s="4" t="s">
        <v>284</v>
      </c>
      <c r="I34" s="4" t="s">
        <v>285</v>
      </c>
      <c r="J34" s="15" t="s">
        <v>185</v>
      </c>
      <c r="K34" s="15"/>
      <c r="M34" s="15"/>
      <c r="N34" s="15"/>
      <c r="O34" s="4" t="s">
        <v>22</v>
      </c>
      <c r="P34" s="44" t="s">
        <v>189</v>
      </c>
      <c r="Q34" s="46" t="s">
        <v>240</v>
      </c>
      <c r="R34" s="44" t="s">
        <v>189</v>
      </c>
      <c r="S34" s="44" t="s">
        <v>189</v>
      </c>
      <c r="T34" s="44" t="s">
        <v>286</v>
      </c>
      <c r="U34" s="44" t="s">
        <v>61</v>
      </c>
      <c r="V34" s="44" t="s">
        <v>264</v>
      </c>
      <c r="W34" s="44" t="s">
        <v>257</v>
      </c>
      <c r="X34" s="49">
        <v>46229</v>
      </c>
      <c r="Z34" s="45" t="s">
        <v>287</v>
      </c>
      <c r="AA34" s="4" t="s">
        <v>288</v>
      </c>
      <c r="AB34" s="44" t="s">
        <v>218</v>
      </c>
      <c r="AC34" s="44" t="s">
        <v>219</v>
      </c>
      <c r="AD34" s="44" t="s">
        <v>220</v>
      </c>
      <c r="AE34" s="1">
        <v>3</v>
      </c>
    </row>
    <row r="35" spans="1:31">
      <c r="A35" s="15" t="s">
        <v>289</v>
      </c>
      <c r="B35" s="15" t="s">
        <v>176</v>
      </c>
      <c r="C35" s="4" t="s">
        <v>283</v>
      </c>
      <c r="D35" s="4" t="s">
        <v>24</v>
      </c>
      <c r="E35" s="4" t="s">
        <v>25</v>
      </c>
      <c r="G35" s="15">
        <v>1</v>
      </c>
      <c r="H35" s="4" t="s">
        <v>284</v>
      </c>
      <c r="I35" s="4" t="s">
        <v>290</v>
      </c>
      <c r="J35" s="15" t="s">
        <v>185</v>
      </c>
      <c r="K35" s="15"/>
      <c r="M35" s="15"/>
      <c r="N35" s="15"/>
      <c r="O35" s="4" t="s">
        <v>22</v>
      </c>
      <c r="P35" s="44" t="s">
        <v>189</v>
      </c>
      <c r="Q35" s="46" t="s">
        <v>240</v>
      </c>
      <c r="R35" s="44" t="s">
        <v>189</v>
      </c>
      <c r="S35" s="44" t="s">
        <v>189</v>
      </c>
      <c r="T35" s="44" t="s">
        <v>286</v>
      </c>
      <c r="U35" s="44" t="s">
        <v>61</v>
      </c>
      <c r="V35" s="44" t="s">
        <v>264</v>
      </c>
      <c r="W35" s="44" t="s">
        <v>257</v>
      </c>
      <c r="X35" s="49">
        <v>46229</v>
      </c>
      <c r="Z35" s="53" t="s">
        <v>287</v>
      </c>
      <c r="AA35" s="4" t="s">
        <v>288</v>
      </c>
      <c r="AC35" s="44" t="s">
        <v>219</v>
      </c>
      <c r="AD35" s="44" t="s">
        <v>220</v>
      </c>
      <c r="AE35" s="1">
        <v>3</v>
      </c>
    </row>
    <row r="36" spans="1:31">
      <c r="A36" s="15" t="s">
        <v>291</v>
      </c>
      <c r="B36" s="15" t="s">
        <v>176</v>
      </c>
      <c r="C36" s="4" t="s">
        <v>283</v>
      </c>
      <c r="D36" s="4" t="s">
        <v>24</v>
      </c>
      <c r="E36" s="4" t="s">
        <v>25</v>
      </c>
      <c r="G36" s="15">
        <v>1</v>
      </c>
      <c r="H36" s="4" t="s">
        <v>284</v>
      </c>
      <c r="I36" s="4" t="s">
        <v>292</v>
      </c>
      <c r="J36" s="15" t="s">
        <v>185</v>
      </c>
      <c r="K36" s="15"/>
      <c r="M36" s="15"/>
      <c r="N36" s="15"/>
      <c r="O36" s="4" t="s">
        <v>22</v>
      </c>
      <c r="P36" s="44" t="s">
        <v>189</v>
      </c>
      <c r="Q36" s="46" t="s">
        <v>240</v>
      </c>
      <c r="R36" s="44" t="s">
        <v>189</v>
      </c>
      <c r="S36" s="44" t="s">
        <v>189</v>
      </c>
      <c r="T36" s="44" t="s">
        <v>286</v>
      </c>
      <c r="U36" s="44" t="s">
        <v>61</v>
      </c>
      <c r="V36" s="44" t="s">
        <v>264</v>
      </c>
      <c r="W36" s="44" t="s">
        <v>257</v>
      </c>
      <c r="X36" s="49">
        <v>46229</v>
      </c>
      <c r="Z36" s="53" t="s">
        <v>293</v>
      </c>
      <c r="AA36" s="4" t="s">
        <v>288</v>
      </c>
      <c r="AC36" s="44" t="s">
        <v>219</v>
      </c>
      <c r="AD36" s="44" t="s">
        <v>220</v>
      </c>
      <c r="AE36" s="1">
        <v>3</v>
      </c>
    </row>
    <row r="37" spans="1:31" hidden="1">
      <c r="A37" s="15" t="s">
        <v>294</v>
      </c>
      <c r="B37" s="15" t="s">
        <v>295</v>
      </c>
      <c r="C37" s="4" t="s">
        <v>273</v>
      </c>
      <c r="D37" s="4" t="s">
        <v>33</v>
      </c>
      <c r="E37" s="4" t="s">
        <v>25</v>
      </c>
      <c r="G37" s="15">
        <v>1</v>
      </c>
      <c r="H37" s="4" t="s">
        <v>296</v>
      </c>
      <c r="I37" s="4" t="s">
        <v>297</v>
      </c>
      <c r="J37" s="15" t="s">
        <v>223</v>
      </c>
      <c r="K37" s="15"/>
      <c r="L37" s="45" t="s">
        <v>189</v>
      </c>
      <c r="M37" s="15"/>
      <c r="N37" s="15"/>
      <c r="O37" t="s">
        <v>22</v>
      </c>
      <c r="P37" s="44" t="s">
        <v>189</v>
      </c>
      <c r="Q37" s="46" t="s">
        <v>240</v>
      </c>
      <c r="R37" s="44" t="s">
        <v>189</v>
      </c>
      <c r="S37" s="44" t="s">
        <v>189</v>
      </c>
      <c r="T37" s="44" t="s">
        <v>189</v>
      </c>
      <c r="U37" s="44" t="s">
        <v>22</v>
      </c>
      <c r="V37" s="47">
        <v>46205</v>
      </c>
      <c r="W37" s="47">
        <v>46209</v>
      </c>
      <c r="AA37" s="4" t="s">
        <v>288</v>
      </c>
      <c r="AC37" s="44" t="s">
        <v>219</v>
      </c>
      <c r="AD37" s="44" t="s">
        <v>220</v>
      </c>
      <c r="AE37" s="1">
        <v>6</v>
      </c>
    </row>
    <row r="38" spans="1:31" customFormat="1" hidden="1">
      <c r="A38" s="15" t="s">
        <v>298</v>
      </c>
      <c r="B38" s="15" t="s">
        <v>295</v>
      </c>
      <c r="C38" s="4" t="s">
        <v>273</v>
      </c>
      <c r="D38" s="4" t="s">
        <v>33</v>
      </c>
      <c r="E38" s="4" t="s">
        <v>25</v>
      </c>
      <c r="F38" s="4"/>
      <c r="G38" s="15">
        <v>1</v>
      </c>
      <c r="H38" s="4" t="s">
        <v>296</v>
      </c>
      <c r="I38" s="4" t="s">
        <v>299</v>
      </c>
      <c r="J38" s="15" t="s">
        <v>223</v>
      </c>
      <c r="K38" s="15"/>
      <c r="L38" s="45" t="s">
        <v>189</v>
      </c>
      <c r="M38" s="15"/>
      <c r="N38" s="15"/>
      <c r="O38" t="s">
        <v>22</v>
      </c>
      <c r="P38" s="44" t="s">
        <v>189</v>
      </c>
      <c r="Q38" s="46" t="s">
        <v>240</v>
      </c>
      <c r="R38" s="44" t="s">
        <v>189</v>
      </c>
      <c r="S38" s="44" t="s">
        <v>189</v>
      </c>
      <c r="T38" s="44" t="s">
        <v>189</v>
      </c>
      <c r="U38" s="44" t="s">
        <v>22</v>
      </c>
      <c r="V38" s="47">
        <v>46205</v>
      </c>
      <c r="W38" s="47">
        <v>46209</v>
      </c>
      <c r="X38" s="44"/>
      <c r="Y38" s="45"/>
      <c r="Z38" s="45" t="s">
        <v>300</v>
      </c>
      <c r="AA38" s="4" t="s">
        <v>288</v>
      </c>
      <c r="AB38" s="44"/>
      <c r="AC38" s="44" t="s">
        <v>219</v>
      </c>
      <c r="AD38" s="44" t="s">
        <v>220</v>
      </c>
      <c r="AE38" s="1">
        <v>6</v>
      </c>
    </row>
    <row r="39" spans="1:31" hidden="1">
      <c r="A39" s="15" t="s">
        <v>301</v>
      </c>
      <c r="B39" s="15" t="s">
        <v>302</v>
      </c>
      <c r="C39" s="4" t="s">
        <v>84</v>
      </c>
      <c r="D39" s="4" t="s">
        <v>86</v>
      </c>
      <c r="E39" s="4" t="s">
        <v>47</v>
      </c>
      <c r="G39" s="15">
        <v>1</v>
      </c>
      <c r="H39" s="4" t="s">
        <v>126</v>
      </c>
      <c r="I39" s="4" t="s">
        <v>303</v>
      </c>
      <c r="J39" s="15" t="s">
        <v>185</v>
      </c>
      <c r="K39" s="15"/>
      <c r="M39" s="15"/>
      <c r="N39" s="15"/>
      <c r="O39" s="4" t="s">
        <v>84</v>
      </c>
      <c r="P39" s="44" t="s">
        <v>189</v>
      </c>
      <c r="Q39" s="46" t="s">
        <v>304</v>
      </c>
      <c r="R39" s="44" t="s">
        <v>183</v>
      </c>
      <c r="Z39" s="45" t="s">
        <v>305</v>
      </c>
      <c r="AA39" s="4"/>
      <c r="AC39" s="44" t="s">
        <v>219</v>
      </c>
      <c r="AD39" s="44" t="s">
        <v>220</v>
      </c>
      <c r="AE39" s="1">
        <v>348</v>
      </c>
    </row>
    <row r="40" spans="1:31" hidden="1">
      <c r="A40" s="15" t="s">
        <v>306</v>
      </c>
      <c r="B40" s="15" t="s">
        <v>302</v>
      </c>
      <c r="C40" s="4" t="s">
        <v>84</v>
      </c>
      <c r="D40" s="4" t="s">
        <v>86</v>
      </c>
      <c r="E40" s="4" t="s">
        <v>47</v>
      </c>
      <c r="G40" s="15">
        <v>1</v>
      </c>
      <c r="H40" s="4" t="s">
        <v>126</v>
      </c>
      <c r="I40" s="4" t="s">
        <v>307</v>
      </c>
      <c r="J40" s="15" t="s">
        <v>185</v>
      </c>
      <c r="K40" s="15"/>
      <c r="M40" s="15"/>
      <c r="N40" s="15"/>
      <c r="O40" s="4" t="s">
        <v>84</v>
      </c>
      <c r="P40" s="44" t="s">
        <v>189</v>
      </c>
      <c r="Q40" s="46" t="s">
        <v>304</v>
      </c>
      <c r="R40" s="44" t="s">
        <v>183</v>
      </c>
      <c r="Z40" s="45" t="s">
        <v>305</v>
      </c>
      <c r="AA40" s="4"/>
      <c r="AC40" s="44" t="s">
        <v>219</v>
      </c>
      <c r="AD40" s="44" t="s">
        <v>220</v>
      </c>
      <c r="AE40" s="1">
        <v>348</v>
      </c>
    </row>
    <row r="41" spans="1:31" customFormat="1" hidden="1">
      <c r="A41" s="15" t="s">
        <v>308</v>
      </c>
      <c r="B41" s="15" t="s">
        <v>302</v>
      </c>
      <c r="C41" s="4" t="s">
        <v>84</v>
      </c>
      <c r="D41" s="4" t="s">
        <v>86</v>
      </c>
      <c r="E41" s="4" t="s">
        <v>47</v>
      </c>
      <c r="F41" s="4"/>
      <c r="G41" s="15">
        <v>1</v>
      </c>
      <c r="H41" s="4" t="s">
        <v>126</v>
      </c>
      <c r="I41" s="4" t="s">
        <v>307</v>
      </c>
      <c r="J41" s="15" t="s">
        <v>185</v>
      </c>
      <c r="K41" s="15"/>
      <c r="L41" s="45"/>
      <c r="M41" s="15"/>
      <c r="N41" s="15"/>
      <c r="O41" s="4" t="s">
        <v>84</v>
      </c>
      <c r="P41" s="44" t="s">
        <v>189</v>
      </c>
      <c r="Q41" s="46" t="s">
        <v>304</v>
      </c>
      <c r="R41" s="44" t="s">
        <v>183</v>
      </c>
      <c r="S41" s="44"/>
      <c r="T41" s="44"/>
      <c r="U41" s="44" t="s">
        <v>61</v>
      </c>
      <c r="V41" s="44" t="s">
        <v>204</v>
      </c>
      <c r="W41" s="44"/>
      <c r="X41" s="44"/>
      <c r="Y41" s="45"/>
      <c r="Z41" s="45" t="s">
        <v>305</v>
      </c>
      <c r="AA41" s="4"/>
      <c r="AB41" s="44"/>
      <c r="AC41" s="44" t="s">
        <v>219</v>
      </c>
      <c r="AD41" s="44" t="s">
        <v>220</v>
      </c>
      <c r="AE41" s="1">
        <v>348</v>
      </c>
    </row>
    <row r="42" spans="1:31" hidden="1">
      <c r="A42" s="15" t="s">
        <v>309</v>
      </c>
      <c r="B42" s="15" t="s">
        <v>302</v>
      </c>
      <c r="C42" s="4" t="s">
        <v>84</v>
      </c>
      <c r="D42" s="4" t="s">
        <v>86</v>
      </c>
      <c r="E42" s="4" t="s">
        <v>47</v>
      </c>
      <c r="G42" s="15">
        <v>1</v>
      </c>
      <c r="H42" s="4" t="s">
        <v>126</v>
      </c>
      <c r="I42" s="4" t="s">
        <v>307</v>
      </c>
      <c r="J42" s="15" t="s">
        <v>185</v>
      </c>
      <c r="K42" s="15"/>
      <c r="M42" s="15"/>
      <c r="N42" s="15"/>
      <c r="O42" s="4" t="s">
        <v>84</v>
      </c>
      <c r="P42" s="44" t="s">
        <v>189</v>
      </c>
      <c r="Q42" s="46" t="s">
        <v>304</v>
      </c>
      <c r="R42" s="44" t="s">
        <v>183</v>
      </c>
      <c r="Z42" s="45" t="s">
        <v>305</v>
      </c>
      <c r="AA42" s="4"/>
      <c r="AC42" s="44" t="s">
        <v>219</v>
      </c>
      <c r="AD42" s="44" t="s">
        <v>220</v>
      </c>
      <c r="AE42" s="1">
        <v>348</v>
      </c>
    </row>
    <row r="43" spans="1:31">
      <c r="A43" s="15" t="s">
        <v>310</v>
      </c>
      <c r="B43" s="15" t="s">
        <v>295</v>
      </c>
      <c r="C43" s="4" t="s">
        <v>283</v>
      </c>
      <c r="D43" s="4" t="s">
        <v>30</v>
      </c>
      <c r="E43" s="4" t="s">
        <v>311</v>
      </c>
      <c r="G43" s="15">
        <v>1</v>
      </c>
      <c r="H43" s="4" t="s">
        <v>312</v>
      </c>
      <c r="I43" s="4" t="s">
        <v>313</v>
      </c>
      <c r="J43" s="15" t="s">
        <v>179</v>
      </c>
      <c r="K43" s="15"/>
      <c r="M43" s="15"/>
      <c r="N43" s="15"/>
      <c r="O43" s="4" t="s">
        <v>22</v>
      </c>
      <c r="P43" s="44" t="s">
        <v>189</v>
      </c>
      <c r="Q43" s="46" t="s">
        <v>240</v>
      </c>
      <c r="R43" s="44" t="s">
        <v>189</v>
      </c>
      <c r="S43" s="44" t="s">
        <v>189</v>
      </c>
      <c r="T43" s="44" t="s">
        <v>189</v>
      </c>
      <c r="U43" s="44" t="s">
        <v>22</v>
      </c>
      <c r="V43" s="49">
        <v>46219</v>
      </c>
      <c r="W43" s="49">
        <v>46222</v>
      </c>
      <c r="Z43" s="45" t="s">
        <v>314</v>
      </c>
      <c r="AA43" s="4" t="s">
        <v>315</v>
      </c>
      <c r="AB43" s="44" t="s">
        <v>218</v>
      </c>
      <c r="AC43" s="44" t="s">
        <v>219</v>
      </c>
      <c r="AD43" s="44" t="s">
        <v>220</v>
      </c>
      <c r="AE43" s="1">
        <v>6</v>
      </c>
    </row>
    <row r="44" spans="1:31" hidden="1">
      <c r="A44" s="15" t="s">
        <v>316</v>
      </c>
      <c r="B44" s="15" t="s">
        <v>295</v>
      </c>
      <c r="C44" s="4" t="s">
        <v>283</v>
      </c>
      <c r="D44" s="4" t="s">
        <v>30</v>
      </c>
      <c r="E44" s="4" t="s">
        <v>311</v>
      </c>
      <c r="G44" s="15">
        <v>0</v>
      </c>
      <c r="H44" s="4" t="s">
        <v>317</v>
      </c>
      <c r="I44" s="4" t="s">
        <v>318</v>
      </c>
      <c r="J44" s="15" t="s">
        <v>179</v>
      </c>
      <c r="K44" s="15"/>
      <c r="M44" s="15"/>
      <c r="N44" s="15"/>
      <c r="O44" s="4" t="s">
        <v>22</v>
      </c>
      <c r="P44" s="4" t="s">
        <v>189</v>
      </c>
      <c r="Q44" s="16" t="s">
        <v>240</v>
      </c>
      <c r="R44" s="4"/>
      <c r="S44" s="4"/>
      <c r="T44" s="4"/>
      <c r="U44" s="4"/>
      <c r="V44" s="4"/>
      <c r="W44" s="4"/>
      <c r="X44" s="4"/>
      <c r="Y44" s="15"/>
      <c r="Z44" s="15"/>
      <c r="AA44" s="4"/>
      <c r="AD44" s="44" t="s">
        <v>220</v>
      </c>
    </row>
    <row r="45" spans="1:31" hidden="1">
      <c r="A45" s="15" t="s">
        <v>319</v>
      </c>
      <c r="B45" s="15" t="s">
        <v>295</v>
      </c>
      <c r="C45" s="4" t="s">
        <v>22</v>
      </c>
      <c r="D45" s="4" t="s">
        <v>37</v>
      </c>
      <c r="E45" s="4" t="s">
        <v>38</v>
      </c>
      <c r="G45" s="15">
        <v>1</v>
      </c>
      <c r="H45" s="4" t="s">
        <v>320</v>
      </c>
      <c r="I45" s="4" t="s">
        <v>321</v>
      </c>
      <c r="J45" s="15" t="s">
        <v>185</v>
      </c>
      <c r="K45" s="15"/>
      <c r="M45" s="15"/>
      <c r="N45" s="15"/>
      <c r="O45" s="4" t="s">
        <v>22</v>
      </c>
      <c r="P45" s="44" t="s">
        <v>189</v>
      </c>
      <c r="Q45" s="46" t="s">
        <v>240</v>
      </c>
      <c r="R45" s="44" t="s">
        <v>189</v>
      </c>
      <c r="U45" s="44" t="s">
        <v>273</v>
      </c>
      <c r="V45" s="44" t="s">
        <v>322</v>
      </c>
      <c r="W45" s="44" t="s">
        <v>265</v>
      </c>
      <c r="AA45" s="28" t="s">
        <v>323</v>
      </c>
      <c r="AC45" s="44" t="s">
        <v>219</v>
      </c>
      <c r="AD45" s="44" t="s">
        <v>220</v>
      </c>
      <c r="AE45" s="1">
        <v>26</v>
      </c>
    </row>
    <row r="46" spans="1:31" customFormat="1" hidden="1">
      <c r="A46" s="15" t="s">
        <v>324</v>
      </c>
      <c r="B46" s="15" t="s">
        <v>295</v>
      </c>
      <c r="C46" s="4" t="s">
        <v>22</v>
      </c>
      <c r="D46" s="4" t="s">
        <v>37</v>
      </c>
      <c r="E46" s="4" t="s">
        <v>38</v>
      </c>
      <c r="F46" s="4"/>
      <c r="G46" s="15">
        <v>1</v>
      </c>
      <c r="H46" s="4" t="s">
        <v>320</v>
      </c>
      <c r="I46" s="4" t="s">
        <v>321</v>
      </c>
      <c r="J46" s="15" t="s">
        <v>185</v>
      </c>
      <c r="K46" s="15"/>
      <c r="L46" s="45"/>
      <c r="M46" s="15"/>
      <c r="N46" s="15"/>
      <c r="O46" s="4" t="s">
        <v>22</v>
      </c>
      <c r="P46" s="44" t="s">
        <v>189</v>
      </c>
      <c r="Q46" s="46" t="s">
        <v>240</v>
      </c>
      <c r="R46" s="44" t="s">
        <v>189</v>
      </c>
      <c r="S46" s="44"/>
      <c r="T46" s="44"/>
      <c r="U46" s="44" t="s">
        <v>273</v>
      </c>
      <c r="V46" s="44" t="s">
        <v>322</v>
      </c>
      <c r="W46" s="44" t="s">
        <v>265</v>
      </c>
      <c r="X46" s="44"/>
      <c r="Y46" s="45"/>
      <c r="Z46" s="45"/>
      <c r="AA46" s="28" t="s">
        <v>323</v>
      </c>
      <c r="AB46" s="44"/>
      <c r="AC46" s="44" t="s">
        <v>219</v>
      </c>
      <c r="AD46" s="44" t="s">
        <v>220</v>
      </c>
      <c r="AE46" s="1">
        <v>26</v>
      </c>
    </row>
    <row r="47" spans="1:31" customFormat="1" hidden="1">
      <c r="A47" s="15" t="s">
        <v>325</v>
      </c>
      <c r="B47" s="15" t="s">
        <v>326</v>
      </c>
      <c r="C47" s="4" t="s">
        <v>54</v>
      </c>
      <c r="D47" s="4" t="s">
        <v>138</v>
      </c>
      <c r="E47" s="4" t="s">
        <v>57</v>
      </c>
      <c r="F47" s="4"/>
      <c r="G47" s="15">
        <v>0</v>
      </c>
      <c r="H47" s="4" t="s">
        <v>327</v>
      </c>
      <c r="I47" s="4" t="s">
        <v>328</v>
      </c>
      <c r="J47" s="15" t="s">
        <v>185</v>
      </c>
      <c r="K47" s="15"/>
      <c r="L47" s="45"/>
      <c r="M47" s="15"/>
      <c r="N47" s="15"/>
      <c r="O47" s="4" t="s">
        <v>54</v>
      </c>
      <c r="P47" s="4"/>
      <c r="Q47" s="16" t="s">
        <v>304</v>
      </c>
      <c r="R47" s="4"/>
      <c r="S47" s="4"/>
      <c r="T47" s="4"/>
      <c r="U47" s="4"/>
      <c r="V47" s="4"/>
      <c r="W47" s="4"/>
      <c r="X47" s="4"/>
      <c r="Y47" s="15"/>
      <c r="Z47" s="15"/>
      <c r="AA47" s="4"/>
      <c r="AB47" s="44"/>
      <c r="AC47" s="44"/>
      <c r="AD47" s="44" t="s">
        <v>220</v>
      </c>
    </row>
    <row r="48" spans="1:31" hidden="1">
      <c r="A48" s="15" t="s">
        <v>329</v>
      </c>
      <c r="B48" s="15" t="s">
        <v>326</v>
      </c>
      <c r="C48" s="4" t="s">
        <v>330</v>
      </c>
      <c r="D48" s="4" t="s">
        <v>138</v>
      </c>
      <c r="E48" s="4" t="s">
        <v>51</v>
      </c>
      <c r="G48" s="15">
        <v>1</v>
      </c>
      <c r="H48" s="4" t="s">
        <v>327</v>
      </c>
      <c r="I48" s="4" t="s">
        <v>331</v>
      </c>
      <c r="J48" s="15" t="s">
        <v>223</v>
      </c>
      <c r="K48" s="15"/>
      <c r="M48" s="15" t="s">
        <v>189</v>
      </c>
      <c r="N48" s="15" t="s">
        <v>332</v>
      </c>
      <c r="O48" t="s">
        <v>54</v>
      </c>
      <c r="Q48" s="46" t="s">
        <v>304</v>
      </c>
      <c r="R48" s="44" t="s">
        <v>189</v>
      </c>
      <c r="U48" s="44" t="s">
        <v>99</v>
      </c>
      <c r="V48" s="47">
        <v>46208</v>
      </c>
      <c r="Z48" s="51"/>
      <c r="AA48" s="21" t="s">
        <v>333</v>
      </c>
      <c r="AB48" s="44" t="s">
        <v>218</v>
      </c>
      <c r="AC48" s="44" t="s">
        <v>219</v>
      </c>
      <c r="AD48" s="44" t="s">
        <v>220</v>
      </c>
      <c r="AE48" s="1">
        <v>48</v>
      </c>
    </row>
    <row r="49" spans="1:31" customFormat="1" hidden="1">
      <c r="A49" s="15" t="s">
        <v>334</v>
      </c>
      <c r="B49" s="15" t="s">
        <v>326</v>
      </c>
      <c r="C49" s="4" t="s">
        <v>54</v>
      </c>
      <c r="D49" s="4" t="s">
        <v>138</v>
      </c>
      <c r="E49" s="4" t="s">
        <v>51</v>
      </c>
      <c r="F49" s="4"/>
      <c r="G49" s="15">
        <v>1</v>
      </c>
      <c r="H49" s="4" t="s">
        <v>327</v>
      </c>
      <c r="I49" s="4" t="s">
        <v>335</v>
      </c>
      <c r="J49" s="15" t="s">
        <v>223</v>
      </c>
      <c r="K49" s="15"/>
      <c r="L49" s="45"/>
      <c r="M49" s="15" t="s">
        <v>189</v>
      </c>
      <c r="N49" s="15" t="s">
        <v>332</v>
      </c>
      <c r="O49" t="s">
        <v>54</v>
      </c>
      <c r="P49" s="44"/>
      <c r="Q49" s="46" t="s">
        <v>304</v>
      </c>
      <c r="R49" s="44" t="s">
        <v>189</v>
      </c>
      <c r="S49" s="44" t="s">
        <v>189</v>
      </c>
      <c r="T49" s="44"/>
      <c r="U49" s="44" t="s">
        <v>99</v>
      </c>
      <c r="V49" s="47">
        <v>46212</v>
      </c>
      <c r="W49" s="47">
        <v>46213</v>
      </c>
      <c r="X49" s="44"/>
      <c r="Y49" s="45"/>
      <c r="Z49" s="44" t="s">
        <v>336</v>
      </c>
      <c r="AA49" s="4"/>
      <c r="AB49" s="44" t="s">
        <v>218</v>
      </c>
      <c r="AC49" s="44" t="s">
        <v>219</v>
      </c>
      <c r="AD49" s="44" t="s">
        <v>220</v>
      </c>
      <c r="AE49" s="1">
        <v>48</v>
      </c>
    </row>
    <row r="50" spans="1:31" hidden="1">
      <c r="A50" s="15" t="s">
        <v>337</v>
      </c>
      <c r="B50" s="15" t="s">
        <v>326</v>
      </c>
      <c r="C50" s="4" t="s">
        <v>338</v>
      </c>
      <c r="D50" s="4" t="s">
        <v>138</v>
      </c>
      <c r="E50" s="4" t="s">
        <v>51</v>
      </c>
      <c r="G50" s="15">
        <v>1</v>
      </c>
      <c r="H50" s="4" t="s">
        <v>327</v>
      </c>
      <c r="I50" s="4" t="s">
        <v>339</v>
      </c>
      <c r="J50" s="15" t="s">
        <v>223</v>
      </c>
      <c r="K50" s="15"/>
      <c r="M50" s="15" t="s">
        <v>189</v>
      </c>
      <c r="N50" s="15" t="s">
        <v>340</v>
      </c>
      <c r="O50" t="s">
        <v>54</v>
      </c>
      <c r="P50" s="44" t="s">
        <v>189</v>
      </c>
      <c r="Q50" s="46" t="s">
        <v>304</v>
      </c>
      <c r="R50" s="44" t="s">
        <v>189</v>
      </c>
      <c r="S50" s="44" t="s">
        <v>189</v>
      </c>
      <c r="U50" s="44" t="s">
        <v>273</v>
      </c>
      <c r="V50" s="47">
        <v>46207</v>
      </c>
      <c r="Z50" s="46" t="s">
        <v>341</v>
      </c>
      <c r="AA50" s="4"/>
      <c r="AB50" s="44" t="s">
        <v>218</v>
      </c>
      <c r="AC50" s="44" t="s">
        <v>219</v>
      </c>
      <c r="AD50" s="44" t="s">
        <v>220</v>
      </c>
      <c r="AE50" s="1">
        <v>48</v>
      </c>
    </row>
    <row r="51" spans="1:31" hidden="1">
      <c r="A51" s="15" t="s">
        <v>342</v>
      </c>
      <c r="B51" s="15" t="s">
        <v>326</v>
      </c>
      <c r="C51" s="4" t="s">
        <v>338</v>
      </c>
      <c r="D51" s="4" t="s">
        <v>138</v>
      </c>
      <c r="E51" s="4" t="s">
        <v>51</v>
      </c>
      <c r="G51" s="15">
        <v>1</v>
      </c>
      <c r="H51" s="4" t="s">
        <v>327</v>
      </c>
      <c r="I51" s="4" t="s">
        <v>343</v>
      </c>
      <c r="J51" s="15" t="s">
        <v>179</v>
      </c>
      <c r="K51" s="15"/>
      <c r="M51" s="15" t="s">
        <v>344</v>
      </c>
      <c r="N51" s="15" t="s">
        <v>332</v>
      </c>
      <c r="O51" s="4" t="s">
        <v>54</v>
      </c>
      <c r="P51" s="44" t="s">
        <v>189</v>
      </c>
      <c r="Q51" s="46" t="s">
        <v>304</v>
      </c>
      <c r="R51" s="44" t="s">
        <v>189</v>
      </c>
      <c r="S51" s="44" t="s">
        <v>189</v>
      </c>
      <c r="U51" s="44" t="s">
        <v>330</v>
      </c>
      <c r="V51" s="47">
        <v>46218</v>
      </c>
      <c r="Z51" s="35" t="s">
        <v>345</v>
      </c>
      <c r="AA51" s="4"/>
      <c r="AB51" s="44" t="s">
        <v>218</v>
      </c>
      <c r="AC51" s="44" t="s">
        <v>219</v>
      </c>
      <c r="AD51" s="44" t="s">
        <v>220</v>
      </c>
      <c r="AE51" s="1">
        <v>48</v>
      </c>
    </row>
    <row r="52" spans="1:31" ht="28.9" hidden="1">
      <c r="A52" s="15" t="s">
        <v>346</v>
      </c>
      <c r="B52" s="15" t="s">
        <v>326</v>
      </c>
      <c r="C52" s="4" t="s">
        <v>338</v>
      </c>
      <c r="D52" s="4" t="s">
        <v>138</v>
      </c>
      <c r="E52" s="4" t="s">
        <v>51</v>
      </c>
      <c r="G52" s="15">
        <v>1</v>
      </c>
      <c r="H52" s="41" t="s">
        <v>327</v>
      </c>
      <c r="I52" s="58" t="s">
        <v>347</v>
      </c>
      <c r="J52" s="15" t="s">
        <v>185</v>
      </c>
      <c r="K52" s="15"/>
      <c r="M52" s="15" t="s">
        <v>344</v>
      </c>
      <c r="N52" s="15" t="s">
        <v>332</v>
      </c>
      <c r="O52" s="4" t="s">
        <v>54</v>
      </c>
      <c r="P52" s="44" t="s">
        <v>344</v>
      </c>
      <c r="Q52" s="46" t="s">
        <v>304</v>
      </c>
      <c r="R52" s="44" t="s">
        <v>344</v>
      </c>
      <c r="S52" s="44" t="s">
        <v>189</v>
      </c>
      <c r="U52" s="44" t="s">
        <v>330</v>
      </c>
      <c r="V52" s="47">
        <v>46225</v>
      </c>
      <c r="Z52" s="35" t="s">
        <v>345</v>
      </c>
      <c r="AA52" s="4"/>
      <c r="AB52" s="44" t="s">
        <v>218</v>
      </c>
      <c r="AC52" s="44" t="s">
        <v>219</v>
      </c>
      <c r="AD52" s="44" t="s">
        <v>220</v>
      </c>
      <c r="AE52" s="1">
        <v>48</v>
      </c>
    </row>
    <row r="53" spans="1:31" hidden="1">
      <c r="A53" s="15" t="s">
        <v>348</v>
      </c>
      <c r="B53" s="15" t="s">
        <v>349</v>
      </c>
      <c r="C53" s="4" t="s">
        <v>84</v>
      </c>
      <c r="D53" s="4" t="s">
        <v>350</v>
      </c>
      <c r="G53" s="4">
        <v>1</v>
      </c>
      <c r="H53" s="4" t="s">
        <v>350</v>
      </c>
      <c r="I53" s="4" t="s">
        <v>350</v>
      </c>
      <c r="O53" s="4" t="s">
        <v>350</v>
      </c>
      <c r="AC53" s="44" t="s">
        <v>219</v>
      </c>
      <c r="AD53" s="44" t="s">
        <v>220</v>
      </c>
      <c r="AE53" s="1">
        <v>70</v>
      </c>
    </row>
    <row r="54" spans="1:31" hidden="1">
      <c r="A54" s="15" t="s">
        <v>351</v>
      </c>
      <c r="B54" s="15" t="s">
        <v>349</v>
      </c>
      <c r="C54" s="4" t="s">
        <v>84</v>
      </c>
      <c r="D54" s="4" t="s">
        <v>350</v>
      </c>
      <c r="G54" s="15">
        <v>1</v>
      </c>
      <c r="H54" s="4" t="s">
        <v>350</v>
      </c>
      <c r="I54" s="4" t="s">
        <v>350</v>
      </c>
      <c r="O54" s="4" t="s">
        <v>350</v>
      </c>
      <c r="AC54" s="44" t="s">
        <v>219</v>
      </c>
      <c r="AD54" s="44" t="s">
        <v>220</v>
      </c>
      <c r="AE54" s="1">
        <v>70</v>
      </c>
    </row>
    <row r="55" spans="1:31" hidden="1">
      <c r="A55" s="15" t="s">
        <v>352</v>
      </c>
      <c r="B55" s="15" t="s">
        <v>349</v>
      </c>
      <c r="C55" s="4" t="s">
        <v>84</v>
      </c>
      <c r="D55" s="4" t="s">
        <v>350</v>
      </c>
      <c r="G55" s="4">
        <v>1</v>
      </c>
      <c r="H55" s="4" t="s">
        <v>350</v>
      </c>
      <c r="I55" s="4" t="s">
        <v>350</v>
      </c>
      <c r="O55" s="4" t="s">
        <v>350</v>
      </c>
      <c r="AC55" s="44" t="s">
        <v>219</v>
      </c>
      <c r="AD55" s="44" t="s">
        <v>220</v>
      </c>
      <c r="AE55" s="1">
        <v>70</v>
      </c>
    </row>
    <row r="56" spans="1:31" hidden="1">
      <c r="A56" s="15" t="s">
        <v>353</v>
      </c>
      <c r="B56" s="15" t="s">
        <v>349</v>
      </c>
      <c r="C56" s="4" t="s">
        <v>84</v>
      </c>
      <c r="D56" s="4" t="s">
        <v>350</v>
      </c>
      <c r="G56" s="15">
        <v>1</v>
      </c>
      <c r="H56" s="4" t="s">
        <v>350</v>
      </c>
      <c r="I56" s="4" t="s">
        <v>350</v>
      </c>
      <c r="O56" s="4" t="s">
        <v>350</v>
      </c>
      <c r="AC56" s="44" t="s">
        <v>219</v>
      </c>
      <c r="AD56" s="44" t="s">
        <v>220</v>
      </c>
      <c r="AE56" s="1">
        <v>70</v>
      </c>
    </row>
    <row r="57" spans="1:31" customFormat="1" hidden="1">
      <c r="A57" s="15" t="s">
        <v>354</v>
      </c>
      <c r="B57" s="15" t="s">
        <v>349</v>
      </c>
      <c r="C57" s="4" t="s">
        <v>84</v>
      </c>
      <c r="D57" s="4" t="s">
        <v>350</v>
      </c>
      <c r="E57" s="4"/>
      <c r="F57" s="4"/>
      <c r="G57" s="4">
        <v>1</v>
      </c>
      <c r="H57" s="4" t="s">
        <v>350</v>
      </c>
      <c r="I57" s="4" t="s">
        <v>350</v>
      </c>
      <c r="J57" s="15"/>
      <c r="K57" s="3"/>
      <c r="L57" s="45"/>
      <c r="M57" s="31"/>
      <c r="N57" s="31"/>
      <c r="O57" s="4" t="s">
        <v>350</v>
      </c>
      <c r="P57" s="44"/>
      <c r="Q57" s="44"/>
      <c r="R57" s="44"/>
      <c r="S57" s="44"/>
      <c r="T57" s="44"/>
      <c r="U57" s="44"/>
      <c r="V57" s="44"/>
      <c r="W57" s="44"/>
      <c r="X57" s="44"/>
      <c r="Y57" s="45"/>
      <c r="Z57" s="45"/>
      <c r="AA57" s="1"/>
      <c r="AB57" s="44"/>
      <c r="AC57" s="44" t="s">
        <v>219</v>
      </c>
      <c r="AD57" s="44" t="s">
        <v>220</v>
      </c>
      <c r="AE57" s="1">
        <v>70</v>
      </c>
    </row>
    <row r="58" spans="1:31" customFormat="1" hidden="1">
      <c r="A58" s="15" t="s">
        <v>355</v>
      </c>
      <c r="B58" s="15" t="s">
        <v>349</v>
      </c>
      <c r="C58" s="4" t="s">
        <v>84</v>
      </c>
      <c r="D58" s="4" t="s">
        <v>350</v>
      </c>
      <c r="E58" s="4"/>
      <c r="F58" s="4"/>
      <c r="G58" s="15">
        <v>1</v>
      </c>
      <c r="H58" s="4" t="s">
        <v>350</v>
      </c>
      <c r="I58" s="4" t="s">
        <v>350</v>
      </c>
      <c r="J58" s="15"/>
      <c r="K58" s="3"/>
      <c r="L58" s="45"/>
      <c r="M58" s="31"/>
      <c r="N58" s="31"/>
      <c r="O58" s="4" t="s">
        <v>350</v>
      </c>
      <c r="P58" s="44"/>
      <c r="Q58" s="44"/>
      <c r="R58" s="44"/>
      <c r="S58" s="44"/>
      <c r="T58" s="44"/>
      <c r="U58" s="44"/>
      <c r="V58" s="44"/>
      <c r="W58" s="44"/>
      <c r="X58" s="44"/>
      <c r="Y58" s="45"/>
      <c r="Z58" s="45"/>
      <c r="AA58" s="1"/>
      <c r="AB58" s="44"/>
      <c r="AC58" s="44" t="s">
        <v>219</v>
      </c>
      <c r="AD58" s="44" t="s">
        <v>220</v>
      </c>
      <c r="AE58" s="1">
        <v>70</v>
      </c>
    </row>
    <row r="59" spans="1:31" hidden="1">
      <c r="A59" s="15" t="s">
        <v>356</v>
      </c>
      <c r="B59" s="15" t="s">
        <v>349</v>
      </c>
      <c r="C59" s="4" t="s">
        <v>84</v>
      </c>
      <c r="D59" s="4" t="s">
        <v>350</v>
      </c>
      <c r="G59" s="4">
        <v>1</v>
      </c>
      <c r="H59" s="4" t="s">
        <v>350</v>
      </c>
      <c r="I59" s="4" t="s">
        <v>350</v>
      </c>
      <c r="O59" s="4" t="s">
        <v>350</v>
      </c>
      <c r="AC59" s="44" t="s">
        <v>219</v>
      </c>
      <c r="AD59" s="44" t="s">
        <v>220</v>
      </c>
      <c r="AE59" s="1">
        <v>70</v>
      </c>
    </row>
    <row r="60" spans="1:31" customFormat="1" hidden="1">
      <c r="A60" s="15" t="s">
        <v>357</v>
      </c>
      <c r="B60" s="15" t="s">
        <v>349</v>
      </c>
      <c r="C60" s="4" t="s">
        <v>84</v>
      </c>
      <c r="D60" s="4" t="s">
        <v>350</v>
      </c>
      <c r="E60" s="4"/>
      <c r="F60" s="4"/>
      <c r="G60" s="15">
        <v>1</v>
      </c>
      <c r="H60" s="4" t="s">
        <v>350</v>
      </c>
      <c r="I60" s="4" t="s">
        <v>350</v>
      </c>
      <c r="J60" s="15"/>
      <c r="K60" s="3"/>
      <c r="L60" s="45"/>
      <c r="M60" s="31"/>
      <c r="N60" s="31"/>
      <c r="O60" s="4" t="s">
        <v>350</v>
      </c>
      <c r="P60" s="44"/>
      <c r="Q60" s="44"/>
      <c r="R60" s="44"/>
      <c r="S60" s="44"/>
      <c r="T60" s="44"/>
      <c r="U60" s="44"/>
      <c r="V60" s="44"/>
      <c r="W60" s="44"/>
      <c r="X60" s="44"/>
      <c r="Y60" s="45"/>
      <c r="Z60" s="45"/>
      <c r="AA60" s="1"/>
      <c r="AB60" s="44"/>
      <c r="AC60" s="44" t="s">
        <v>219</v>
      </c>
      <c r="AD60" s="44" t="s">
        <v>220</v>
      </c>
      <c r="AE60" s="1">
        <v>70</v>
      </c>
    </row>
    <row r="61" spans="1:31" hidden="1">
      <c r="A61" s="15" t="s">
        <v>358</v>
      </c>
      <c r="B61" s="15" t="s">
        <v>349</v>
      </c>
      <c r="C61" s="4" t="s">
        <v>84</v>
      </c>
      <c r="D61" s="4" t="s">
        <v>350</v>
      </c>
      <c r="G61" s="4">
        <v>1</v>
      </c>
      <c r="H61" s="4" t="s">
        <v>350</v>
      </c>
      <c r="I61" s="4" t="s">
        <v>350</v>
      </c>
      <c r="O61" s="4" t="s">
        <v>350</v>
      </c>
      <c r="AC61" s="44" t="s">
        <v>219</v>
      </c>
      <c r="AD61" s="44" t="s">
        <v>220</v>
      </c>
      <c r="AE61" s="1">
        <v>70</v>
      </c>
    </row>
    <row r="62" spans="1:31" hidden="1">
      <c r="A62" s="15" t="s">
        <v>359</v>
      </c>
      <c r="B62" s="15" t="s">
        <v>349</v>
      </c>
      <c r="C62" s="4" t="s">
        <v>84</v>
      </c>
      <c r="D62" s="4" t="s">
        <v>350</v>
      </c>
      <c r="G62" s="15">
        <v>1</v>
      </c>
      <c r="H62" s="4" t="s">
        <v>350</v>
      </c>
      <c r="I62" s="4" t="s">
        <v>350</v>
      </c>
      <c r="O62" s="4" t="s">
        <v>350</v>
      </c>
      <c r="AC62" s="44" t="s">
        <v>219</v>
      </c>
      <c r="AD62" s="44" t="s">
        <v>220</v>
      </c>
      <c r="AE62" s="1">
        <v>70</v>
      </c>
    </row>
    <row r="63" spans="1:31" hidden="1">
      <c r="A63" s="15" t="s">
        <v>360</v>
      </c>
      <c r="B63" s="15" t="s">
        <v>349</v>
      </c>
      <c r="C63" s="4" t="s">
        <v>84</v>
      </c>
      <c r="D63" s="4" t="s">
        <v>350</v>
      </c>
      <c r="G63" s="4">
        <v>1</v>
      </c>
      <c r="H63" s="4" t="s">
        <v>350</v>
      </c>
      <c r="I63" s="4" t="s">
        <v>350</v>
      </c>
      <c r="O63" s="4" t="s">
        <v>350</v>
      </c>
      <c r="AC63" s="44" t="s">
        <v>219</v>
      </c>
      <c r="AD63" s="44" t="s">
        <v>220</v>
      </c>
      <c r="AE63" s="1">
        <v>70</v>
      </c>
    </row>
    <row r="64" spans="1:31" hidden="1">
      <c r="A64" s="15" t="s">
        <v>361</v>
      </c>
      <c r="B64" s="15" t="s">
        <v>349</v>
      </c>
      <c r="C64" s="4" t="s">
        <v>84</v>
      </c>
      <c r="D64" s="4" t="s">
        <v>350</v>
      </c>
      <c r="G64" s="15">
        <v>1</v>
      </c>
      <c r="H64" s="4" t="s">
        <v>350</v>
      </c>
      <c r="I64" s="4" t="s">
        <v>350</v>
      </c>
      <c r="O64" s="4" t="s">
        <v>350</v>
      </c>
      <c r="AC64" s="44" t="s">
        <v>219</v>
      </c>
      <c r="AD64" s="44" t="s">
        <v>220</v>
      </c>
      <c r="AE64" s="1">
        <v>70</v>
      </c>
    </row>
    <row r="65" spans="1:31" customFormat="1" hidden="1">
      <c r="A65" s="15" t="s">
        <v>362</v>
      </c>
      <c r="B65" s="15" t="s">
        <v>349</v>
      </c>
      <c r="C65" s="4" t="s">
        <v>84</v>
      </c>
      <c r="D65" s="4" t="s">
        <v>350</v>
      </c>
      <c r="E65" s="4"/>
      <c r="F65" s="4"/>
      <c r="G65" s="4">
        <v>1</v>
      </c>
      <c r="H65" s="4" t="s">
        <v>350</v>
      </c>
      <c r="I65" s="4" t="s">
        <v>350</v>
      </c>
      <c r="J65" s="15"/>
      <c r="K65" s="3"/>
      <c r="L65" s="45"/>
      <c r="M65" s="31"/>
      <c r="N65" s="31"/>
      <c r="O65" s="4" t="s">
        <v>350</v>
      </c>
      <c r="P65" s="44"/>
      <c r="Q65" s="44"/>
      <c r="R65" s="44"/>
      <c r="S65" s="44"/>
      <c r="T65" s="44"/>
      <c r="U65" s="44"/>
      <c r="V65" s="44"/>
      <c r="W65" s="44"/>
      <c r="X65" s="44"/>
      <c r="Y65" s="45"/>
      <c r="Z65" s="45"/>
      <c r="AA65" s="1"/>
      <c r="AB65" s="44"/>
      <c r="AC65" s="44" t="s">
        <v>219</v>
      </c>
      <c r="AD65" s="44" t="s">
        <v>220</v>
      </c>
      <c r="AE65" s="1">
        <v>70</v>
      </c>
    </row>
    <row r="66" spans="1:31" customFormat="1" hidden="1">
      <c r="A66" s="15" t="s">
        <v>363</v>
      </c>
      <c r="B66" s="15" t="s">
        <v>349</v>
      </c>
      <c r="C66" s="4" t="s">
        <v>84</v>
      </c>
      <c r="D66" s="4" t="s">
        <v>350</v>
      </c>
      <c r="E66" s="4"/>
      <c r="F66" s="4"/>
      <c r="G66" s="15">
        <v>1</v>
      </c>
      <c r="H66" s="4" t="s">
        <v>350</v>
      </c>
      <c r="I66" s="4" t="s">
        <v>350</v>
      </c>
      <c r="J66" s="15"/>
      <c r="K66" s="3"/>
      <c r="L66" s="45"/>
      <c r="M66" s="31"/>
      <c r="N66" s="31"/>
      <c r="O66" s="4" t="s">
        <v>350</v>
      </c>
      <c r="P66" s="44"/>
      <c r="Q66" s="44"/>
      <c r="R66" s="44"/>
      <c r="S66" s="44"/>
      <c r="T66" s="44"/>
      <c r="U66" s="44"/>
      <c r="V66" s="44"/>
      <c r="W66" s="44"/>
      <c r="X66" s="44"/>
      <c r="Y66" s="45"/>
      <c r="Z66" s="45"/>
      <c r="AA66" s="1"/>
      <c r="AB66" s="44"/>
      <c r="AC66" s="44" t="s">
        <v>219</v>
      </c>
      <c r="AD66" s="44" t="s">
        <v>220</v>
      </c>
      <c r="AE66" s="1">
        <v>70</v>
      </c>
    </row>
    <row r="67" spans="1:31" customFormat="1" hidden="1">
      <c r="A67" s="15" t="s">
        <v>364</v>
      </c>
      <c r="B67" s="15" t="s">
        <v>349</v>
      </c>
      <c r="C67" s="4" t="s">
        <v>84</v>
      </c>
      <c r="D67" s="4" t="s">
        <v>350</v>
      </c>
      <c r="E67" s="4"/>
      <c r="F67" s="4"/>
      <c r="G67" s="4">
        <v>1</v>
      </c>
      <c r="H67" s="4" t="s">
        <v>350</v>
      </c>
      <c r="I67" s="4" t="s">
        <v>350</v>
      </c>
      <c r="J67" s="15"/>
      <c r="K67" s="3"/>
      <c r="L67" s="45"/>
      <c r="M67" s="31"/>
      <c r="N67" s="31"/>
      <c r="O67" s="4" t="s">
        <v>350</v>
      </c>
      <c r="P67" s="44"/>
      <c r="Q67" s="44"/>
      <c r="R67" s="44"/>
      <c r="S67" s="44"/>
      <c r="T67" s="44"/>
      <c r="U67" s="44"/>
      <c r="V67" s="44"/>
      <c r="W67" s="44"/>
      <c r="X67" s="44"/>
      <c r="Y67" s="45"/>
      <c r="Z67" s="45"/>
      <c r="AA67" s="1"/>
      <c r="AB67" s="44"/>
      <c r="AC67" s="44" t="s">
        <v>219</v>
      </c>
      <c r="AD67" s="44" t="s">
        <v>220</v>
      </c>
      <c r="AE67" s="1">
        <v>70</v>
      </c>
    </row>
    <row r="68" spans="1:31" customFormat="1" hidden="1">
      <c r="A68" s="15" t="s">
        <v>365</v>
      </c>
      <c r="B68" s="15" t="s">
        <v>176</v>
      </c>
      <c r="C68" s="4" t="s">
        <v>61</v>
      </c>
      <c r="D68" s="4" t="s">
        <v>24</v>
      </c>
      <c r="E68" s="4" t="s">
        <v>25</v>
      </c>
      <c r="F68" s="4"/>
      <c r="G68" s="15">
        <v>1</v>
      </c>
      <c r="H68" s="4" t="s">
        <v>135</v>
      </c>
      <c r="I68" s="4" t="s">
        <v>366</v>
      </c>
      <c r="J68" s="15" t="s">
        <v>367</v>
      </c>
      <c r="K68" s="15"/>
      <c r="L68" s="45"/>
      <c r="M68" s="31" t="s">
        <v>189</v>
      </c>
      <c r="N68" s="31"/>
      <c r="O68" t="s">
        <v>61</v>
      </c>
      <c r="P68" s="44" t="s">
        <v>214</v>
      </c>
      <c r="Q68" s="46" t="s">
        <v>215</v>
      </c>
      <c r="R68" s="44" t="s">
        <v>189</v>
      </c>
      <c r="S68" s="44" t="s">
        <v>189</v>
      </c>
      <c r="T68" s="44" t="s">
        <v>189</v>
      </c>
      <c r="U68" s="44" t="s">
        <v>211</v>
      </c>
      <c r="V68" s="44" t="s">
        <v>368</v>
      </c>
      <c r="W68" s="44" t="s">
        <v>369</v>
      </c>
      <c r="X68" s="44" t="s">
        <v>248</v>
      </c>
      <c r="Y68" s="45"/>
      <c r="Z68" s="45" t="s">
        <v>370</v>
      </c>
      <c r="AA68" s="1" t="s">
        <v>371</v>
      </c>
      <c r="AB68" s="44"/>
      <c r="AC68" s="44" t="s">
        <v>229</v>
      </c>
      <c r="AD68" s="44" t="s">
        <v>191</v>
      </c>
      <c r="AE68" s="1">
        <v>372</v>
      </c>
    </row>
    <row r="69" spans="1:31" customFormat="1" hidden="1">
      <c r="A69" s="15" t="s">
        <v>372</v>
      </c>
      <c r="B69" s="15" t="s">
        <v>176</v>
      </c>
      <c r="C69" s="4" t="s">
        <v>211</v>
      </c>
      <c r="D69" s="4" t="s">
        <v>24</v>
      </c>
      <c r="E69" s="4" t="s">
        <v>25</v>
      </c>
      <c r="F69" s="4"/>
      <c r="G69" s="15">
        <v>1</v>
      </c>
      <c r="H69" s="4" t="s">
        <v>135</v>
      </c>
      <c r="I69" s="4" t="s">
        <v>373</v>
      </c>
      <c r="J69" s="15" t="s">
        <v>223</v>
      </c>
      <c r="K69" s="3"/>
      <c r="L69" s="45"/>
      <c r="M69" s="31" t="s">
        <v>189</v>
      </c>
      <c r="N69" s="31"/>
      <c r="O69" t="s">
        <v>61</v>
      </c>
      <c r="P69" s="44" t="s">
        <v>214</v>
      </c>
      <c r="Q69" s="46" t="s">
        <v>215</v>
      </c>
      <c r="R69" s="44" t="s">
        <v>189</v>
      </c>
      <c r="S69" s="44" t="s">
        <v>183</v>
      </c>
      <c r="T69" s="44" t="s">
        <v>189</v>
      </c>
      <c r="U69" s="44" t="s">
        <v>75</v>
      </c>
      <c r="V69" s="47">
        <v>46207</v>
      </c>
      <c r="W69" s="44"/>
      <c r="X69" s="44"/>
      <c r="Y69" s="45"/>
      <c r="Z69" s="45" t="s">
        <v>228</v>
      </c>
      <c r="AA69" s="1" t="s">
        <v>225</v>
      </c>
      <c r="AB69" s="44"/>
      <c r="AC69" s="44" t="s">
        <v>229</v>
      </c>
      <c r="AD69" s="44" t="s">
        <v>191</v>
      </c>
      <c r="AE69" s="1">
        <v>372</v>
      </c>
    </row>
    <row r="70" spans="1:31" customFormat="1" hidden="1">
      <c r="A70" s="15" t="s">
        <v>374</v>
      </c>
      <c r="B70" s="15" t="s">
        <v>176</v>
      </c>
      <c r="C70" s="4" t="s">
        <v>211</v>
      </c>
      <c r="D70" s="4" t="s">
        <v>24</v>
      </c>
      <c r="E70" s="4" t="s">
        <v>25</v>
      </c>
      <c r="F70" s="4"/>
      <c r="G70" s="15">
        <v>1</v>
      </c>
      <c r="H70" s="4" t="s">
        <v>135</v>
      </c>
      <c r="I70" s="4" t="s">
        <v>375</v>
      </c>
      <c r="J70" s="15" t="s">
        <v>223</v>
      </c>
      <c r="K70" s="3"/>
      <c r="L70" s="45"/>
      <c r="M70" s="31" t="s">
        <v>189</v>
      </c>
      <c r="N70" s="31"/>
      <c r="O70" t="s">
        <v>61</v>
      </c>
      <c r="P70" s="44" t="s">
        <v>214</v>
      </c>
      <c r="Q70" s="46" t="s">
        <v>215</v>
      </c>
      <c r="R70" s="44" t="s">
        <v>189</v>
      </c>
      <c r="S70" s="44" t="s">
        <v>183</v>
      </c>
      <c r="T70" s="44" t="s">
        <v>189</v>
      </c>
      <c r="U70" s="44" t="s">
        <v>75</v>
      </c>
      <c r="V70" s="47">
        <v>46207</v>
      </c>
      <c r="W70" s="44"/>
      <c r="X70" s="44"/>
      <c r="Y70" s="45"/>
      <c r="Z70" s="45" t="s">
        <v>376</v>
      </c>
      <c r="AA70" s="1" t="s">
        <v>225</v>
      </c>
      <c r="AB70" s="44"/>
      <c r="AC70" s="44" t="s">
        <v>229</v>
      </c>
      <c r="AD70" s="44" t="s">
        <v>191</v>
      </c>
      <c r="AE70" s="1">
        <v>372</v>
      </c>
    </row>
    <row r="71" spans="1:31" customFormat="1" hidden="1">
      <c r="A71" s="15" t="s">
        <v>377</v>
      </c>
      <c r="B71" s="15" t="s">
        <v>176</v>
      </c>
      <c r="C71" s="4" t="s">
        <v>211</v>
      </c>
      <c r="D71" s="4" t="s">
        <v>24</v>
      </c>
      <c r="E71" s="4" t="s">
        <v>25</v>
      </c>
      <c r="F71" s="4"/>
      <c r="G71" s="15">
        <v>1</v>
      </c>
      <c r="H71" s="4" t="s">
        <v>135</v>
      </c>
      <c r="I71" s="4" t="s">
        <v>378</v>
      </c>
      <c r="J71" s="15" t="s">
        <v>223</v>
      </c>
      <c r="K71" s="3"/>
      <c r="L71" s="45"/>
      <c r="M71" s="31" t="s">
        <v>189</v>
      </c>
      <c r="N71" s="31"/>
      <c r="O71" t="s">
        <v>61</v>
      </c>
      <c r="P71" s="44" t="s">
        <v>214</v>
      </c>
      <c r="Q71" s="46" t="s">
        <v>215</v>
      </c>
      <c r="R71" s="44" t="s">
        <v>189</v>
      </c>
      <c r="S71" s="44" t="s">
        <v>183</v>
      </c>
      <c r="T71" s="44" t="s">
        <v>189</v>
      </c>
      <c r="U71" s="44" t="s">
        <v>75</v>
      </c>
      <c r="V71" s="47">
        <v>46207</v>
      </c>
      <c r="W71" s="44"/>
      <c r="X71" s="44"/>
      <c r="Y71" s="45"/>
      <c r="Z71" s="45" t="s">
        <v>376</v>
      </c>
      <c r="AA71" s="1" t="s">
        <v>225</v>
      </c>
      <c r="AB71" s="44"/>
      <c r="AC71" s="44" t="s">
        <v>229</v>
      </c>
      <c r="AD71" s="44" t="s">
        <v>191</v>
      </c>
      <c r="AE71" s="1">
        <v>372</v>
      </c>
    </row>
    <row r="72" spans="1:31" customFormat="1" hidden="1">
      <c r="A72" s="15" t="s">
        <v>379</v>
      </c>
      <c r="B72" s="15" t="s">
        <v>176</v>
      </c>
      <c r="C72" s="4" t="s">
        <v>61</v>
      </c>
      <c r="D72" s="4" t="s">
        <v>24</v>
      </c>
      <c r="E72" s="4" t="s">
        <v>25</v>
      </c>
      <c r="F72" s="4"/>
      <c r="G72" s="15">
        <v>1</v>
      </c>
      <c r="H72" s="4" t="s">
        <v>135</v>
      </c>
      <c r="I72" s="4" t="s">
        <v>380</v>
      </c>
      <c r="J72" s="15" t="s">
        <v>223</v>
      </c>
      <c r="K72" s="3"/>
      <c r="L72" s="45"/>
      <c r="M72" s="31" t="s">
        <v>189</v>
      </c>
      <c r="N72" s="31"/>
      <c r="O72" t="s">
        <v>61</v>
      </c>
      <c r="P72" s="44" t="s">
        <v>214</v>
      </c>
      <c r="Q72" s="46" t="s">
        <v>215</v>
      </c>
      <c r="R72" s="44" t="s">
        <v>189</v>
      </c>
      <c r="S72" s="44" t="s">
        <v>189</v>
      </c>
      <c r="T72" s="44" t="s">
        <v>189</v>
      </c>
      <c r="U72" s="44" t="s">
        <v>211</v>
      </c>
      <c r="V72" s="47">
        <v>46208</v>
      </c>
      <c r="W72" s="44">
        <v>28.2</v>
      </c>
      <c r="X72" s="44" t="s">
        <v>368</v>
      </c>
      <c r="Y72" s="45"/>
      <c r="Z72" s="45" t="s">
        <v>381</v>
      </c>
      <c r="AA72" s="1" t="s">
        <v>371</v>
      </c>
      <c r="AB72" s="44"/>
      <c r="AC72" s="44" t="s">
        <v>229</v>
      </c>
      <c r="AD72" s="44" t="s">
        <v>191</v>
      </c>
      <c r="AE72" s="1">
        <v>372</v>
      </c>
    </row>
    <row r="73" spans="1:31" hidden="1">
      <c r="A73" s="15" t="s">
        <v>382</v>
      </c>
      <c r="B73" s="15" t="s">
        <v>176</v>
      </c>
      <c r="C73" s="4" t="s">
        <v>61</v>
      </c>
      <c r="D73" s="4" t="s">
        <v>24</v>
      </c>
      <c r="E73" s="4" t="s">
        <v>25</v>
      </c>
      <c r="G73" s="15">
        <v>1</v>
      </c>
      <c r="H73" s="4" t="s">
        <v>135</v>
      </c>
      <c r="I73" s="4" t="s">
        <v>383</v>
      </c>
      <c r="J73" s="15" t="s">
        <v>223</v>
      </c>
      <c r="M73" s="31" t="s">
        <v>189</v>
      </c>
      <c r="O73" t="s">
        <v>61</v>
      </c>
      <c r="P73" s="44" t="s">
        <v>214</v>
      </c>
      <c r="Q73" s="46" t="s">
        <v>215</v>
      </c>
      <c r="R73" s="44" t="s">
        <v>189</v>
      </c>
      <c r="S73" s="44" t="s">
        <v>189</v>
      </c>
      <c r="T73" s="44" t="s">
        <v>189</v>
      </c>
      <c r="U73" s="44" t="s">
        <v>211</v>
      </c>
      <c r="V73" s="47">
        <v>46208</v>
      </c>
      <c r="W73" s="44">
        <v>28.2</v>
      </c>
      <c r="X73" s="44" t="s">
        <v>368</v>
      </c>
      <c r="Z73" s="45" t="s">
        <v>370</v>
      </c>
      <c r="AA73" s="1" t="s">
        <v>371</v>
      </c>
      <c r="AC73" s="44" t="s">
        <v>229</v>
      </c>
      <c r="AD73" s="44" t="s">
        <v>191</v>
      </c>
      <c r="AE73" s="1">
        <v>372</v>
      </c>
    </row>
    <row r="74" spans="1:31" hidden="1">
      <c r="A74" s="15" t="s">
        <v>384</v>
      </c>
      <c r="B74" s="15" t="s">
        <v>176</v>
      </c>
      <c r="C74" s="4" t="s">
        <v>61</v>
      </c>
      <c r="D74" s="4" t="s">
        <v>24</v>
      </c>
      <c r="E74" s="4" t="s">
        <v>25</v>
      </c>
      <c r="G74" s="15">
        <v>1</v>
      </c>
      <c r="H74" s="4" t="s">
        <v>135</v>
      </c>
      <c r="I74" s="4" t="s">
        <v>385</v>
      </c>
      <c r="J74" s="15" t="s">
        <v>367</v>
      </c>
      <c r="K74" s="15"/>
      <c r="M74" s="31" t="s">
        <v>189</v>
      </c>
      <c r="O74" t="s">
        <v>61</v>
      </c>
      <c r="P74" s="44" t="s">
        <v>214</v>
      </c>
      <c r="Q74" s="46" t="s">
        <v>215</v>
      </c>
      <c r="R74" s="44" t="s">
        <v>189</v>
      </c>
      <c r="S74" s="44" t="s">
        <v>189</v>
      </c>
      <c r="T74" s="44" t="s">
        <v>189</v>
      </c>
      <c r="U74" s="44" t="s">
        <v>211</v>
      </c>
      <c r="V74" s="44" t="s">
        <v>368</v>
      </c>
      <c r="W74" s="44" t="s">
        <v>369</v>
      </c>
      <c r="X74" s="44" t="s">
        <v>248</v>
      </c>
      <c r="Z74" s="45" t="s">
        <v>370</v>
      </c>
      <c r="AA74" s="1" t="s">
        <v>371</v>
      </c>
      <c r="AC74" s="44" t="s">
        <v>229</v>
      </c>
      <c r="AD74" s="44" t="s">
        <v>191</v>
      </c>
      <c r="AE74" s="1">
        <v>372</v>
      </c>
    </row>
    <row r="75" spans="1:31" hidden="1">
      <c r="A75" s="15" t="s">
        <v>386</v>
      </c>
      <c r="B75" s="15" t="s">
        <v>176</v>
      </c>
      <c r="C75" s="4" t="s">
        <v>211</v>
      </c>
      <c r="D75" s="4" t="s">
        <v>24</v>
      </c>
      <c r="E75" s="4" t="s">
        <v>25</v>
      </c>
      <c r="G75" s="15">
        <v>1</v>
      </c>
      <c r="H75" s="4" t="s">
        <v>135</v>
      </c>
      <c r="I75" s="4" t="s">
        <v>387</v>
      </c>
      <c r="J75" s="15" t="s">
        <v>223</v>
      </c>
      <c r="M75" s="31" t="s">
        <v>189</v>
      </c>
      <c r="O75" t="s">
        <v>61</v>
      </c>
      <c r="P75" s="44" t="s">
        <v>214</v>
      </c>
      <c r="Q75" s="46" t="s">
        <v>215</v>
      </c>
      <c r="R75" s="44" t="s">
        <v>189</v>
      </c>
      <c r="S75" s="44" t="s">
        <v>183</v>
      </c>
      <c r="T75" s="44" t="s">
        <v>189</v>
      </c>
      <c r="U75" s="44" t="s">
        <v>75</v>
      </c>
      <c r="V75" s="47">
        <v>46207</v>
      </c>
      <c r="Z75" s="45" t="s">
        <v>388</v>
      </c>
      <c r="AA75" s="1" t="s">
        <v>225</v>
      </c>
      <c r="AC75" s="44" t="s">
        <v>229</v>
      </c>
      <c r="AD75" s="44" t="s">
        <v>191</v>
      </c>
      <c r="AE75" s="1">
        <v>372</v>
      </c>
    </row>
    <row r="76" spans="1:31" hidden="1">
      <c r="A76" s="15" t="s">
        <v>389</v>
      </c>
      <c r="B76" s="15" t="s">
        <v>176</v>
      </c>
      <c r="C76" s="4" t="s">
        <v>61</v>
      </c>
      <c r="D76" s="4" t="s">
        <v>24</v>
      </c>
      <c r="E76" s="4" t="s">
        <v>25</v>
      </c>
      <c r="G76" s="15">
        <v>1</v>
      </c>
      <c r="H76" s="4" t="s">
        <v>135</v>
      </c>
      <c r="I76" s="4" t="s">
        <v>366</v>
      </c>
      <c r="J76" s="15" t="s">
        <v>367</v>
      </c>
      <c r="K76" s="15"/>
      <c r="M76" s="31" t="s">
        <v>189</v>
      </c>
      <c r="O76" t="s">
        <v>61</v>
      </c>
      <c r="P76" s="44" t="s">
        <v>214</v>
      </c>
      <c r="Q76" s="46" t="s">
        <v>215</v>
      </c>
      <c r="R76" s="44" t="s">
        <v>189</v>
      </c>
      <c r="S76" s="44" t="s">
        <v>189</v>
      </c>
      <c r="T76" s="44" t="s">
        <v>189</v>
      </c>
      <c r="U76" s="44" t="s">
        <v>211</v>
      </c>
      <c r="V76" s="44" t="s">
        <v>368</v>
      </c>
      <c r="W76" s="44" t="s">
        <v>369</v>
      </c>
      <c r="X76" s="44" t="s">
        <v>248</v>
      </c>
      <c r="Z76" s="45" t="s">
        <v>370</v>
      </c>
      <c r="AA76" s="1" t="s">
        <v>371</v>
      </c>
      <c r="AC76" s="44" t="s">
        <v>229</v>
      </c>
      <c r="AD76" s="44" t="s">
        <v>191</v>
      </c>
      <c r="AE76" s="1">
        <v>372</v>
      </c>
    </row>
    <row r="77" spans="1:31" hidden="1">
      <c r="A77" s="15" t="s">
        <v>390</v>
      </c>
      <c r="B77" s="15" t="s">
        <v>176</v>
      </c>
      <c r="C77" s="4" t="s">
        <v>211</v>
      </c>
      <c r="D77" s="4" t="s">
        <v>24</v>
      </c>
      <c r="E77" s="4" t="s">
        <v>25</v>
      </c>
      <c r="G77" s="15">
        <v>1</v>
      </c>
      <c r="H77" s="4" t="s">
        <v>135</v>
      </c>
      <c r="I77" s="4" t="s">
        <v>373</v>
      </c>
      <c r="J77" s="15" t="s">
        <v>223</v>
      </c>
      <c r="M77" s="31" t="s">
        <v>189</v>
      </c>
      <c r="O77" t="s">
        <v>61</v>
      </c>
      <c r="P77" s="44" t="s">
        <v>214</v>
      </c>
      <c r="Q77" s="46" t="s">
        <v>215</v>
      </c>
      <c r="R77" s="44" t="s">
        <v>189</v>
      </c>
      <c r="S77" s="44" t="s">
        <v>183</v>
      </c>
      <c r="T77" s="44" t="s">
        <v>189</v>
      </c>
      <c r="U77" s="44" t="s">
        <v>75</v>
      </c>
      <c r="V77" s="47">
        <v>46207</v>
      </c>
      <c r="Z77" s="45" t="s">
        <v>228</v>
      </c>
      <c r="AA77" s="1" t="s">
        <v>225</v>
      </c>
      <c r="AC77" s="44" t="s">
        <v>229</v>
      </c>
      <c r="AD77" s="44" t="s">
        <v>191</v>
      </c>
      <c r="AE77" s="1">
        <v>372</v>
      </c>
    </row>
    <row r="78" spans="1:31" hidden="1">
      <c r="A78" s="15" t="s">
        <v>391</v>
      </c>
      <c r="B78" s="15" t="s">
        <v>176</v>
      </c>
      <c r="C78" s="4" t="s">
        <v>211</v>
      </c>
      <c r="D78" s="4" t="s">
        <v>24</v>
      </c>
      <c r="E78" s="4" t="s">
        <v>25</v>
      </c>
      <c r="G78" s="15">
        <v>1</v>
      </c>
      <c r="H78" s="4" t="s">
        <v>135</v>
      </c>
      <c r="I78" s="4" t="s">
        <v>375</v>
      </c>
      <c r="J78" s="15" t="s">
        <v>223</v>
      </c>
      <c r="M78" s="31" t="s">
        <v>189</v>
      </c>
      <c r="O78" t="s">
        <v>61</v>
      </c>
      <c r="P78" s="44" t="s">
        <v>214</v>
      </c>
      <c r="Q78" s="46" t="s">
        <v>215</v>
      </c>
      <c r="R78" s="44" t="s">
        <v>189</v>
      </c>
      <c r="S78" s="44" t="s">
        <v>183</v>
      </c>
      <c r="T78" s="44" t="s">
        <v>189</v>
      </c>
      <c r="U78" s="44" t="s">
        <v>75</v>
      </c>
      <c r="V78" s="47">
        <v>46207</v>
      </c>
      <c r="Z78" s="45" t="s">
        <v>376</v>
      </c>
      <c r="AA78" s="1" t="s">
        <v>225</v>
      </c>
      <c r="AC78" s="44" t="s">
        <v>229</v>
      </c>
      <c r="AD78" s="44" t="s">
        <v>191</v>
      </c>
      <c r="AE78" s="1">
        <v>372</v>
      </c>
    </row>
    <row r="79" spans="1:31" hidden="1">
      <c r="A79" s="15" t="s">
        <v>392</v>
      </c>
      <c r="B79" s="15" t="s">
        <v>176</v>
      </c>
      <c r="C79" s="4" t="s">
        <v>211</v>
      </c>
      <c r="D79" s="4" t="s">
        <v>24</v>
      </c>
      <c r="E79" s="4" t="s">
        <v>25</v>
      </c>
      <c r="G79" s="15">
        <v>1</v>
      </c>
      <c r="H79" s="4" t="s">
        <v>135</v>
      </c>
      <c r="I79" s="4" t="s">
        <v>378</v>
      </c>
      <c r="J79" s="15" t="s">
        <v>223</v>
      </c>
      <c r="M79" s="31" t="s">
        <v>189</v>
      </c>
      <c r="O79" t="s">
        <v>61</v>
      </c>
      <c r="P79" s="44" t="s">
        <v>214</v>
      </c>
      <c r="Q79" s="46" t="s">
        <v>215</v>
      </c>
      <c r="R79" s="44" t="s">
        <v>189</v>
      </c>
      <c r="S79" s="44" t="s">
        <v>183</v>
      </c>
      <c r="T79" s="44" t="s">
        <v>189</v>
      </c>
      <c r="U79" s="44" t="s">
        <v>75</v>
      </c>
      <c r="V79" s="47">
        <v>46207</v>
      </c>
      <c r="Z79" s="45" t="s">
        <v>376</v>
      </c>
      <c r="AA79" s="1" t="s">
        <v>225</v>
      </c>
      <c r="AC79" s="44" t="s">
        <v>229</v>
      </c>
      <c r="AD79" s="44" t="s">
        <v>191</v>
      </c>
      <c r="AE79" s="1">
        <v>372</v>
      </c>
    </row>
    <row r="80" spans="1:31" hidden="1">
      <c r="A80" s="15" t="s">
        <v>393</v>
      </c>
      <c r="B80" s="15" t="s">
        <v>176</v>
      </c>
      <c r="C80" s="4" t="s">
        <v>61</v>
      </c>
      <c r="D80" s="4" t="s">
        <v>24</v>
      </c>
      <c r="E80" s="4" t="s">
        <v>25</v>
      </c>
      <c r="G80" s="15">
        <v>1</v>
      </c>
      <c r="H80" s="4" t="s">
        <v>135</v>
      </c>
      <c r="I80" s="4" t="s">
        <v>380</v>
      </c>
      <c r="J80" s="15" t="s">
        <v>223</v>
      </c>
      <c r="M80" s="31" t="s">
        <v>189</v>
      </c>
      <c r="O80" t="s">
        <v>61</v>
      </c>
      <c r="P80" s="44" t="s">
        <v>214</v>
      </c>
      <c r="Q80" s="46" t="s">
        <v>215</v>
      </c>
      <c r="R80" s="44" t="s">
        <v>189</v>
      </c>
      <c r="S80" s="44" t="s">
        <v>189</v>
      </c>
      <c r="T80" s="44" t="s">
        <v>189</v>
      </c>
      <c r="U80" s="44" t="s">
        <v>211</v>
      </c>
      <c r="V80" s="47">
        <v>46208</v>
      </c>
      <c r="W80" s="44">
        <v>28.2</v>
      </c>
      <c r="X80" s="44" t="s">
        <v>368</v>
      </c>
      <c r="Z80" s="45" t="s">
        <v>381</v>
      </c>
      <c r="AA80" s="1" t="s">
        <v>371</v>
      </c>
      <c r="AC80" s="44" t="s">
        <v>229</v>
      </c>
      <c r="AD80" s="44" t="s">
        <v>191</v>
      </c>
      <c r="AE80" s="1">
        <v>372</v>
      </c>
    </row>
    <row r="81" spans="1:31" hidden="1">
      <c r="A81" s="15" t="s">
        <v>394</v>
      </c>
      <c r="B81" s="15" t="s">
        <v>176</v>
      </c>
      <c r="C81" s="4" t="s">
        <v>61</v>
      </c>
      <c r="D81" s="4" t="s">
        <v>24</v>
      </c>
      <c r="E81" s="4" t="s">
        <v>25</v>
      </c>
      <c r="G81" s="15">
        <v>1</v>
      </c>
      <c r="H81" s="4" t="s">
        <v>135</v>
      </c>
      <c r="I81" s="4" t="s">
        <v>383</v>
      </c>
      <c r="J81" s="15" t="s">
        <v>223</v>
      </c>
      <c r="M81" s="31" t="s">
        <v>189</v>
      </c>
      <c r="O81" t="s">
        <v>61</v>
      </c>
      <c r="P81" s="44" t="s">
        <v>214</v>
      </c>
      <c r="Q81" s="46" t="s">
        <v>215</v>
      </c>
      <c r="R81" s="44" t="s">
        <v>189</v>
      </c>
      <c r="S81" s="44" t="s">
        <v>189</v>
      </c>
      <c r="T81" s="44" t="s">
        <v>189</v>
      </c>
      <c r="U81" s="44" t="s">
        <v>211</v>
      </c>
      <c r="V81" s="47">
        <v>46208</v>
      </c>
      <c r="W81" s="44">
        <v>28.2</v>
      </c>
      <c r="X81" s="44" t="s">
        <v>368</v>
      </c>
      <c r="Z81" s="45" t="s">
        <v>370</v>
      </c>
      <c r="AA81" s="1" t="s">
        <v>371</v>
      </c>
      <c r="AC81" s="44" t="s">
        <v>229</v>
      </c>
      <c r="AD81" s="44" t="s">
        <v>191</v>
      </c>
      <c r="AE81" s="1">
        <v>372</v>
      </c>
    </row>
    <row r="82" spans="1:31" hidden="1">
      <c r="A82" s="15" t="s">
        <v>395</v>
      </c>
      <c r="B82" s="15" t="s">
        <v>176</v>
      </c>
      <c r="C82" s="4" t="s">
        <v>61</v>
      </c>
      <c r="D82" s="4" t="s">
        <v>24</v>
      </c>
      <c r="E82" s="4" t="s">
        <v>25</v>
      </c>
      <c r="G82" s="15">
        <v>1</v>
      </c>
      <c r="H82" s="4" t="s">
        <v>135</v>
      </c>
      <c r="I82" s="4" t="s">
        <v>385</v>
      </c>
      <c r="J82" s="15" t="s">
        <v>367</v>
      </c>
      <c r="K82" s="15"/>
      <c r="M82" s="31" t="s">
        <v>189</v>
      </c>
      <c r="O82" t="s">
        <v>61</v>
      </c>
      <c r="P82" s="44" t="s">
        <v>214</v>
      </c>
      <c r="Q82" s="46" t="s">
        <v>215</v>
      </c>
      <c r="R82" s="44" t="s">
        <v>189</v>
      </c>
      <c r="S82" s="44" t="s">
        <v>189</v>
      </c>
      <c r="T82" s="44" t="s">
        <v>189</v>
      </c>
      <c r="U82" s="44" t="s">
        <v>211</v>
      </c>
      <c r="V82" s="44" t="s">
        <v>368</v>
      </c>
      <c r="W82" s="44" t="s">
        <v>369</v>
      </c>
      <c r="X82" s="44" t="s">
        <v>248</v>
      </c>
      <c r="Z82" s="45" t="s">
        <v>381</v>
      </c>
      <c r="AA82" s="1" t="s">
        <v>371</v>
      </c>
      <c r="AC82" s="44" t="s">
        <v>229</v>
      </c>
      <c r="AD82" s="44" t="s">
        <v>191</v>
      </c>
      <c r="AE82" s="1">
        <v>372</v>
      </c>
    </row>
    <row r="83" spans="1:31" hidden="1">
      <c r="A83" s="15" t="s">
        <v>396</v>
      </c>
      <c r="B83" s="15" t="s">
        <v>176</v>
      </c>
      <c r="C83" s="4" t="s">
        <v>211</v>
      </c>
      <c r="D83" s="4" t="s">
        <v>24</v>
      </c>
      <c r="E83" s="4" t="s">
        <v>25</v>
      </c>
      <c r="G83" s="15">
        <v>1</v>
      </c>
      <c r="H83" s="4" t="s">
        <v>135</v>
      </c>
      <c r="I83" s="4" t="s">
        <v>387</v>
      </c>
      <c r="J83" s="15" t="s">
        <v>223</v>
      </c>
      <c r="M83" s="31" t="s">
        <v>189</v>
      </c>
      <c r="O83" t="s">
        <v>61</v>
      </c>
      <c r="P83" s="44" t="s">
        <v>214</v>
      </c>
      <c r="Q83" s="46" t="s">
        <v>215</v>
      </c>
      <c r="R83" s="44" t="s">
        <v>189</v>
      </c>
      <c r="S83" s="44" t="s">
        <v>183</v>
      </c>
      <c r="T83" s="44" t="s">
        <v>189</v>
      </c>
      <c r="U83" s="44" t="s">
        <v>75</v>
      </c>
      <c r="V83" s="47">
        <v>46207</v>
      </c>
      <c r="Z83" s="45" t="s">
        <v>376</v>
      </c>
      <c r="AA83" s="1" t="s">
        <v>225</v>
      </c>
      <c r="AC83" s="44" t="s">
        <v>229</v>
      </c>
      <c r="AD83" s="44" t="s">
        <v>191</v>
      </c>
      <c r="AE83" s="1">
        <v>372</v>
      </c>
    </row>
    <row r="84" spans="1:31" hidden="1">
      <c r="A84" s="15" t="s">
        <v>397</v>
      </c>
      <c r="B84" s="15" t="s">
        <v>176</v>
      </c>
      <c r="C84" s="4" t="s">
        <v>61</v>
      </c>
      <c r="D84" s="4" t="s">
        <v>24</v>
      </c>
      <c r="E84" s="4" t="s">
        <v>25</v>
      </c>
      <c r="G84" s="15">
        <v>1</v>
      </c>
      <c r="H84" s="4" t="s">
        <v>135</v>
      </c>
      <c r="I84" s="4" t="s">
        <v>398</v>
      </c>
      <c r="J84" s="15" t="s">
        <v>179</v>
      </c>
      <c r="K84" s="15"/>
      <c r="L84" s="45" t="s">
        <v>189</v>
      </c>
      <c r="M84" s="31" t="s">
        <v>189</v>
      </c>
      <c r="O84" t="s">
        <v>61</v>
      </c>
      <c r="P84" s="44" t="s">
        <v>214</v>
      </c>
      <c r="Q84" s="46" t="s">
        <v>215</v>
      </c>
      <c r="R84" s="44" t="s">
        <v>189</v>
      </c>
      <c r="S84" s="44" t="s">
        <v>189</v>
      </c>
      <c r="T84" s="44" t="s">
        <v>189</v>
      </c>
      <c r="U84" s="44" t="s">
        <v>211</v>
      </c>
      <c r="W84" s="44" t="s">
        <v>399</v>
      </c>
      <c r="X84" s="44" t="s">
        <v>400</v>
      </c>
      <c r="Z84" s="45" t="s">
        <v>401</v>
      </c>
      <c r="AA84" s="1" t="s">
        <v>371</v>
      </c>
      <c r="AC84" s="44" t="s">
        <v>229</v>
      </c>
      <c r="AD84" s="44" t="s">
        <v>191</v>
      </c>
      <c r="AE84" s="1">
        <v>372</v>
      </c>
    </row>
    <row r="85" spans="1:31" hidden="1">
      <c r="A85" s="15" t="s">
        <v>402</v>
      </c>
      <c r="B85" s="15" t="s">
        <v>201</v>
      </c>
      <c r="C85" s="4" t="s">
        <v>66</v>
      </c>
      <c r="D85" s="4" t="s">
        <v>68</v>
      </c>
      <c r="E85" s="4" t="s">
        <v>69</v>
      </c>
      <c r="G85" s="15">
        <v>1</v>
      </c>
      <c r="H85" s="4" t="s">
        <v>237</v>
      </c>
      <c r="I85" s="4" t="s">
        <v>403</v>
      </c>
      <c r="J85" s="15" t="s">
        <v>179</v>
      </c>
      <c r="K85" s="15"/>
      <c r="M85" s="15" t="s">
        <v>239</v>
      </c>
      <c r="N85" s="15"/>
      <c r="O85" s="4" t="s">
        <v>66</v>
      </c>
      <c r="P85" s="44" t="s">
        <v>189</v>
      </c>
      <c r="Q85" s="46" t="s">
        <v>240</v>
      </c>
      <c r="R85" s="44" t="s">
        <v>189</v>
      </c>
      <c r="S85" s="44" t="s">
        <v>189</v>
      </c>
      <c r="T85" s="44" t="s">
        <v>189</v>
      </c>
      <c r="U85" s="44" t="s">
        <v>273</v>
      </c>
      <c r="V85" s="44" t="s">
        <v>271</v>
      </c>
      <c r="W85" s="44" t="s">
        <v>404</v>
      </c>
      <c r="X85" s="44" t="s">
        <v>271</v>
      </c>
      <c r="Z85" s="45" t="s">
        <v>205</v>
      </c>
      <c r="AA85" s="4"/>
      <c r="AC85" s="44" t="s">
        <v>229</v>
      </c>
      <c r="AD85" s="44" t="s">
        <v>191</v>
      </c>
      <c r="AE85" s="1">
        <v>112</v>
      </c>
    </row>
    <row r="86" spans="1:31" hidden="1">
      <c r="A86" s="15" t="s">
        <v>405</v>
      </c>
      <c r="B86" s="15" t="s">
        <v>201</v>
      </c>
      <c r="C86" s="4" t="s">
        <v>66</v>
      </c>
      <c r="D86" s="4" t="s">
        <v>68</v>
      </c>
      <c r="E86" s="4" t="s">
        <v>69</v>
      </c>
      <c r="G86" s="15">
        <v>1</v>
      </c>
      <c r="H86" s="4" t="s">
        <v>237</v>
      </c>
      <c r="I86" s="4" t="s">
        <v>406</v>
      </c>
      <c r="J86" s="15" t="s">
        <v>179</v>
      </c>
      <c r="K86" s="15"/>
      <c r="M86" s="15" t="s">
        <v>239</v>
      </c>
      <c r="N86" s="15"/>
      <c r="O86" s="4" t="s">
        <v>66</v>
      </c>
      <c r="P86" s="44" t="s">
        <v>189</v>
      </c>
      <c r="Q86" s="46" t="s">
        <v>240</v>
      </c>
      <c r="R86" s="44" t="s">
        <v>189</v>
      </c>
      <c r="S86" s="44" t="s">
        <v>189</v>
      </c>
      <c r="T86" s="44" t="s">
        <v>189</v>
      </c>
      <c r="U86" s="44" t="s">
        <v>273</v>
      </c>
      <c r="V86" s="44" t="s">
        <v>271</v>
      </c>
      <c r="W86" s="44" t="s">
        <v>404</v>
      </c>
      <c r="X86" s="44" t="s">
        <v>271</v>
      </c>
      <c r="Z86" s="45" t="s">
        <v>205</v>
      </c>
      <c r="AA86" s="4"/>
      <c r="AC86" s="44" t="s">
        <v>229</v>
      </c>
      <c r="AD86" s="44" t="s">
        <v>191</v>
      </c>
      <c r="AE86" s="1">
        <v>112</v>
      </c>
    </row>
    <row r="87" spans="1:31" hidden="1">
      <c r="A87" s="15" t="s">
        <v>407</v>
      </c>
      <c r="B87" s="15" t="s">
        <v>201</v>
      </c>
      <c r="C87" s="4" t="s">
        <v>66</v>
      </c>
      <c r="D87" s="4" t="s">
        <v>68</v>
      </c>
      <c r="E87" s="4" t="s">
        <v>69</v>
      </c>
      <c r="G87" s="15">
        <v>1</v>
      </c>
      <c r="H87" s="41" t="s">
        <v>237</v>
      </c>
      <c r="I87" s="4" t="s">
        <v>408</v>
      </c>
      <c r="J87" s="15" t="s">
        <v>185</v>
      </c>
      <c r="K87" s="15"/>
      <c r="M87" s="15" t="s">
        <v>239</v>
      </c>
      <c r="N87" s="15"/>
      <c r="O87" s="4" t="s">
        <v>66</v>
      </c>
      <c r="P87" s="44" t="s">
        <v>189</v>
      </c>
      <c r="Q87" s="46" t="s">
        <v>240</v>
      </c>
      <c r="R87" s="44" t="s">
        <v>189</v>
      </c>
      <c r="S87" s="44" t="s">
        <v>189</v>
      </c>
      <c r="T87" s="44" t="s">
        <v>189</v>
      </c>
      <c r="U87" s="44" t="s">
        <v>254</v>
      </c>
      <c r="V87" s="44" t="s">
        <v>255</v>
      </c>
      <c r="W87" s="44" t="s">
        <v>256</v>
      </c>
      <c r="X87" s="44" t="s">
        <v>257</v>
      </c>
      <c r="Z87" s="45" t="s">
        <v>243</v>
      </c>
      <c r="AA87" s="4"/>
      <c r="AC87" s="44" t="s">
        <v>229</v>
      </c>
      <c r="AD87" s="44" t="s">
        <v>191</v>
      </c>
      <c r="AE87" s="1">
        <v>112</v>
      </c>
    </row>
    <row r="88" spans="1:31" hidden="1">
      <c r="A88" s="15" t="s">
        <v>409</v>
      </c>
      <c r="B88" s="15" t="s">
        <v>201</v>
      </c>
      <c r="C88" s="4" t="s">
        <v>66</v>
      </c>
      <c r="D88" s="4" t="s">
        <v>68</v>
      </c>
      <c r="E88" s="4" t="s">
        <v>69</v>
      </c>
      <c r="G88" s="15">
        <v>1</v>
      </c>
      <c r="H88" s="4" t="s">
        <v>237</v>
      </c>
      <c r="I88" s="4" t="s">
        <v>410</v>
      </c>
      <c r="J88" s="15" t="s">
        <v>185</v>
      </c>
      <c r="K88" s="15"/>
      <c r="M88" s="15" t="s">
        <v>239</v>
      </c>
      <c r="N88" s="15"/>
      <c r="O88" s="4" t="s">
        <v>66</v>
      </c>
      <c r="P88" s="44" t="s">
        <v>189</v>
      </c>
      <c r="Q88" s="46" t="s">
        <v>240</v>
      </c>
      <c r="R88" s="44" t="s">
        <v>189</v>
      </c>
      <c r="S88" s="44" t="s">
        <v>189</v>
      </c>
      <c r="T88" s="44" t="s">
        <v>189</v>
      </c>
      <c r="U88" s="44" t="s">
        <v>254</v>
      </c>
      <c r="V88" s="44" t="s">
        <v>264</v>
      </c>
      <c r="W88" s="44" t="s">
        <v>257</v>
      </c>
      <c r="X88" s="44" t="s">
        <v>265</v>
      </c>
      <c r="Z88" s="45" t="s">
        <v>243</v>
      </c>
      <c r="AA88" s="4"/>
      <c r="AC88" s="44" t="s">
        <v>229</v>
      </c>
      <c r="AD88" s="44" t="s">
        <v>191</v>
      </c>
      <c r="AE88" s="1">
        <v>112</v>
      </c>
    </row>
    <row r="89" spans="1:31" hidden="1">
      <c r="A89" s="15" t="s">
        <v>411</v>
      </c>
      <c r="B89" s="15" t="s">
        <v>201</v>
      </c>
      <c r="C89" s="4" t="s">
        <v>273</v>
      </c>
      <c r="D89" s="4" t="s">
        <v>68</v>
      </c>
      <c r="E89" s="4" t="s">
        <v>69</v>
      </c>
      <c r="G89" s="15">
        <v>1</v>
      </c>
      <c r="H89" s="41" t="s">
        <v>274</v>
      </c>
      <c r="I89" s="4" t="s">
        <v>412</v>
      </c>
      <c r="J89" s="15" t="s">
        <v>185</v>
      </c>
      <c r="K89" s="15"/>
      <c r="M89" s="15" t="s">
        <v>239</v>
      </c>
      <c r="N89" s="15"/>
      <c r="O89" s="4" t="s">
        <v>66</v>
      </c>
      <c r="P89" s="44" t="s">
        <v>189</v>
      </c>
      <c r="Q89" s="46" t="s">
        <v>240</v>
      </c>
      <c r="R89" s="44" t="s">
        <v>189</v>
      </c>
      <c r="S89" s="44" t="s">
        <v>189</v>
      </c>
      <c r="T89" s="44" t="s">
        <v>189</v>
      </c>
      <c r="U89" s="44" t="s">
        <v>254</v>
      </c>
      <c r="V89" s="44" t="s">
        <v>255</v>
      </c>
      <c r="W89" s="44" t="s">
        <v>264</v>
      </c>
      <c r="Z89" s="46" t="s">
        <v>276</v>
      </c>
      <c r="AA89" s="4" t="s">
        <v>277</v>
      </c>
      <c r="AC89" s="44" t="s">
        <v>229</v>
      </c>
      <c r="AD89" s="44" t="s">
        <v>191</v>
      </c>
      <c r="AE89" s="1">
        <v>112</v>
      </c>
    </row>
    <row r="90" spans="1:31" hidden="1">
      <c r="A90" s="15" t="s">
        <v>413</v>
      </c>
      <c r="B90" s="15" t="s">
        <v>302</v>
      </c>
      <c r="C90" s="4" t="s">
        <v>84</v>
      </c>
      <c r="D90" s="4" t="s">
        <v>86</v>
      </c>
      <c r="E90" s="4" t="s">
        <v>47</v>
      </c>
      <c r="G90" s="15">
        <v>1</v>
      </c>
      <c r="H90" s="4" t="s">
        <v>126</v>
      </c>
      <c r="I90" s="4" t="s">
        <v>414</v>
      </c>
      <c r="J90" s="15" t="s">
        <v>185</v>
      </c>
      <c r="K90" s="15"/>
      <c r="M90" s="15"/>
      <c r="N90" s="15"/>
      <c r="O90" s="4" t="s">
        <v>84</v>
      </c>
      <c r="P90" s="44" t="s">
        <v>189</v>
      </c>
      <c r="Q90" s="46" t="s">
        <v>304</v>
      </c>
      <c r="R90" s="44" t="s">
        <v>183</v>
      </c>
      <c r="U90" s="44" t="s">
        <v>61</v>
      </c>
      <c r="V90" s="44" t="s">
        <v>265</v>
      </c>
      <c r="W90" s="44" t="s">
        <v>204</v>
      </c>
      <c r="Z90" s="45" t="s">
        <v>415</v>
      </c>
      <c r="AA90" s="4"/>
      <c r="AB90" s="44" t="s">
        <v>218</v>
      </c>
      <c r="AC90" s="44" t="s">
        <v>229</v>
      </c>
      <c r="AD90" s="44" t="s">
        <v>191</v>
      </c>
      <c r="AE90" s="1">
        <v>348</v>
      </c>
    </row>
    <row r="91" spans="1:31" hidden="1">
      <c r="A91" s="15" t="s">
        <v>416</v>
      </c>
      <c r="B91" s="15" t="s">
        <v>302</v>
      </c>
      <c r="C91" s="4" t="s">
        <v>84</v>
      </c>
      <c r="D91" s="4" t="s">
        <v>86</v>
      </c>
      <c r="E91" s="4" t="s">
        <v>47</v>
      </c>
      <c r="G91" s="15">
        <v>1</v>
      </c>
      <c r="H91" s="4" t="s">
        <v>126</v>
      </c>
      <c r="I91" s="4" t="s">
        <v>414</v>
      </c>
      <c r="J91" s="15" t="s">
        <v>185</v>
      </c>
      <c r="K91" s="15"/>
      <c r="M91" s="15"/>
      <c r="N91" s="15"/>
      <c r="O91" s="4" t="s">
        <v>84</v>
      </c>
      <c r="P91" s="44" t="s">
        <v>189</v>
      </c>
      <c r="Q91" s="46" t="s">
        <v>304</v>
      </c>
      <c r="R91" s="44" t="s">
        <v>183</v>
      </c>
      <c r="U91" s="44" t="s">
        <v>61</v>
      </c>
      <c r="V91" s="44" t="s">
        <v>265</v>
      </c>
      <c r="W91" s="44" t="s">
        <v>204</v>
      </c>
      <c r="Z91" s="45" t="s">
        <v>415</v>
      </c>
      <c r="AA91" s="4"/>
      <c r="AC91" s="44" t="s">
        <v>229</v>
      </c>
      <c r="AD91" s="44" t="s">
        <v>191</v>
      </c>
      <c r="AE91" s="1">
        <v>348</v>
      </c>
    </row>
    <row r="92" spans="1:31" hidden="1">
      <c r="A92" s="15" t="s">
        <v>417</v>
      </c>
      <c r="B92" s="15" t="s">
        <v>302</v>
      </c>
      <c r="C92" s="4" t="s">
        <v>84</v>
      </c>
      <c r="D92" s="4" t="s">
        <v>86</v>
      </c>
      <c r="E92" s="4" t="s">
        <v>47</v>
      </c>
      <c r="G92" s="15">
        <v>1</v>
      </c>
      <c r="H92" s="4" t="s">
        <v>126</v>
      </c>
      <c r="I92" s="4" t="s">
        <v>418</v>
      </c>
      <c r="J92" s="15" t="s">
        <v>185</v>
      </c>
      <c r="K92" s="15"/>
      <c r="M92" s="15"/>
      <c r="N92" s="15"/>
      <c r="O92" s="4" t="s">
        <v>84</v>
      </c>
      <c r="P92" s="44" t="s">
        <v>189</v>
      </c>
      <c r="Q92" s="46" t="s">
        <v>304</v>
      </c>
      <c r="R92" s="44" t="s">
        <v>183</v>
      </c>
      <c r="U92" s="44" t="s">
        <v>61</v>
      </c>
      <c r="V92" s="44" t="s">
        <v>265</v>
      </c>
      <c r="W92" s="44" t="s">
        <v>419</v>
      </c>
      <c r="Z92" s="45" t="s">
        <v>415</v>
      </c>
      <c r="AA92" s="4"/>
      <c r="AC92" s="44" t="s">
        <v>229</v>
      </c>
      <c r="AD92" s="44" t="s">
        <v>191</v>
      </c>
      <c r="AE92" s="1">
        <v>348</v>
      </c>
    </row>
    <row r="93" spans="1:31" customFormat="1" hidden="1">
      <c r="A93" s="15" t="s">
        <v>420</v>
      </c>
      <c r="B93" s="15" t="s">
        <v>302</v>
      </c>
      <c r="C93" s="4" t="s">
        <v>84</v>
      </c>
      <c r="D93" s="4" t="s">
        <v>86</v>
      </c>
      <c r="E93" s="4" t="s">
        <v>47</v>
      </c>
      <c r="F93" s="4"/>
      <c r="G93" s="15">
        <v>1</v>
      </c>
      <c r="H93" s="4" t="s">
        <v>126</v>
      </c>
      <c r="I93" s="4" t="s">
        <v>418</v>
      </c>
      <c r="J93" s="15" t="s">
        <v>185</v>
      </c>
      <c r="K93" s="15"/>
      <c r="L93" s="45"/>
      <c r="M93" s="15"/>
      <c r="N93" s="15"/>
      <c r="O93" s="4" t="s">
        <v>84</v>
      </c>
      <c r="P93" s="44" t="s">
        <v>189</v>
      </c>
      <c r="Q93" s="46" t="s">
        <v>304</v>
      </c>
      <c r="R93" s="44" t="s">
        <v>183</v>
      </c>
      <c r="S93" s="44"/>
      <c r="T93" s="44"/>
      <c r="U93" s="44" t="s">
        <v>61</v>
      </c>
      <c r="V93" s="44" t="s">
        <v>265</v>
      </c>
      <c r="W93" s="44" t="s">
        <v>419</v>
      </c>
      <c r="X93" s="44"/>
      <c r="Y93" s="45"/>
      <c r="Z93" s="45" t="s">
        <v>415</v>
      </c>
      <c r="AA93" s="4"/>
      <c r="AB93" s="44"/>
      <c r="AC93" s="44" t="s">
        <v>229</v>
      </c>
      <c r="AD93" s="44" t="s">
        <v>191</v>
      </c>
      <c r="AE93" s="1">
        <v>348</v>
      </c>
    </row>
    <row r="94" spans="1:31" customFormat="1" hidden="1">
      <c r="A94" s="15" t="s">
        <v>421</v>
      </c>
      <c r="B94" s="15" t="s">
        <v>302</v>
      </c>
      <c r="C94" s="4" t="s">
        <v>84</v>
      </c>
      <c r="D94" s="4" t="s">
        <v>86</v>
      </c>
      <c r="E94" s="4" t="s">
        <v>47</v>
      </c>
      <c r="F94" s="4"/>
      <c r="G94" s="15">
        <v>1</v>
      </c>
      <c r="H94" s="4" t="s">
        <v>126</v>
      </c>
      <c r="I94" s="4" t="s">
        <v>414</v>
      </c>
      <c r="J94" s="15" t="s">
        <v>185</v>
      </c>
      <c r="K94" s="15"/>
      <c r="L94" s="45"/>
      <c r="M94" s="15"/>
      <c r="N94" s="15"/>
      <c r="O94" s="4" t="s">
        <v>84</v>
      </c>
      <c r="P94" s="44" t="s">
        <v>189</v>
      </c>
      <c r="Q94" s="46" t="s">
        <v>304</v>
      </c>
      <c r="R94" s="44" t="s">
        <v>183</v>
      </c>
      <c r="S94" s="44"/>
      <c r="T94" s="44"/>
      <c r="U94" s="44" t="s">
        <v>61</v>
      </c>
      <c r="V94" s="44" t="s">
        <v>265</v>
      </c>
      <c r="W94" s="44" t="s">
        <v>419</v>
      </c>
      <c r="X94" s="44"/>
      <c r="Y94" s="45"/>
      <c r="Z94" s="45" t="s">
        <v>305</v>
      </c>
      <c r="AA94" s="4"/>
      <c r="AB94" s="44"/>
      <c r="AC94" s="44" t="s">
        <v>229</v>
      </c>
      <c r="AD94" s="44" t="s">
        <v>191</v>
      </c>
      <c r="AE94" s="1">
        <v>348</v>
      </c>
    </row>
    <row r="95" spans="1:31" customFormat="1" hidden="1">
      <c r="A95" s="15" t="s">
        <v>422</v>
      </c>
      <c r="B95" s="15" t="s">
        <v>326</v>
      </c>
      <c r="C95" s="4" t="s">
        <v>54</v>
      </c>
      <c r="D95" s="4" t="s">
        <v>138</v>
      </c>
      <c r="E95" s="4" t="s">
        <v>51</v>
      </c>
      <c r="F95" s="4"/>
      <c r="G95" s="15">
        <v>1</v>
      </c>
      <c r="H95" s="4" t="s">
        <v>327</v>
      </c>
      <c r="I95" s="4" t="s">
        <v>423</v>
      </c>
      <c r="J95" s="15" t="s">
        <v>185</v>
      </c>
      <c r="K95" s="15"/>
      <c r="L95" s="45"/>
      <c r="M95" s="15" t="s">
        <v>189</v>
      </c>
      <c r="N95" s="15" t="s">
        <v>332</v>
      </c>
      <c r="O95" s="4" t="s">
        <v>54</v>
      </c>
      <c r="P95" s="44"/>
      <c r="Q95" s="46" t="s">
        <v>304</v>
      </c>
      <c r="R95" s="44"/>
      <c r="S95" s="44"/>
      <c r="T95" s="44"/>
      <c r="U95" s="44"/>
      <c r="V95" s="44"/>
      <c r="W95" s="44"/>
      <c r="X95" s="44"/>
      <c r="Y95" s="45"/>
      <c r="Z95" s="45" t="s">
        <v>424</v>
      </c>
      <c r="AA95" s="4" t="s">
        <v>371</v>
      </c>
      <c r="AB95" s="44"/>
      <c r="AC95" s="44" t="s">
        <v>138</v>
      </c>
      <c r="AD95" s="44" t="s">
        <v>191</v>
      </c>
      <c r="AE95" s="1">
        <v>48</v>
      </c>
    </row>
    <row r="96" spans="1:31" customFormat="1" hidden="1">
      <c r="A96" s="15" t="s">
        <v>425</v>
      </c>
      <c r="B96" s="15" t="s">
        <v>326</v>
      </c>
      <c r="C96" s="4" t="s">
        <v>54</v>
      </c>
      <c r="D96" s="4" t="s">
        <v>138</v>
      </c>
      <c r="E96" s="4" t="s">
        <v>51</v>
      </c>
      <c r="F96" s="4"/>
      <c r="G96" s="15">
        <v>1</v>
      </c>
      <c r="H96" s="4" t="s">
        <v>327</v>
      </c>
      <c r="I96" s="4" t="s">
        <v>426</v>
      </c>
      <c r="J96" s="15" t="s">
        <v>185</v>
      </c>
      <c r="K96" s="15"/>
      <c r="L96" s="45"/>
      <c r="M96" s="15" t="s">
        <v>189</v>
      </c>
      <c r="N96" s="15" t="s">
        <v>332</v>
      </c>
      <c r="O96" s="4" t="s">
        <v>54</v>
      </c>
      <c r="P96" s="44"/>
      <c r="Q96" s="46" t="s">
        <v>304</v>
      </c>
      <c r="R96" s="44"/>
      <c r="S96" s="44"/>
      <c r="T96" s="44"/>
      <c r="U96" s="44"/>
      <c r="V96" s="44"/>
      <c r="W96" s="44"/>
      <c r="X96" s="44"/>
      <c r="Y96" s="45"/>
      <c r="Z96" s="45" t="s">
        <v>424</v>
      </c>
      <c r="AA96" s="4" t="s">
        <v>371</v>
      </c>
      <c r="AB96" s="44"/>
      <c r="AC96" s="44" t="s">
        <v>138</v>
      </c>
      <c r="AD96" s="44" t="s">
        <v>191</v>
      </c>
      <c r="AE96" s="1">
        <v>48</v>
      </c>
    </row>
    <row r="97" spans="1:31" customFormat="1" hidden="1">
      <c r="A97" s="15" t="s">
        <v>427</v>
      </c>
      <c r="B97" s="15" t="s">
        <v>326</v>
      </c>
      <c r="C97" s="4" t="s">
        <v>54</v>
      </c>
      <c r="D97" s="4" t="s">
        <v>138</v>
      </c>
      <c r="E97" s="4" t="s">
        <v>51</v>
      </c>
      <c r="F97" s="4"/>
      <c r="G97" s="15">
        <v>1</v>
      </c>
      <c r="H97" s="4" t="s">
        <v>327</v>
      </c>
      <c r="I97" s="4" t="s">
        <v>328</v>
      </c>
      <c r="J97" s="15" t="s">
        <v>185</v>
      </c>
      <c r="K97" s="15"/>
      <c r="L97" s="45"/>
      <c r="M97" s="15" t="s">
        <v>189</v>
      </c>
      <c r="N97" s="15" t="s">
        <v>340</v>
      </c>
      <c r="O97" s="4" t="s">
        <v>54</v>
      </c>
      <c r="P97" s="44"/>
      <c r="Q97" s="46" t="s">
        <v>304</v>
      </c>
      <c r="R97" s="44"/>
      <c r="S97" s="44"/>
      <c r="T97" s="44"/>
      <c r="U97" s="44"/>
      <c r="V97" s="44"/>
      <c r="W97" s="44"/>
      <c r="X97" s="44"/>
      <c r="Y97" s="45"/>
      <c r="Z97" s="45"/>
      <c r="AA97" s="4" t="s">
        <v>333</v>
      </c>
      <c r="AB97" s="44"/>
      <c r="AC97" s="44" t="s">
        <v>138</v>
      </c>
      <c r="AD97" s="44" t="s">
        <v>191</v>
      </c>
      <c r="AE97" s="1">
        <v>48</v>
      </c>
    </row>
    <row r="98" spans="1:31" customFormat="1" hidden="1">
      <c r="A98" s="15" t="s">
        <v>428</v>
      </c>
      <c r="B98" s="15" t="s">
        <v>326</v>
      </c>
      <c r="C98" s="4" t="s">
        <v>54</v>
      </c>
      <c r="D98" s="4" t="s">
        <v>138</v>
      </c>
      <c r="E98" s="4" t="s">
        <v>51</v>
      </c>
      <c r="F98" s="4"/>
      <c r="G98" s="15">
        <v>1</v>
      </c>
      <c r="H98" s="4" t="s">
        <v>327</v>
      </c>
      <c r="I98" s="4" t="s">
        <v>429</v>
      </c>
      <c r="J98" s="15" t="s">
        <v>185</v>
      </c>
      <c r="K98" s="15"/>
      <c r="L98" s="45"/>
      <c r="M98" s="15" t="s">
        <v>189</v>
      </c>
      <c r="N98" s="15" t="s">
        <v>340</v>
      </c>
      <c r="O98" s="4" t="s">
        <v>54</v>
      </c>
      <c r="P98" s="44"/>
      <c r="Q98" s="46" t="s">
        <v>304</v>
      </c>
      <c r="R98" s="44"/>
      <c r="S98" s="44"/>
      <c r="T98" s="44"/>
      <c r="U98" s="44"/>
      <c r="V98" s="44"/>
      <c r="W98" s="44"/>
      <c r="X98" s="44"/>
      <c r="Y98" s="45"/>
      <c r="Z98" s="45"/>
      <c r="AA98" s="4" t="s">
        <v>333</v>
      </c>
      <c r="AB98" s="44" t="s">
        <v>218</v>
      </c>
      <c r="AC98" s="44" t="s">
        <v>138</v>
      </c>
      <c r="AD98" s="44" t="s">
        <v>191</v>
      </c>
      <c r="AE98" s="1">
        <v>48</v>
      </c>
    </row>
    <row r="99" spans="1:31" customFormat="1" hidden="1">
      <c r="A99" s="15" t="s">
        <v>430</v>
      </c>
      <c r="B99" s="15" t="s">
        <v>326</v>
      </c>
      <c r="C99" s="4" t="s">
        <v>330</v>
      </c>
      <c r="D99" s="4" t="s">
        <v>138</v>
      </c>
      <c r="E99" s="4" t="s">
        <v>51</v>
      </c>
      <c r="F99" s="4"/>
      <c r="G99" s="15">
        <v>1</v>
      </c>
      <c r="H99" s="4" t="s">
        <v>327</v>
      </c>
      <c r="I99" s="4" t="s">
        <v>331</v>
      </c>
      <c r="J99" s="15" t="s">
        <v>367</v>
      </c>
      <c r="K99" s="15"/>
      <c r="L99" s="45"/>
      <c r="M99" s="15" t="s">
        <v>189</v>
      </c>
      <c r="N99" s="15" t="s">
        <v>332</v>
      </c>
      <c r="O99" t="s">
        <v>54</v>
      </c>
      <c r="P99" s="44"/>
      <c r="Q99" s="46" t="s">
        <v>304</v>
      </c>
      <c r="R99" s="44"/>
      <c r="S99" s="44"/>
      <c r="T99" s="44"/>
      <c r="U99" s="44" t="s">
        <v>54</v>
      </c>
      <c r="V99" s="44" t="s">
        <v>241</v>
      </c>
      <c r="W99" s="44"/>
      <c r="X99" s="44"/>
      <c r="Y99" s="45"/>
      <c r="Z99" s="51" t="s">
        <v>431</v>
      </c>
      <c r="AA99" s="21" t="s">
        <v>432</v>
      </c>
      <c r="AB99" s="44"/>
      <c r="AC99" s="44" t="s">
        <v>138</v>
      </c>
      <c r="AD99" s="44" t="s">
        <v>191</v>
      </c>
      <c r="AE99" s="1">
        <v>48</v>
      </c>
    </row>
    <row r="100" spans="1:31" customFormat="1" hidden="1">
      <c r="A100" s="15" t="s">
        <v>433</v>
      </c>
      <c r="B100" s="15" t="s">
        <v>326</v>
      </c>
      <c r="C100" s="4" t="s">
        <v>330</v>
      </c>
      <c r="D100" s="4" t="s">
        <v>138</v>
      </c>
      <c r="E100" s="4" t="s">
        <v>51</v>
      </c>
      <c r="F100" s="4"/>
      <c r="G100" s="15">
        <v>1</v>
      </c>
      <c r="H100" s="4" t="s">
        <v>327</v>
      </c>
      <c r="I100" s="4" t="s">
        <v>331</v>
      </c>
      <c r="J100" s="15" t="s">
        <v>367</v>
      </c>
      <c r="K100" s="15"/>
      <c r="L100" s="45"/>
      <c r="M100" s="15" t="s">
        <v>189</v>
      </c>
      <c r="N100" s="15" t="s">
        <v>340</v>
      </c>
      <c r="O100" t="s">
        <v>54</v>
      </c>
      <c r="P100" s="44"/>
      <c r="Q100" s="46" t="s">
        <v>304</v>
      </c>
      <c r="R100" s="44"/>
      <c r="S100" s="44"/>
      <c r="T100" s="44"/>
      <c r="U100" s="44" t="s">
        <v>338</v>
      </c>
      <c r="V100" s="44" t="s">
        <v>241</v>
      </c>
      <c r="W100" s="44" t="s">
        <v>241</v>
      </c>
      <c r="X100" s="44"/>
      <c r="Y100" s="45"/>
      <c r="Z100" s="51"/>
      <c r="AA100" s="21" t="s">
        <v>333</v>
      </c>
      <c r="AB100" s="44"/>
      <c r="AC100" s="44" t="s">
        <v>138</v>
      </c>
      <c r="AD100" s="44" t="s">
        <v>191</v>
      </c>
      <c r="AE100" s="1">
        <v>48</v>
      </c>
    </row>
    <row r="101" spans="1:31" customFormat="1" hidden="1">
      <c r="A101" s="15" t="s">
        <v>434</v>
      </c>
      <c r="B101" s="15" t="s">
        <v>326</v>
      </c>
      <c r="C101" s="4" t="s">
        <v>330</v>
      </c>
      <c r="D101" s="4" t="s">
        <v>138</v>
      </c>
      <c r="E101" s="4" t="s">
        <v>57</v>
      </c>
      <c r="F101" s="4"/>
      <c r="G101" s="15">
        <v>0</v>
      </c>
      <c r="H101" s="4" t="s">
        <v>327</v>
      </c>
      <c r="I101" s="4" t="s">
        <v>331</v>
      </c>
      <c r="J101" s="15" t="s">
        <v>179</v>
      </c>
      <c r="K101" s="15" t="s">
        <v>186</v>
      </c>
      <c r="L101" s="45"/>
      <c r="M101" s="15"/>
      <c r="N101" s="15" t="s">
        <v>332</v>
      </c>
      <c r="O101" s="4" t="s">
        <v>54</v>
      </c>
      <c r="P101" s="4"/>
      <c r="Q101" s="16" t="s">
        <v>304</v>
      </c>
      <c r="R101" s="4"/>
      <c r="S101" s="4"/>
      <c r="T101" s="4"/>
      <c r="U101" s="4"/>
      <c r="V101" s="4"/>
      <c r="W101" s="4"/>
      <c r="X101" s="4"/>
      <c r="Y101" s="15"/>
      <c r="Z101" s="15"/>
      <c r="AA101" s="4"/>
      <c r="AB101" s="44"/>
      <c r="AC101" s="44" t="s">
        <v>138</v>
      </c>
      <c r="AD101" s="44" t="s">
        <v>191</v>
      </c>
    </row>
    <row r="102" spans="1:31" customFormat="1" hidden="1">
      <c r="A102" s="15" t="s">
        <v>435</v>
      </c>
      <c r="B102" s="15" t="s">
        <v>326</v>
      </c>
      <c r="C102" s="4" t="s">
        <v>330</v>
      </c>
      <c r="D102" s="4" t="s">
        <v>138</v>
      </c>
      <c r="E102" s="4" t="s">
        <v>57</v>
      </c>
      <c r="F102" s="4"/>
      <c r="G102" s="15">
        <v>0</v>
      </c>
      <c r="H102" s="4" t="s">
        <v>327</v>
      </c>
      <c r="I102" s="4" t="s">
        <v>331</v>
      </c>
      <c r="J102" s="15" t="s">
        <v>179</v>
      </c>
      <c r="K102" s="15"/>
      <c r="L102" s="45"/>
      <c r="M102" s="15"/>
      <c r="N102" s="15"/>
      <c r="O102" s="4" t="s">
        <v>54</v>
      </c>
      <c r="P102" s="4"/>
      <c r="Q102" s="16" t="s">
        <v>304</v>
      </c>
      <c r="R102" s="4"/>
      <c r="S102" s="4"/>
      <c r="T102" s="4"/>
      <c r="U102" s="4"/>
      <c r="V102" s="4"/>
      <c r="W102" s="4"/>
      <c r="X102" s="4"/>
      <c r="Y102" s="15"/>
      <c r="Z102" s="15"/>
      <c r="AA102" s="4" t="s">
        <v>436</v>
      </c>
      <c r="AB102" s="44"/>
      <c r="AC102" s="44" t="s">
        <v>138</v>
      </c>
      <c r="AD102" s="44" t="s">
        <v>191</v>
      </c>
    </row>
    <row r="103" spans="1:31" customFormat="1" hidden="1">
      <c r="A103" s="15" t="s">
        <v>437</v>
      </c>
      <c r="B103" s="15" t="s">
        <v>326</v>
      </c>
      <c r="C103" s="4" t="s">
        <v>54</v>
      </c>
      <c r="D103" s="4" t="s">
        <v>138</v>
      </c>
      <c r="E103" s="4" t="s">
        <v>51</v>
      </c>
      <c r="F103" s="4"/>
      <c r="G103" s="15">
        <v>1</v>
      </c>
      <c r="H103" s="4" t="s">
        <v>327</v>
      </c>
      <c r="I103" s="4" t="s">
        <v>335</v>
      </c>
      <c r="J103" s="15" t="s">
        <v>223</v>
      </c>
      <c r="K103" s="15"/>
      <c r="L103" s="45"/>
      <c r="M103" s="15" t="s">
        <v>189</v>
      </c>
      <c r="N103" s="15" t="s">
        <v>332</v>
      </c>
      <c r="O103" t="s">
        <v>54</v>
      </c>
      <c r="P103" s="44"/>
      <c r="Q103" s="46" t="s">
        <v>304</v>
      </c>
      <c r="R103" s="44" t="s">
        <v>189</v>
      </c>
      <c r="S103" s="44" t="s">
        <v>189</v>
      </c>
      <c r="T103" s="44"/>
      <c r="U103" s="44" t="s">
        <v>99</v>
      </c>
      <c r="V103" s="47">
        <v>46212</v>
      </c>
      <c r="W103" s="47">
        <v>46213</v>
      </c>
      <c r="X103" s="44"/>
      <c r="Y103" s="45"/>
      <c r="Z103" s="44" t="str">
        <f>_xlfn.CONCAT(Z79:Z87)</f>
        <v>TSDR1282-410,TSDR1282-416,TSDR1282-420,TSDR1282-423TSDR1282-417,TSDR1282-416,TSDR1282-428,TSDR1282-427TSDR1282-416,TSDR1282-428,TSDR1282-427TSDR1282-417,TSDR1282-416,TSDR1282-428,TSDR1282-427TSDR1282-410,TSDR1282-416,TSDR1282-420,TSDR1282-423TSDR1282-498TSDR1282-518, TSDR1282-507TSDR1282-518, TSDR1282-507TSDR1282-518</v>
      </c>
      <c r="AA103" s="4"/>
      <c r="AB103" s="44"/>
      <c r="AC103" s="44" t="s">
        <v>138</v>
      </c>
      <c r="AD103" s="44" t="s">
        <v>191</v>
      </c>
      <c r="AE103" s="1">
        <v>48</v>
      </c>
    </row>
    <row r="104" spans="1:31" customFormat="1" hidden="1">
      <c r="A104" s="15" t="s">
        <v>438</v>
      </c>
      <c r="B104" s="15" t="s">
        <v>326</v>
      </c>
      <c r="C104" s="4" t="s">
        <v>54</v>
      </c>
      <c r="D104" s="4" t="s">
        <v>138</v>
      </c>
      <c r="E104" s="4" t="s">
        <v>51</v>
      </c>
      <c r="F104" s="4"/>
      <c r="G104" s="15">
        <v>1</v>
      </c>
      <c r="H104" s="4" t="s">
        <v>327</v>
      </c>
      <c r="I104" s="4" t="s">
        <v>335</v>
      </c>
      <c r="J104" s="15" t="s">
        <v>179</v>
      </c>
      <c r="K104" s="15"/>
      <c r="L104" s="45"/>
      <c r="M104" s="15" t="s">
        <v>189</v>
      </c>
      <c r="N104" s="15" t="s">
        <v>340</v>
      </c>
      <c r="O104" s="4" t="s">
        <v>54</v>
      </c>
      <c r="P104" s="44"/>
      <c r="Q104" s="46" t="s">
        <v>304</v>
      </c>
      <c r="R104" s="44"/>
      <c r="S104" s="44"/>
      <c r="T104" s="44"/>
      <c r="U104" s="44" t="s">
        <v>338</v>
      </c>
      <c r="V104" s="44"/>
      <c r="W104" s="44"/>
      <c r="X104" s="44"/>
      <c r="Y104" s="45"/>
      <c r="Z104" s="45" t="s">
        <v>439</v>
      </c>
      <c r="AA104" s="4" t="s">
        <v>440</v>
      </c>
      <c r="AB104" s="44"/>
      <c r="AC104" s="44" t="s">
        <v>138</v>
      </c>
      <c r="AD104" s="44" t="s">
        <v>191</v>
      </c>
      <c r="AE104" s="1">
        <v>48</v>
      </c>
    </row>
    <row r="105" spans="1:31" customFormat="1" hidden="1">
      <c r="A105" s="15" t="s">
        <v>441</v>
      </c>
      <c r="B105" s="15" t="s">
        <v>326</v>
      </c>
      <c r="C105" s="4" t="s">
        <v>54</v>
      </c>
      <c r="D105" s="4" t="s">
        <v>138</v>
      </c>
      <c r="E105" s="4" t="s">
        <v>51</v>
      </c>
      <c r="F105" s="4"/>
      <c r="G105" s="15">
        <v>1</v>
      </c>
      <c r="H105" s="4" t="s">
        <v>327</v>
      </c>
      <c r="I105" s="4" t="s">
        <v>335</v>
      </c>
      <c r="J105" s="15" t="s">
        <v>179</v>
      </c>
      <c r="K105" s="15"/>
      <c r="L105" s="45"/>
      <c r="M105" s="15" t="s">
        <v>189</v>
      </c>
      <c r="N105" s="15" t="s">
        <v>340</v>
      </c>
      <c r="O105" s="4" t="s">
        <v>54</v>
      </c>
      <c r="P105" s="44"/>
      <c r="Q105" s="46" t="s">
        <v>304</v>
      </c>
      <c r="R105" s="44"/>
      <c r="S105" s="44"/>
      <c r="T105" s="44"/>
      <c r="U105" s="44" t="s">
        <v>330</v>
      </c>
      <c r="V105" s="44"/>
      <c r="W105" s="44"/>
      <c r="X105" s="44"/>
      <c r="Y105" s="45"/>
      <c r="Z105" s="45" t="s">
        <v>442</v>
      </c>
      <c r="AA105" s="4" t="s">
        <v>440</v>
      </c>
      <c r="AB105" s="44"/>
      <c r="AC105" s="44" t="s">
        <v>138</v>
      </c>
      <c r="AD105" s="44" t="s">
        <v>191</v>
      </c>
      <c r="AE105" s="1">
        <v>48</v>
      </c>
    </row>
    <row r="106" spans="1:31" customFormat="1" hidden="1">
      <c r="A106" s="15" t="s">
        <v>443</v>
      </c>
      <c r="B106" s="15" t="s">
        <v>326</v>
      </c>
      <c r="C106" s="4" t="s">
        <v>338</v>
      </c>
      <c r="D106" s="4" t="s">
        <v>138</v>
      </c>
      <c r="E106" s="4" t="s">
        <v>51</v>
      </c>
      <c r="F106" s="4"/>
      <c r="G106" s="15">
        <v>1</v>
      </c>
      <c r="H106" s="4" t="s">
        <v>327</v>
      </c>
      <c r="I106" s="4" t="s">
        <v>444</v>
      </c>
      <c r="J106" s="15" t="s">
        <v>223</v>
      </c>
      <c r="K106" s="15"/>
      <c r="L106" s="45"/>
      <c r="M106" s="15" t="s">
        <v>189</v>
      </c>
      <c r="N106" s="15" t="s">
        <v>340</v>
      </c>
      <c r="O106" t="s">
        <v>54</v>
      </c>
      <c r="P106" s="44" t="s">
        <v>445</v>
      </c>
      <c r="Q106" s="46" t="s">
        <v>304</v>
      </c>
      <c r="R106" s="44" t="s">
        <v>189</v>
      </c>
      <c r="S106" s="44" t="s">
        <v>189</v>
      </c>
      <c r="T106" s="44"/>
      <c r="U106" s="44" t="s">
        <v>273</v>
      </c>
      <c r="V106" s="47">
        <v>46207</v>
      </c>
      <c r="W106" s="44"/>
      <c r="X106" s="44"/>
      <c r="Y106" s="45"/>
      <c r="Z106" s="46" t="s">
        <v>341</v>
      </c>
      <c r="AA106" s="27"/>
      <c r="AB106" s="44"/>
      <c r="AC106" s="44" t="s">
        <v>138</v>
      </c>
      <c r="AD106" s="44" t="s">
        <v>191</v>
      </c>
      <c r="AE106" s="1">
        <v>48</v>
      </c>
    </row>
    <row r="107" spans="1:31" customFormat="1" hidden="1">
      <c r="A107" s="15" t="s">
        <v>446</v>
      </c>
      <c r="B107" s="15" t="s">
        <v>326</v>
      </c>
      <c r="C107" s="4" t="s">
        <v>338</v>
      </c>
      <c r="D107" s="4" t="s">
        <v>138</v>
      </c>
      <c r="E107" s="4" t="s">
        <v>51</v>
      </c>
      <c r="F107" s="4"/>
      <c r="G107" s="15">
        <v>1</v>
      </c>
      <c r="H107" s="4" t="s">
        <v>327</v>
      </c>
      <c r="I107" s="4" t="s">
        <v>447</v>
      </c>
      <c r="J107" s="15" t="s">
        <v>223</v>
      </c>
      <c r="K107" s="15"/>
      <c r="L107" s="45"/>
      <c r="M107" s="15" t="s">
        <v>344</v>
      </c>
      <c r="N107" s="15" t="s">
        <v>340</v>
      </c>
      <c r="O107" t="s">
        <v>54</v>
      </c>
      <c r="P107" s="44" t="s">
        <v>445</v>
      </c>
      <c r="Q107" s="46" t="s">
        <v>304</v>
      </c>
      <c r="R107" s="44" t="s">
        <v>189</v>
      </c>
      <c r="S107" s="44" t="s">
        <v>189</v>
      </c>
      <c r="T107" s="44"/>
      <c r="U107" s="44" t="s">
        <v>273</v>
      </c>
      <c r="V107" s="47">
        <v>46207</v>
      </c>
      <c r="W107" s="44"/>
      <c r="X107" s="44"/>
      <c r="Y107" s="45"/>
      <c r="Z107" s="46" t="s">
        <v>341</v>
      </c>
      <c r="AA107" s="27"/>
      <c r="AB107" s="44"/>
      <c r="AC107" s="44" t="s">
        <v>138</v>
      </c>
      <c r="AD107" s="44" t="s">
        <v>191</v>
      </c>
      <c r="AE107" s="1">
        <v>48</v>
      </c>
    </row>
    <row r="108" spans="1:31" customFormat="1" hidden="1">
      <c r="A108" s="15" t="s">
        <v>448</v>
      </c>
      <c r="B108" s="15" t="s">
        <v>326</v>
      </c>
      <c r="C108" s="4" t="s">
        <v>54</v>
      </c>
      <c r="D108" s="4" t="s">
        <v>138</v>
      </c>
      <c r="E108" s="4" t="s">
        <v>51</v>
      </c>
      <c r="F108" s="4"/>
      <c r="G108" s="15">
        <v>1</v>
      </c>
      <c r="H108" s="4" t="s">
        <v>327</v>
      </c>
      <c r="I108" s="4" t="s">
        <v>449</v>
      </c>
      <c r="J108" s="15" t="s">
        <v>223</v>
      </c>
      <c r="K108" s="15"/>
      <c r="L108" s="45"/>
      <c r="M108" s="15" t="s">
        <v>189</v>
      </c>
      <c r="N108" s="15" t="s">
        <v>450</v>
      </c>
      <c r="O108" t="s">
        <v>54</v>
      </c>
      <c r="P108" s="44" t="s">
        <v>445</v>
      </c>
      <c r="Q108" s="46" t="s">
        <v>304</v>
      </c>
      <c r="R108" s="44" t="s">
        <v>189</v>
      </c>
      <c r="S108" s="44" t="s">
        <v>183</v>
      </c>
      <c r="T108" s="44"/>
      <c r="U108" s="44" t="s">
        <v>273</v>
      </c>
      <c r="V108" s="47">
        <v>46207</v>
      </c>
      <c r="W108" s="44"/>
      <c r="X108" s="44"/>
      <c r="Y108" s="45"/>
      <c r="Z108" s="52" t="s">
        <v>451</v>
      </c>
      <c r="AA108" s="27"/>
      <c r="AB108" s="44"/>
      <c r="AC108" s="44" t="s">
        <v>138</v>
      </c>
      <c r="AD108" s="44" t="s">
        <v>191</v>
      </c>
      <c r="AE108" s="1">
        <v>48</v>
      </c>
    </row>
    <row r="109" spans="1:31" customFormat="1" hidden="1">
      <c r="A109" s="15" t="s">
        <v>452</v>
      </c>
      <c r="B109" s="15" t="s">
        <v>326</v>
      </c>
      <c r="C109" s="4" t="s">
        <v>330</v>
      </c>
      <c r="D109" s="4" t="s">
        <v>138</v>
      </c>
      <c r="E109" s="4" t="s">
        <v>51</v>
      </c>
      <c r="F109" s="4"/>
      <c r="G109" s="15">
        <v>1</v>
      </c>
      <c r="H109" s="4" t="s">
        <v>327</v>
      </c>
      <c r="I109" s="4" t="s">
        <v>449</v>
      </c>
      <c r="J109" s="15" t="s">
        <v>179</v>
      </c>
      <c r="K109" s="15"/>
      <c r="L109" s="45"/>
      <c r="M109" s="15" t="s">
        <v>189</v>
      </c>
      <c r="N109" s="15" t="s">
        <v>450</v>
      </c>
      <c r="O109" s="4" t="s">
        <v>54</v>
      </c>
      <c r="P109" s="44"/>
      <c r="Q109" s="46" t="s">
        <v>304</v>
      </c>
      <c r="R109" s="44" t="s">
        <v>189</v>
      </c>
      <c r="S109" s="44"/>
      <c r="T109" s="44"/>
      <c r="U109" s="44" t="s">
        <v>338</v>
      </c>
      <c r="V109" s="44"/>
      <c r="W109" s="47">
        <v>46219</v>
      </c>
      <c r="X109" s="44"/>
      <c r="Y109" s="45"/>
      <c r="Z109" s="51" t="s">
        <v>453</v>
      </c>
      <c r="AA109" s="4" t="s">
        <v>454</v>
      </c>
      <c r="AB109" s="44"/>
      <c r="AC109" s="44" t="s">
        <v>138</v>
      </c>
      <c r="AD109" s="44" t="s">
        <v>191</v>
      </c>
      <c r="AE109" s="1">
        <v>48</v>
      </c>
    </row>
    <row r="110" spans="1:31" customFormat="1" hidden="1">
      <c r="A110" s="15" t="s">
        <v>455</v>
      </c>
      <c r="B110" s="15" t="s">
        <v>326</v>
      </c>
      <c r="C110" s="4" t="s">
        <v>330</v>
      </c>
      <c r="D110" s="4" t="s">
        <v>138</v>
      </c>
      <c r="E110" s="4" t="s">
        <v>51</v>
      </c>
      <c r="F110" s="4"/>
      <c r="G110" s="15">
        <v>1</v>
      </c>
      <c r="H110" s="4" t="s">
        <v>327</v>
      </c>
      <c r="I110" s="4" t="s">
        <v>449</v>
      </c>
      <c r="J110" s="15" t="s">
        <v>179</v>
      </c>
      <c r="K110" s="15"/>
      <c r="L110" s="45"/>
      <c r="M110" s="15" t="s">
        <v>189</v>
      </c>
      <c r="N110" s="15" t="s">
        <v>450</v>
      </c>
      <c r="O110" s="4" t="s">
        <v>54</v>
      </c>
      <c r="P110" s="44"/>
      <c r="Q110" s="46" t="s">
        <v>304</v>
      </c>
      <c r="R110" s="44" t="s">
        <v>189</v>
      </c>
      <c r="S110" s="44"/>
      <c r="T110" s="44"/>
      <c r="U110" s="44" t="s">
        <v>338</v>
      </c>
      <c r="V110" s="44"/>
      <c r="W110" s="47">
        <v>46220</v>
      </c>
      <c r="X110" s="44"/>
      <c r="Y110" s="45"/>
      <c r="Z110" s="51" t="s">
        <v>456</v>
      </c>
      <c r="AA110" s="4" t="s">
        <v>454</v>
      </c>
      <c r="AB110" s="44"/>
      <c r="AC110" s="44" t="s">
        <v>138</v>
      </c>
      <c r="AD110" s="44" t="s">
        <v>191</v>
      </c>
      <c r="AE110" s="1">
        <v>48</v>
      </c>
    </row>
    <row r="111" spans="1:31" customFormat="1" hidden="1">
      <c r="A111" s="15" t="s">
        <v>457</v>
      </c>
      <c r="B111" s="15" t="s">
        <v>326</v>
      </c>
      <c r="C111" s="4" t="s">
        <v>330</v>
      </c>
      <c r="D111" s="4" t="s">
        <v>138</v>
      </c>
      <c r="E111" s="4" t="s">
        <v>51</v>
      </c>
      <c r="F111" s="4"/>
      <c r="G111" s="15">
        <v>1</v>
      </c>
      <c r="H111" s="4" t="s">
        <v>327</v>
      </c>
      <c r="I111" s="4" t="s">
        <v>449</v>
      </c>
      <c r="J111" s="15" t="s">
        <v>179</v>
      </c>
      <c r="K111" s="15"/>
      <c r="L111" s="45"/>
      <c r="M111" s="15" t="s">
        <v>189</v>
      </c>
      <c r="N111" s="15" t="s">
        <v>450</v>
      </c>
      <c r="O111" s="4" t="s">
        <v>54</v>
      </c>
      <c r="P111" s="44"/>
      <c r="Q111" s="46" t="s">
        <v>304</v>
      </c>
      <c r="R111" s="44" t="s">
        <v>189</v>
      </c>
      <c r="S111" s="44"/>
      <c r="T111" s="44"/>
      <c r="U111" s="44" t="s">
        <v>338</v>
      </c>
      <c r="V111" s="44"/>
      <c r="W111" s="47">
        <v>46220</v>
      </c>
      <c r="X111" s="44"/>
      <c r="Y111" s="45"/>
      <c r="Z111" s="51" t="s">
        <v>456</v>
      </c>
      <c r="AA111" s="4" t="s">
        <v>454</v>
      </c>
      <c r="AB111" s="44"/>
      <c r="AC111" s="44" t="s">
        <v>138</v>
      </c>
      <c r="AD111" s="44" t="s">
        <v>191</v>
      </c>
      <c r="AE111" s="1">
        <v>48</v>
      </c>
    </row>
    <row r="112" spans="1:31" customFormat="1" hidden="1">
      <c r="A112" s="15" t="s">
        <v>458</v>
      </c>
      <c r="B112" s="15" t="s">
        <v>326</v>
      </c>
      <c r="C112" s="4" t="s">
        <v>330</v>
      </c>
      <c r="D112" s="4" t="s">
        <v>138</v>
      </c>
      <c r="E112" s="4" t="s">
        <v>57</v>
      </c>
      <c r="F112" s="4"/>
      <c r="G112" s="15">
        <v>0</v>
      </c>
      <c r="H112" s="4" t="s">
        <v>327</v>
      </c>
      <c r="I112" s="4" t="s">
        <v>449</v>
      </c>
      <c r="J112" s="15" t="s">
        <v>179</v>
      </c>
      <c r="K112" s="15"/>
      <c r="L112" s="45"/>
      <c r="M112" s="15"/>
      <c r="N112" s="15"/>
      <c r="O112" s="4" t="s">
        <v>54</v>
      </c>
      <c r="P112" s="4"/>
      <c r="Q112" s="16" t="s">
        <v>304</v>
      </c>
      <c r="R112" s="4"/>
      <c r="S112" s="4"/>
      <c r="T112" s="4"/>
      <c r="U112" s="4"/>
      <c r="V112" s="4"/>
      <c r="W112" s="4"/>
      <c r="X112" s="4"/>
      <c r="Y112" s="15"/>
      <c r="Z112" s="15"/>
      <c r="AA112" s="4" t="s">
        <v>459</v>
      </c>
      <c r="AB112" s="44"/>
      <c r="AC112" s="44" t="s">
        <v>138</v>
      </c>
      <c r="AD112" s="44" t="s">
        <v>191</v>
      </c>
    </row>
    <row r="113" spans="1:31" customFormat="1" hidden="1">
      <c r="A113" s="15" t="s">
        <v>460</v>
      </c>
      <c r="B113" s="15" t="s">
        <v>326</v>
      </c>
      <c r="C113" s="4" t="s">
        <v>338</v>
      </c>
      <c r="D113" s="4" t="s">
        <v>138</v>
      </c>
      <c r="E113" s="4" t="s">
        <v>57</v>
      </c>
      <c r="F113" s="4"/>
      <c r="G113" s="15">
        <v>0</v>
      </c>
      <c r="H113" s="4" t="s">
        <v>327</v>
      </c>
      <c r="I113" s="4" t="s">
        <v>461</v>
      </c>
      <c r="J113" s="15" t="s">
        <v>185</v>
      </c>
      <c r="K113" s="15"/>
      <c r="L113" s="45"/>
      <c r="M113" s="15"/>
      <c r="N113" s="15" t="s">
        <v>462</v>
      </c>
      <c r="O113" s="4" t="s">
        <v>54</v>
      </c>
      <c r="P113" s="4"/>
      <c r="Q113" s="16" t="s">
        <v>304</v>
      </c>
      <c r="R113" s="4"/>
      <c r="S113" s="4"/>
      <c r="T113" s="4"/>
      <c r="U113" s="4"/>
      <c r="V113" s="4"/>
      <c r="W113" s="4"/>
      <c r="X113" s="4"/>
      <c r="Y113" s="15"/>
      <c r="Z113" s="15"/>
      <c r="AA113" s="4"/>
      <c r="AB113" s="44"/>
      <c r="AC113" s="44" t="s">
        <v>138</v>
      </c>
      <c r="AD113" s="44" t="s">
        <v>191</v>
      </c>
    </row>
    <row r="114" spans="1:31" customFormat="1" hidden="1">
      <c r="A114" s="15" t="s">
        <v>463</v>
      </c>
      <c r="B114" s="15" t="s">
        <v>326</v>
      </c>
      <c r="C114" s="4" t="s">
        <v>338</v>
      </c>
      <c r="D114" s="4" t="s">
        <v>138</v>
      </c>
      <c r="E114" s="4" t="s">
        <v>51</v>
      </c>
      <c r="F114" s="4"/>
      <c r="G114" s="15">
        <v>1</v>
      </c>
      <c r="H114" s="4" t="s">
        <v>327</v>
      </c>
      <c r="I114" s="4" t="s">
        <v>464</v>
      </c>
      <c r="J114" s="15" t="s">
        <v>185</v>
      </c>
      <c r="K114" s="15"/>
      <c r="L114" s="45"/>
      <c r="M114" s="15"/>
      <c r="N114" s="15" t="s">
        <v>332</v>
      </c>
      <c r="O114" s="4" t="s">
        <v>54</v>
      </c>
      <c r="P114" s="44" t="s">
        <v>344</v>
      </c>
      <c r="Q114" s="46" t="s">
        <v>304</v>
      </c>
      <c r="R114" s="44" t="s">
        <v>344</v>
      </c>
      <c r="S114" s="44" t="s">
        <v>189</v>
      </c>
      <c r="T114" s="44"/>
      <c r="U114" s="44" t="s">
        <v>330</v>
      </c>
      <c r="V114" s="47">
        <v>46222</v>
      </c>
      <c r="W114" s="44"/>
      <c r="X114" s="44"/>
      <c r="Y114" s="45"/>
      <c r="Z114" s="35" t="s">
        <v>345</v>
      </c>
      <c r="AA114" s="4"/>
      <c r="AB114" s="44"/>
      <c r="AC114" s="44" t="s">
        <v>138</v>
      </c>
      <c r="AD114" s="44" t="s">
        <v>191</v>
      </c>
      <c r="AE114" s="1">
        <v>48</v>
      </c>
    </row>
    <row r="115" spans="1:31" hidden="1">
      <c r="A115" s="15" t="s">
        <v>465</v>
      </c>
      <c r="B115" s="15" t="s">
        <v>326</v>
      </c>
      <c r="C115" s="4" t="s">
        <v>338</v>
      </c>
      <c r="D115" s="4" t="s">
        <v>138</v>
      </c>
      <c r="E115" s="4" t="s">
        <v>51</v>
      </c>
      <c r="G115" s="15">
        <v>1</v>
      </c>
      <c r="H115" s="4" t="s">
        <v>327</v>
      </c>
      <c r="I115" s="4" t="s">
        <v>466</v>
      </c>
      <c r="J115" s="15" t="s">
        <v>179</v>
      </c>
      <c r="K115" s="15"/>
      <c r="M115" s="15" t="s">
        <v>344</v>
      </c>
      <c r="N115" s="15" t="s">
        <v>450</v>
      </c>
      <c r="O115" s="4" t="s">
        <v>54</v>
      </c>
      <c r="P115" s="44" t="s">
        <v>445</v>
      </c>
      <c r="Q115" s="46" t="s">
        <v>304</v>
      </c>
      <c r="R115" s="44" t="s">
        <v>344</v>
      </c>
      <c r="S115" s="44" t="s">
        <v>189</v>
      </c>
      <c r="U115" s="44" t="s">
        <v>330</v>
      </c>
      <c r="Z115" s="35" t="s">
        <v>345</v>
      </c>
      <c r="AA115" s="4"/>
      <c r="AC115" s="44" t="s">
        <v>138</v>
      </c>
      <c r="AD115" s="44" t="s">
        <v>191</v>
      </c>
      <c r="AE115" s="1">
        <v>48</v>
      </c>
    </row>
    <row r="116" spans="1:31" hidden="1">
      <c r="A116" s="15" t="s">
        <v>467</v>
      </c>
      <c r="B116" s="15" t="s">
        <v>326</v>
      </c>
      <c r="C116" s="4" t="s">
        <v>338</v>
      </c>
      <c r="D116" s="4" t="s">
        <v>138</v>
      </c>
      <c r="E116" s="4" t="s">
        <v>51</v>
      </c>
      <c r="G116" s="15">
        <v>1</v>
      </c>
      <c r="H116" s="4" t="s">
        <v>327</v>
      </c>
      <c r="I116" s="4" t="s">
        <v>468</v>
      </c>
      <c r="J116" s="15" t="s">
        <v>367</v>
      </c>
      <c r="K116" s="15"/>
      <c r="M116" s="15" t="s">
        <v>189</v>
      </c>
      <c r="N116" s="15" t="s">
        <v>450</v>
      </c>
      <c r="O116" t="s">
        <v>54</v>
      </c>
      <c r="P116" s="44" t="s">
        <v>445</v>
      </c>
      <c r="Q116" s="46" t="s">
        <v>304</v>
      </c>
      <c r="R116" s="44" t="s">
        <v>189</v>
      </c>
      <c r="S116" s="44" t="s">
        <v>189</v>
      </c>
      <c r="U116" s="44" t="s">
        <v>273</v>
      </c>
      <c r="V116" s="47">
        <v>46213</v>
      </c>
      <c r="Z116" s="46" t="s">
        <v>341</v>
      </c>
      <c r="AA116" s="4"/>
      <c r="AC116" s="44" t="s">
        <v>138</v>
      </c>
      <c r="AD116" s="44" t="s">
        <v>191</v>
      </c>
      <c r="AE116" s="1">
        <v>48</v>
      </c>
    </row>
    <row r="117" spans="1:31" hidden="1">
      <c r="A117" s="15" t="s">
        <v>469</v>
      </c>
      <c r="B117" s="15" t="s">
        <v>326</v>
      </c>
      <c r="C117" s="4" t="s">
        <v>338</v>
      </c>
      <c r="D117" s="4" t="s">
        <v>138</v>
      </c>
      <c r="E117" s="4" t="s">
        <v>57</v>
      </c>
      <c r="G117" s="15">
        <v>0</v>
      </c>
      <c r="H117" s="4" t="s">
        <v>327</v>
      </c>
      <c r="I117" s="4" t="s">
        <v>461</v>
      </c>
      <c r="J117" s="15" t="s">
        <v>185</v>
      </c>
      <c r="K117" s="15"/>
      <c r="M117" s="15"/>
      <c r="N117" s="15"/>
      <c r="O117" s="4" t="s">
        <v>54</v>
      </c>
      <c r="P117" s="4"/>
      <c r="Q117" s="16" t="s">
        <v>304</v>
      </c>
      <c r="R117" s="4"/>
      <c r="S117" s="4"/>
      <c r="T117" s="4"/>
      <c r="U117" s="4"/>
      <c r="V117" s="4"/>
      <c r="W117" s="4"/>
      <c r="X117" s="4"/>
      <c r="Y117" s="15"/>
      <c r="Z117" s="15"/>
      <c r="AA117" s="4"/>
      <c r="AC117" s="44" t="s">
        <v>138</v>
      </c>
      <c r="AD117" s="44" t="s">
        <v>191</v>
      </c>
      <c r="AE117"/>
    </row>
    <row r="118" spans="1:31" customFormat="1" hidden="1">
      <c r="A118" s="15" t="s">
        <v>470</v>
      </c>
      <c r="B118" s="15" t="s">
        <v>176</v>
      </c>
      <c r="C118" s="4" t="s">
        <v>75</v>
      </c>
      <c r="D118" s="4" t="s">
        <v>24</v>
      </c>
      <c r="E118" s="4" t="s">
        <v>25</v>
      </c>
      <c r="F118" s="4"/>
      <c r="G118" s="15">
        <v>1</v>
      </c>
      <c r="H118" s="4" t="s">
        <v>471</v>
      </c>
      <c r="I118" s="4" t="s">
        <v>472</v>
      </c>
      <c r="J118" s="15" t="s">
        <v>367</v>
      </c>
      <c r="K118" s="15" t="s">
        <v>186</v>
      </c>
      <c r="L118" s="45"/>
      <c r="M118" s="15" t="s">
        <v>187</v>
      </c>
      <c r="N118" s="15"/>
      <c r="O118" t="s">
        <v>90</v>
      </c>
      <c r="P118" s="44" t="s">
        <v>189</v>
      </c>
      <c r="Q118" s="46" t="s">
        <v>473</v>
      </c>
      <c r="R118" s="44" t="s">
        <v>189</v>
      </c>
      <c r="S118" s="44" t="s">
        <v>189</v>
      </c>
      <c r="T118" s="44" t="s">
        <v>189</v>
      </c>
      <c r="U118" s="44" t="s">
        <v>90</v>
      </c>
      <c r="V118" s="47">
        <v>46217</v>
      </c>
      <c r="W118" s="47">
        <v>46217</v>
      </c>
      <c r="X118" s="44"/>
      <c r="Y118" s="45"/>
      <c r="Z118" s="45" t="s">
        <v>474</v>
      </c>
      <c r="AA118" s="4"/>
      <c r="AB118" s="44" t="s">
        <v>475</v>
      </c>
      <c r="AC118" s="44" t="s">
        <v>476</v>
      </c>
      <c r="AD118" s="44" t="s">
        <v>220</v>
      </c>
      <c r="AE118" s="1">
        <v>222</v>
      </c>
    </row>
    <row r="119" spans="1:31" customFormat="1" hidden="1">
      <c r="A119" s="15" t="s">
        <v>477</v>
      </c>
      <c r="B119" s="15" t="s">
        <v>176</v>
      </c>
      <c r="C119" s="4" t="s">
        <v>75</v>
      </c>
      <c r="D119" s="4" t="s">
        <v>24</v>
      </c>
      <c r="E119" s="4" t="s">
        <v>25</v>
      </c>
      <c r="F119" s="4"/>
      <c r="G119" s="15">
        <v>1</v>
      </c>
      <c r="H119" s="4" t="s">
        <v>471</v>
      </c>
      <c r="I119" s="4" t="s">
        <v>472</v>
      </c>
      <c r="J119" s="15" t="s">
        <v>367</v>
      </c>
      <c r="K119" s="15" t="s">
        <v>186</v>
      </c>
      <c r="L119" s="45"/>
      <c r="M119" s="15" t="s">
        <v>187</v>
      </c>
      <c r="N119" s="15"/>
      <c r="O119" t="s">
        <v>90</v>
      </c>
      <c r="P119" s="44" t="s">
        <v>189</v>
      </c>
      <c r="Q119" s="46" t="s">
        <v>473</v>
      </c>
      <c r="R119" s="44" t="s">
        <v>189</v>
      </c>
      <c r="S119" s="44" t="s">
        <v>189</v>
      </c>
      <c r="T119" s="44" t="s">
        <v>189</v>
      </c>
      <c r="U119" s="44" t="s">
        <v>90</v>
      </c>
      <c r="V119" s="47">
        <v>46217</v>
      </c>
      <c r="W119" s="47">
        <v>46217</v>
      </c>
      <c r="X119" s="44"/>
      <c r="Y119" s="45"/>
      <c r="Z119" s="45" t="s">
        <v>474</v>
      </c>
      <c r="AA119" s="4"/>
      <c r="AB119" s="44" t="s">
        <v>475</v>
      </c>
      <c r="AC119" s="44" t="s">
        <v>476</v>
      </c>
      <c r="AD119" s="44" t="s">
        <v>220</v>
      </c>
      <c r="AE119" s="1">
        <v>222</v>
      </c>
    </row>
    <row r="120" spans="1:31" customFormat="1" hidden="1">
      <c r="A120" s="15" t="s">
        <v>478</v>
      </c>
      <c r="B120" s="15" t="s">
        <v>176</v>
      </c>
      <c r="C120" s="4" t="s">
        <v>75</v>
      </c>
      <c r="D120" s="4" t="s">
        <v>24</v>
      </c>
      <c r="E120" s="4" t="s">
        <v>25</v>
      </c>
      <c r="F120" s="4"/>
      <c r="G120" s="15">
        <v>1</v>
      </c>
      <c r="H120" s="4" t="s">
        <v>471</v>
      </c>
      <c r="I120" s="4" t="s">
        <v>472</v>
      </c>
      <c r="J120" s="15" t="s">
        <v>367</v>
      </c>
      <c r="K120" s="15" t="s">
        <v>186</v>
      </c>
      <c r="L120" s="45"/>
      <c r="M120" s="15" t="s">
        <v>187</v>
      </c>
      <c r="N120" s="15"/>
      <c r="O120" t="s">
        <v>90</v>
      </c>
      <c r="P120" s="44" t="s">
        <v>189</v>
      </c>
      <c r="Q120" s="46" t="s">
        <v>473</v>
      </c>
      <c r="R120" s="44" t="s">
        <v>189</v>
      </c>
      <c r="S120" s="44" t="s">
        <v>189</v>
      </c>
      <c r="T120" s="44" t="s">
        <v>189</v>
      </c>
      <c r="U120" s="44" t="s">
        <v>90</v>
      </c>
      <c r="V120" s="47">
        <v>46217</v>
      </c>
      <c r="W120" s="47">
        <v>46217</v>
      </c>
      <c r="X120" s="44"/>
      <c r="Y120" s="45"/>
      <c r="Z120" s="45" t="s">
        <v>479</v>
      </c>
      <c r="AA120" s="4"/>
      <c r="AB120" s="44" t="s">
        <v>475</v>
      </c>
      <c r="AC120" s="44" t="s">
        <v>476</v>
      </c>
      <c r="AD120" s="44" t="s">
        <v>220</v>
      </c>
      <c r="AE120" s="1">
        <v>222</v>
      </c>
    </row>
    <row r="121" spans="1:31" customFormat="1" hidden="1">
      <c r="A121" s="15" t="s">
        <v>480</v>
      </c>
      <c r="B121" s="15" t="s">
        <v>176</v>
      </c>
      <c r="C121" s="4" t="s">
        <v>177</v>
      </c>
      <c r="D121" s="4" t="s">
        <v>24</v>
      </c>
      <c r="E121" s="4" t="s">
        <v>25</v>
      </c>
      <c r="F121" s="4"/>
      <c r="G121" s="15">
        <v>1</v>
      </c>
      <c r="H121" s="4" t="s">
        <v>471</v>
      </c>
      <c r="I121" s="4" t="s">
        <v>481</v>
      </c>
      <c r="J121" s="15" t="s">
        <v>179</v>
      </c>
      <c r="K121" s="15" t="s">
        <v>186</v>
      </c>
      <c r="L121" s="45"/>
      <c r="M121" s="15" t="s">
        <v>482</v>
      </c>
      <c r="N121" s="15"/>
      <c r="O121" s="4" t="s">
        <v>90</v>
      </c>
      <c r="P121" s="44" t="s">
        <v>189</v>
      </c>
      <c r="Q121" s="46" t="s">
        <v>473</v>
      </c>
      <c r="R121" s="44" t="s">
        <v>189</v>
      </c>
      <c r="S121" s="44" t="s">
        <v>189</v>
      </c>
      <c r="T121" s="44" t="s">
        <v>189</v>
      </c>
      <c r="U121" s="44" t="s">
        <v>90</v>
      </c>
      <c r="V121" s="47">
        <v>46218</v>
      </c>
      <c r="W121" s="47">
        <v>46219</v>
      </c>
      <c r="X121" s="44"/>
      <c r="Y121" s="45"/>
      <c r="Z121" s="45" t="s">
        <v>483</v>
      </c>
      <c r="AA121" s="1" t="s">
        <v>315</v>
      </c>
      <c r="AB121" s="44" t="s">
        <v>475</v>
      </c>
      <c r="AC121" s="44" t="s">
        <v>476</v>
      </c>
      <c r="AD121" s="44" t="s">
        <v>220</v>
      </c>
      <c r="AE121" s="1">
        <v>222</v>
      </c>
    </row>
    <row r="122" spans="1:31" customFormat="1" hidden="1">
      <c r="A122" s="15" t="s">
        <v>484</v>
      </c>
      <c r="B122" s="15" t="s">
        <v>176</v>
      </c>
      <c r="C122" s="4" t="s">
        <v>177</v>
      </c>
      <c r="D122" s="4" t="s">
        <v>24</v>
      </c>
      <c r="E122" s="4" t="s">
        <v>25</v>
      </c>
      <c r="F122" s="4"/>
      <c r="G122" s="15">
        <v>1</v>
      </c>
      <c r="H122" s="4" t="s">
        <v>471</v>
      </c>
      <c r="I122" s="4" t="s">
        <v>481</v>
      </c>
      <c r="J122" s="15" t="s">
        <v>179</v>
      </c>
      <c r="K122" s="15" t="s">
        <v>186</v>
      </c>
      <c r="L122" s="45"/>
      <c r="M122" s="15" t="s">
        <v>482</v>
      </c>
      <c r="N122" s="15"/>
      <c r="O122" s="4" t="s">
        <v>90</v>
      </c>
      <c r="P122" s="44" t="s">
        <v>189</v>
      </c>
      <c r="Q122" s="46" t="s">
        <v>473</v>
      </c>
      <c r="R122" s="44" t="s">
        <v>189</v>
      </c>
      <c r="S122" s="44" t="s">
        <v>189</v>
      </c>
      <c r="T122" s="44" t="s">
        <v>189</v>
      </c>
      <c r="U122" s="44" t="s">
        <v>90</v>
      </c>
      <c r="V122" s="47">
        <v>46218</v>
      </c>
      <c r="W122" s="47">
        <v>46219</v>
      </c>
      <c r="X122" s="44"/>
      <c r="Y122" s="45"/>
      <c r="Z122" s="45" t="s">
        <v>483</v>
      </c>
      <c r="AA122" s="1" t="s">
        <v>315</v>
      </c>
      <c r="AB122" s="44" t="s">
        <v>475</v>
      </c>
      <c r="AC122" s="44" t="s">
        <v>476</v>
      </c>
      <c r="AD122" s="44" t="s">
        <v>220</v>
      </c>
      <c r="AE122" s="1">
        <v>222</v>
      </c>
    </row>
    <row r="123" spans="1:31" customFormat="1" hidden="1">
      <c r="A123" s="15" t="s">
        <v>485</v>
      </c>
      <c r="B123" s="15" t="s">
        <v>176</v>
      </c>
      <c r="C123" s="20" t="s">
        <v>90</v>
      </c>
      <c r="D123" s="4" t="s">
        <v>24</v>
      </c>
      <c r="E123" s="4" t="s">
        <v>25</v>
      </c>
      <c r="F123" s="4"/>
      <c r="G123" s="15">
        <v>1</v>
      </c>
      <c r="H123" s="4" t="s">
        <v>471</v>
      </c>
      <c r="I123" s="4" t="s">
        <v>486</v>
      </c>
      <c r="J123" s="15" t="s">
        <v>223</v>
      </c>
      <c r="K123" s="3"/>
      <c r="L123" s="45"/>
      <c r="M123" s="15" t="s">
        <v>482</v>
      </c>
      <c r="N123" s="15"/>
      <c r="O123" t="s">
        <v>90</v>
      </c>
      <c r="P123" s="44" t="s">
        <v>189</v>
      </c>
      <c r="Q123" s="46" t="s">
        <v>473</v>
      </c>
      <c r="R123" s="44" t="s">
        <v>189</v>
      </c>
      <c r="S123" s="44" t="s">
        <v>183</v>
      </c>
      <c r="T123" s="44" t="s">
        <v>189</v>
      </c>
      <c r="U123" s="44" t="s">
        <v>177</v>
      </c>
      <c r="V123" s="47">
        <v>46207</v>
      </c>
      <c r="W123" s="44"/>
      <c r="X123" s="44"/>
      <c r="Y123" s="45"/>
      <c r="Z123" s="45" t="s">
        <v>487</v>
      </c>
      <c r="AA123" s="33" t="s">
        <v>488</v>
      </c>
      <c r="AB123" s="44" t="s">
        <v>475</v>
      </c>
      <c r="AC123" s="44" t="s">
        <v>476</v>
      </c>
      <c r="AD123" s="44" t="s">
        <v>220</v>
      </c>
      <c r="AE123" s="1">
        <v>222</v>
      </c>
    </row>
    <row r="124" spans="1:31" customFormat="1" hidden="1">
      <c r="A124" s="15" t="s">
        <v>489</v>
      </c>
      <c r="B124" s="15" t="s">
        <v>176</v>
      </c>
      <c r="C124" s="20" t="s">
        <v>90</v>
      </c>
      <c r="D124" s="4" t="s">
        <v>24</v>
      </c>
      <c r="E124" s="4" t="s">
        <v>25</v>
      </c>
      <c r="F124" s="4"/>
      <c r="G124" s="15">
        <v>1</v>
      </c>
      <c r="H124" s="4" t="s">
        <v>471</v>
      </c>
      <c r="I124" s="4" t="s">
        <v>486</v>
      </c>
      <c r="J124" s="15" t="s">
        <v>223</v>
      </c>
      <c r="K124" s="3"/>
      <c r="L124" s="45"/>
      <c r="M124" s="15" t="s">
        <v>482</v>
      </c>
      <c r="N124" s="15"/>
      <c r="O124" t="s">
        <v>90</v>
      </c>
      <c r="P124" s="44" t="s">
        <v>189</v>
      </c>
      <c r="Q124" s="46" t="s">
        <v>473</v>
      </c>
      <c r="R124" s="44" t="s">
        <v>189</v>
      </c>
      <c r="S124" s="44" t="s">
        <v>183</v>
      </c>
      <c r="T124" s="44" t="s">
        <v>189</v>
      </c>
      <c r="U124" s="44" t="s">
        <v>177</v>
      </c>
      <c r="V124" s="47">
        <v>46207</v>
      </c>
      <c r="W124" s="44"/>
      <c r="X124" s="44"/>
      <c r="Y124" s="45"/>
      <c r="Z124" s="45" t="s">
        <v>487</v>
      </c>
      <c r="AA124" s="33" t="s">
        <v>488</v>
      </c>
      <c r="AB124" s="44" t="s">
        <v>475</v>
      </c>
      <c r="AC124" s="44" t="s">
        <v>476</v>
      </c>
      <c r="AD124" s="44" t="s">
        <v>220</v>
      </c>
      <c r="AE124" s="1">
        <v>222</v>
      </c>
    </row>
    <row r="125" spans="1:31" customFormat="1" hidden="1">
      <c r="A125" s="15" t="s">
        <v>490</v>
      </c>
      <c r="B125" s="15" t="s">
        <v>176</v>
      </c>
      <c r="C125" s="4" t="s">
        <v>75</v>
      </c>
      <c r="D125" s="4" t="s">
        <v>24</v>
      </c>
      <c r="E125" s="4" t="s">
        <v>25</v>
      </c>
      <c r="F125" s="4"/>
      <c r="G125" s="15">
        <v>1</v>
      </c>
      <c r="H125" s="4" t="s">
        <v>471</v>
      </c>
      <c r="I125" s="4" t="s">
        <v>472</v>
      </c>
      <c r="J125" s="15" t="s">
        <v>367</v>
      </c>
      <c r="K125" s="15"/>
      <c r="L125" s="45"/>
      <c r="M125" s="15" t="s">
        <v>187</v>
      </c>
      <c r="N125" s="15"/>
      <c r="O125" t="s">
        <v>90</v>
      </c>
      <c r="P125" s="44" t="s">
        <v>189</v>
      </c>
      <c r="Q125" s="46" t="s">
        <v>473</v>
      </c>
      <c r="R125" s="44" t="s">
        <v>189</v>
      </c>
      <c r="S125" s="44" t="s">
        <v>189</v>
      </c>
      <c r="T125" s="44" t="s">
        <v>189</v>
      </c>
      <c r="U125" s="44" t="s">
        <v>90</v>
      </c>
      <c r="V125" s="47">
        <v>46217</v>
      </c>
      <c r="W125" s="47">
        <v>46217</v>
      </c>
      <c r="X125" s="44"/>
      <c r="Y125" s="45"/>
      <c r="Z125" s="45" t="s">
        <v>474</v>
      </c>
      <c r="AA125" s="4"/>
      <c r="AB125" s="44" t="s">
        <v>475</v>
      </c>
      <c r="AC125" s="44" t="s">
        <v>491</v>
      </c>
      <c r="AD125" s="44" t="s">
        <v>191</v>
      </c>
      <c r="AE125" s="1">
        <v>315</v>
      </c>
    </row>
    <row r="126" spans="1:31" customFormat="1" hidden="1">
      <c r="A126" s="15" t="s">
        <v>492</v>
      </c>
      <c r="B126" s="15" t="s">
        <v>176</v>
      </c>
      <c r="C126" s="4" t="s">
        <v>75</v>
      </c>
      <c r="D126" s="4" t="s">
        <v>24</v>
      </c>
      <c r="E126" s="4" t="s">
        <v>25</v>
      </c>
      <c r="F126" s="4"/>
      <c r="G126" s="15">
        <v>1</v>
      </c>
      <c r="H126" s="4" t="s">
        <v>471</v>
      </c>
      <c r="I126" s="4" t="s">
        <v>472</v>
      </c>
      <c r="J126" s="15" t="s">
        <v>367</v>
      </c>
      <c r="K126" s="15"/>
      <c r="L126" s="45"/>
      <c r="M126" s="15" t="s">
        <v>187</v>
      </c>
      <c r="N126" s="15"/>
      <c r="O126" t="s">
        <v>90</v>
      </c>
      <c r="P126" s="44" t="s">
        <v>189</v>
      </c>
      <c r="Q126" s="46" t="s">
        <v>473</v>
      </c>
      <c r="R126" s="44" t="s">
        <v>189</v>
      </c>
      <c r="S126" s="44" t="s">
        <v>189</v>
      </c>
      <c r="T126" s="44" t="s">
        <v>189</v>
      </c>
      <c r="U126" s="44" t="s">
        <v>90</v>
      </c>
      <c r="V126" s="47">
        <v>46217</v>
      </c>
      <c r="W126" s="47">
        <v>46217</v>
      </c>
      <c r="X126" s="44"/>
      <c r="Y126" s="45"/>
      <c r="Z126" s="45" t="s">
        <v>474</v>
      </c>
      <c r="AA126" s="4"/>
      <c r="AB126" s="44" t="s">
        <v>475</v>
      </c>
      <c r="AC126" s="44" t="s">
        <v>491</v>
      </c>
      <c r="AD126" s="44" t="s">
        <v>191</v>
      </c>
      <c r="AE126" s="1">
        <v>315</v>
      </c>
    </row>
    <row r="127" spans="1:31" customFormat="1" hidden="1">
      <c r="A127" s="15" t="s">
        <v>493</v>
      </c>
      <c r="B127" s="15" t="s">
        <v>176</v>
      </c>
      <c r="C127" s="4" t="s">
        <v>75</v>
      </c>
      <c r="D127" s="4" t="s">
        <v>24</v>
      </c>
      <c r="E127" s="4" t="s">
        <v>25</v>
      </c>
      <c r="F127" s="4"/>
      <c r="G127" s="15">
        <v>1</v>
      </c>
      <c r="H127" s="4" t="s">
        <v>471</v>
      </c>
      <c r="I127" s="4" t="s">
        <v>472</v>
      </c>
      <c r="J127" s="15" t="s">
        <v>367</v>
      </c>
      <c r="K127" s="15"/>
      <c r="L127" s="45"/>
      <c r="M127" s="15" t="s">
        <v>187</v>
      </c>
      <c r="N127" s="15"/>
      <c r="O127" t="s">
        <v>90</v>
      </c>
      <c r="P127" s="44" t="s">
        <v>189</v>
      </c>
      <c r="Q127" s="46" t="s">
        <v>473</v>
      </c>
      <c r="R127" s="44" t="s">
        <v>189</v>
      </c>
      <c r="S127" s="44" t="s">
        <v>189</v>
      </c>
      <c r="T127" s="44" t="s">
        <v>189</v>
      </c>
      <c r="U127" s="44" t="s">
        <v>90</v>
      </c>
      <c r="V127" s="47">
        <v>46217</v>
      </c>
      <c r="W127" s="47">
        <v>46217</v>
      </c>
      <c r="X127" s="44"/>
      <c r="Y127" s="45"/>
      <c r="Z127" s="45" t="s">
        <v>479</v>
      </c>
      <c r="AA127" s="4"/>
      <c r="AB127" s="44" t="s">
        <v>475</v>
      </c>
      <c r="AC127" s="44" t="s">
        <v>491</v>
      </c>
      <c r="AD127" s="44" t="s">
        <v>191</v>
      </c>
      <c r="AE127" s="1">
        <v>315</v>
      </c>
    </row>
    <row r="128" spans="1:31" customFormat="1" hidden="1">
      <c r="A128" s="15" t="s">
        <v>494</v>
      </c>
      <c r="B128" s="15" t="s">
        <v>176</v>
      </c>
      <c r="C128" s="4" t="s">
        <v>75</v>
      </c>
      <c r="D128" s="4" t="s">
        <v>24</v>
      </c>
      <c r="E128" s="4" t="s">
        <v>25</v>
      </c>
      <c r="F128" s="4"/>
      <c r="G128" s="15">
        <v>1</v>
      </c>
      <c r="H128" s="4" t="s">
        <v>471</v>
      </c>
      <c r="I128" s="4" t="s">
        <v>472</v>
      </c>
      <c r="J128" s="15" t="s">
        <v>367</v>
      </c>
      <c r="K128" s="15"/>
      <c r="L128" s="45"/>
      <c r="M128" s="15" t="s">
        <v>187</v>
      </c>
      <c r="N128" s="15"/>
      <c r="O128" t="s">
        <v>90</v>
      </c>
      <c r="P128" s="44" t="s">
        <v>189</v>
      </c>
      <c r="Q128" s="46" t="s">
        <v>473</v>
      </c>
      <c r="R128" s="44" t="s">
        <v>189</v>
      </c>
      <c r="S128" s="44" t="s">
        <v>189</v>
      </c>
      <c r="T128" s="44" t="s">
        <v>189</v>
      </c>
      <c r="U128" s="44" t="s">
        <v>90</v>
      </c>
      <c r="V128" s="47">
        <v>46217</v>
      </c>
      <c r="W128" s="47">
        <v>46217</v>
      </c>
      <c r="X128" s="44"/>
      <c r="Y128" s="45"/>
      <c r="Z128" s="45" t="s">
        <v>479</v>
      </c>
      <c r="AA128" s="4"/>
      <c r="AB128" s="44" t="s">
        <v>475</v>
      </c>
      <c r="AC128" s="44" t="s">
        <v>491</v>
      </c>
      <c r="AD128" s="44" t="s">
        <v>191</v>
      </c>
      <c r="AE128" s="1">
        <v>315</v>
      </c>
    </row>
    <row r="129" spans="1:31" customFormat="1" hidden="1">
      <c r="A129" s="15" t="s">
        <v>495</v>
      </c>
      <c r="B129" s="15" t="s">
        <v>176</v>
      </c>
      <c r="C129" s="4" t="s">
        <v>75</v>
      </c>
      <c r="D129" s="4" t="s">
        <v>24</v>
      </c>
      <c r="E129" s="4" t="s">
        <v>25</v>
      </c>
      <c r="F129" s="4"/>
      <c r="G129" s="15">
        <v>1</v>
      </c>
      <c r="H129" s="4" t="s">
        <v>471</v>
      </c>
      <c r="I129" s="4" t="s">
        <v>496</v>
      </c>
      <c r="J129" s="15" t="s">
        <v>179</v>
      </c>
      <c r="K129" s="15"/>
      <c r="L129" s="45"/>
      <c r="M129" s="15" t="s">
        <v>187</v>
      </c>
      <c r="N129" s="15"/>
      <c r="O129" s="4" t="s">
        <v>90</v>
      </c>
      <c r="P129" s="44" t="s">
        <v>189</v>
      </c>
      <c r="Q129" s="46" t="s">
        <v>473</v>
      </c>
      <c r="R129" s="44"/>
      <c r="S129" s="44" t="s">
        <v>189</v>
      </c>
      <c r="T129" s="44"/>
      <c r="U129" s="44" t="s">
        <v>90</v>
      </c>
      <c r="V129" s="47">
        <v>46220</v>
      </c>
      <c r="W129" s="47">
        <v>46221</v>
      </c>
      <c r="X129" s="44"/>
      <c r="Y129" s="45"/>
      <c r="Z129" s="60" t="s">
        <v>190</v>
      </c>
      <c r="AA129" s="4"/>
      <c r="AB129" s="44" t="s">
        <v>475</v>
      </c>
      <c r="AC129" s="44" t="s">
        <v>491</v>
      </c>
      <c r="AD129" s="44" t="s">
        <v>191</v>
      </c>
      <c r="AE129" s="1">
        <v>315</v>
      </c>
    </row>
    <row r="130" spans="1:31" customFormat="1" hidden="1">
      <c r="A130" s="15" t="s">
        <v>497</v>
      </c>
      <c r="B130" s="15" t="s">
        <v>176</v>
      </c>
      <c r="C130" s="4" t="s">
        <v>75</v>
      </c>
      <c r="D130" s="4" t="s">
        <v>24</v>
      </c>
      <c r="E130" s="4" t="s">
        <v>25</v>
      </c>
      <c r="F130" s="4"/>
      <c r="G130" s="15">
        <v>1</v>
      </c>
      <c r="H130" s="4" t="s">
        <v>471</v>
      </c>
      <c r="I130" s="4" t="s">
        <v>498</v>
      </c>
      <c r="J130" s="15" t="s">
        <v>223</v>
      </c>
      <c r="K130" s="3"/>
      <c r="L130" s="45"/>
      <c r="M130" s="15" t="s">
        <v>187</v>
      </c>
      <c r="N130" s="15"/>
      <c r="O130" t="s">
        <v>90</v>
      </c>
      <c r="P130" s="44" t="s">
        <v>189</v>
      </c>
      <c r="Q130" s="46" t="s">
        <v>473</v>
      </c>
      <c r="R130" s="44" t="s">
        <v>189</v>
      </c>
      <c r="S130" s="44" t="s">
        <v>189</v>
      </c>
      <c r="T130" s="44" t="s">
        <v>189</v>
      </c>
      <c r="U130" s="44" t="s">
        <v>90</v>
      </c>
      <c r="V130" s="47">
        <v>46205</v>
      </c>
      <c r="W130" s="47">
        <v>46206</v>
      </c>
      <c r="X130" s="44"/>
      <c r="Y130" s="45"/>
      <c r="Z130" s="45" t="s">
        <v>499</v>
      </c>
      <c r="AA130" s="1"/>
      <c r="AB130" s="44" t="s">
        <v>475</v>
      </c>
      <c r="AC130" s="44" t="s">
        <v>491</v>
      </c>
      <c r="AD130" s="44" t="s">
        <v>191</v>
      </c>
      <c r="AE130" s="1">
        <v>315</v>
      </c>
    </row>
    <row r="131" spans="1:31" customFormat="1" hidden="1">
      <c r="A131" s="15" t="s">
        <v>500</v>
      </c>
      <c r="B131" s="15" t="s">
        <v>176</v>
      </c>
      <c r="C131" s="4" t="s">
        <v>75</v>
      </c>
      <c r="D131" s="4" t="s">
        <v>24</v>
      </c>
      <c r="E131" s="4" t="s">
        <v>25</v>
      </c>
      <c r="F131" s="4"/>
      <c r="G131" s="15">
        <v>1</v>
      </c>
      <c r="H131" s="4" t="s">
        <v>471</v>
      </c>
      <c r="I131" s="4" t="s">
        <v>498</v>
      </c>
      <c r="J131" s="15" t="s">
        <v>223</v>
      </c>
      <c r="K131" s="3"/>
      <c r="L131" s="45"/>
      <c r="M131" s="15" t="s">
        <v>187</v>
      </c>
      <c r="N131" s="15"/>
      <c r="O131" t="s">
        <v>90</v>
      </c>
      <c r="P131" s="44" t="s">
        <v>189</v>
      </c>
      <c r="Q131" s="46" t="s">
        <v>473</v>
      </c>
      <c r="R131" s="44" t="s">
        <v>189</v>
      </c>
      <c r="S131" s="44" t="s">
        <v>189</v>
      </c>
      <c r="T131" s="44" t="s">
        <v>189</v>
      </c>
      <c r="U131" s="44" t="s">
        <v>90</v>
      </c>
      <c r="V131" s="47">
        <v>46205</v>
      </c>
      <c r="W131" s="47">
        <v>46206</v>
      </c>
      <c r="X131" s="44"/>
      <c r="Y131" s="45"/>
      <c r="Z131" s="45" t="s">
        <v>499</v>
      </c>
      <c r="AA131" s="1"/>
      <c r="AB131" s="44" t="s">
        <v>475</v>
      </c>
      <c r="AC131" s="44" t="s">
        <v>491</v>
      </c>
      <c r="AD131" s="44" t="s">
        <v>191</v>
      </c>
      <c r="AE131" s="1">
        <v>315</v>
      </c>
    </row>
    <row r="132" spans="1:31" customFormat="1" hidden="1">
      <c r="A132" s="15" t="s">
        <v>501</v>
      </c>
      <c r="B132" s="15" t="s">
        <v>176</v>
      </c>
      <c r="C132" s="4" t="s">
        <v>177</v>
      </c>
      <c r="D132" s="4" t="s">
        <v>24</v>
      </c>
      <c r="E132" s="4" t="s">
        <v>25</v>
      </c>
      <c r="F132" s="4"/>
      <c r="G132" s="15">
        <v>1</v>
      </c>
      <c r="H132" s="4" t="s">
        <v>471</v>
      </c>
      <c r="I132" s="4" t="s">
        <v>481</v>
      </c>
      <c r="J132" s="15" t="s">
        <v>179</v>
      </c>
      <c r="K132" s="15" t="s">
        <v>186</v>
      </c>
      <c r="L132" s="45"/>
      <c r="M132" s="15" t="s">
        <v>482</v>
      </c>
      <c r="N132" s="15"/>
      <c r="O132" s="4" t="s">
        <v>90</v>
      </c>
      <c r="P132" s="44" t="s">
        <v>189</v>
      </c>
      <c r="Q132" s="46" t="s">
        <v>473</v>
      </c>
      <c r="R132" s="44" t="s">
        <v>189</v>
      </c>
      <c r="S132" s="44" t="s">
        <v>189</v>
      </c>
      <c r="T132" s="44" t="s">
        <v>189</v>
      </c>
      <c r="U132" s="44" t="s">
        <v>90</v>
      </c>
      <c r="V132" s="47">
        <v>46218</v>
      </c>
      <c r="W132" s="47">
        <v>46219</v>
      </c>
      <c r="X132" s="44"/>
      <c r="Y132" s="45"/>
      <c r="Z132" s="45" t="s">
        <v>483</v>
      </c>
      <c r="AA132" s="1" t="s">
        <v>315</v>
      </c>
      <c r="AB132" s="44" t="s">
        <v>475</v>
      </c>
      <c r="AC132" s="44" t="s">
        <v>491</v>
      </c>
      <c r="AD132" s="44" t="s">
        <v>191</v>
      </c>
      <c r="AE132" s="1">
        <v>315</v>
      </c>
    </row>
    <row r="133" spans="1:31" customFormat="1" hidden="1">
      <c r="A133" s="15" t="s">
        <v>502</v>
      </c>
      <c r="B133" s="15" t="s">
        <v>176</v>
      </c>
      <c r="C133" s="19" t="s">
        <v>177</v>
      </c>
      <c r="D133" s="4" t="s">
        <v>24</v>
      </c>
      <c r="E133" s="4" t="s">
        <v>25</v>
      </c>
      <c r="F133" s="4"/>
      <c r="G133" s="15">
        <v>1</v>
      </c>
      <c r="H133" s="4" t="s">
        <v>471</v>
      </c>
      <c r="I133" s="4" t="s">
        <v>481</v>
      </c>
      <c r="J133" s="15" t="s">
        <v>179</v>
      </c>
      <c r="K133" s="15" t="s">
        <v>186</v>
      </c>
      <c r="L133" s="45"/>
      <c r="M133" s="15" t="s">
        <v>482</v>
      </c>
      <c r="N133" s="15"/>
      <c r="O133" s="4" t="s">
        <v>90</v>
      </c>
      <c r="P133" s="44" t="s">
        <v>189</v>
      </c>
      <c r="Q133" s="46" t="s">
        <v>473</v>
      </c>
      <c r="R133" s="44" t="s">
        <v>189</v>
      </c>
      <c r="S133" s="44" t="s">
        <v>189</v>
      </c>
      <c r="T133" s="44" t="s">
        <v>189</v>
      </c>
      <c r="U133" s="44" t="s">
        <v>90</v>
      </c>
      <c r="V133" s="47">
        <v>46218</v>
      </c>
      <c r="W133" s="47">
        <v>46219</v>
      </c>
      <c r="X133" s="44"/>
      <c r="Y133" s="45"/>
      <c r="Z133" s="45" t="s">
        <v>483</v>
      </c>
      <c r="AA133" s="1" t="s">
        <v>315</v>
      </c>
      <c r="AB133" s="44" t="s">
        <v>475</v>
      </c>
      <c r="AC133" s="44" t="s">
        <v>491</v>
      </c>
      <c r="AD133" s="44" t="s">
        <v>191</v>
      </c>
      <c r="AE133" s="1">
        <v>315</v>
      </c>
    </row>
    <row r="134" spans="1:31" customFormat="1" hidden="1">
      <c r="A134" s="15" t="s">
        <v>503</v>
      </c>
      <c r="B134" s="15" t="s">
        <v>176</v>
      </c>
      <c r="C134" s="19" t="s">
        <v>177</v>
      </c>
      <c r="D134" s="4" t="s">
        <v>24</v>
      </c>
      <c r="E134" s="4" t="s">
        <v>25</v>
      </c>
      <c r="F134" s="4"/>
      <c r="G134" s="15">
        <v>1</v>
      </c>
      <c r="H134" s="4" t="s">
        <v>471</v>
      </c>
      <c r="I134" s="4" t="s">
        <v>481</v>
      </c>
      <c r="J134" s="15" t="s">
        <v>179</v>
      </c>
      <c r="K134" s="15"/>
      <c r="L134" s="45"/>
      <c r="M134" s="15" t="s">
        <v>482</v>
      </c>
      <c r="N134" s="15"/>
      <c r="O134" s="4" t="s">
        <v>90</v>
      </c>
      <c r="P134" s="44" t="s">
        <v>189</v>
      </c>
      <c r="Q134" s="46" t="s">
        <v>473</v>
      </c>
      <c r="R134" s="44" t="s">
        <v>189</v>
      </c>
      <c r="S134" s="44" t="s">
        <v>189</v>
      </c>
      <c r="T134" s="44" t="s">
        <v>189</v>
      </c>
      <c r="U134" s="44" t="s">
        <v>90</v>
      </c>
      <c r="V134" s="47">
        <v>46218</v>
      </c>
      <c r="W134" s="47">
        <v>46219</v>
      </c>
      <c r="X134" s="44"/>
      <c r="Y134" s="45"/>
      <c r="Z134" s="45" t="s">
        <v>483</v>
      </c>
      <c r="AA134" s="1" t="s">
        <v>315</v>
      </c>
      <c r="AB134" s="44" t="s">
        <v>475</v>
      </c>
      <c r="AC134" s="44" t="s">
        <v>491</v>
      </c>
      <c r="AD134" s="44" t="s">
        <v>191</v>
      </c>
      <c r="AE134" s="1">
        <v>315</v>
      </c>
    </row>
    <row r="135" spans="1:31" customFormat="1" hidden="1">
      <c r="A135" s="15" t="s">
        <v>504</v>
      </c>
      <c r="B135" s="15" t="s">
        <v>176</v>
      </c>
      <c r="C135" s="20" t="s">
        <v>177</v>
      </c>
      <c r="D135" s="4" t="s">
        <v>24</v>
      </c>
      <c r="E135" s="4" t="s">
        <v>25</v>
      </c>
      <c r="F135" s="4"/>
      <c r="G135" s="15">
        <v>1</v>
      </c>
      <c r="H135" s="4" t="s">
        <v>471</v>
      </c>
      <c r="I135" s="4" t="s">
        <v>481</v>
      </c>
      <c r="J135" s="15" t="s">
        <v>179</v>
      </c>
      <c r="K135" s="15"/>
      <c r="L135" s="45"/>
      <c r="M135" s="15" t="s">
        <v>482</v>
      </c>
      <c r="N135" s="15"/>
      <c r="O135" s="4" t="s">
        <v>90</v>
      </c>
      <c r="P135" s="44" t="s">
        <v>189</v>
      </c>
      <c r="Q135" s="46" t="s">
        <v>473</v>
      </c>
      <c r="R135" s="44" t="s">
        <v>189</v>
      </c>
      <c r="S135" s="44" t="s">
        <v>189</v>
      </c>
      <c r="T135" s="44" t="s">
        <v>189</v>
      </c>
      <c r="U135" s="44" t="s">
        <v>90</v>
      </c>
      <c r="V135" s="47">
        <v>46218</v>
      </c>
      <c r="W135" s="47">
        <v>46219</v>
      </c>
      <c r="X135" s="44"/>
      <c r="Y135" s="45"/>
      <c r="Z135" s="45" t="s">
        <v>483</v>
      </c>
      <c r="AA135" s="1" t="s">
        <v>315</v>
      </c>
      <c r="AB135" s="44" t="s">
        <v>475</v>
      </c>
      <c r="AC135" s="44" t="s">
        <v>491</v>
      </c>
      <c r="AD135" s="44" t="s">
        <v>191</v>
      </c>
      <c r="AE135" s="1">
        <v>315</v>
      </c>
    </row>
    <row r="136" spans="1:31" customFormat="1" hidden="1">
      <c r="A136" s="15" t="s">
        <v>505</v>
      </c>
      <c r="B136" s="15" t="s">
        <v>176</v>
      </c>
      <c r="C136" s="20" t="s">
        <v>177</v>
      </c>
      <c r="D136" s="4" t="s">
        <v>24</v>
      </c>
      <c r="E136" s="4" t="s">
        <v>25</v>
      </c>
      <c r="F136" s="4"/>
      <c r="G136" s="15">
        <v>1</v>
      </c>
      <c r="H136" s="4" t="s">
        <v>471</v>
      </c>
      <c r="I136" s="4" t="s">
        <v>481</v>
      </c>
      <c r="J136" s="15" t="s">
        <v>179</v>
      </c>
      <c r="K136" s="15"/>
      <c r="L136" s="45"/>
      <c r="M136" s="15" t="s">
        <v>482</v>
      </c>
      <c r="N136" s="15"/>
      <c r="O136" s="4" t="s">
        <v>90</v>
      </c>
      <c r="P136" s="44" t="s">
        <v>189</v>
      </c>
      <c r="Q136" s="46" t="s">
        <v>473</v>
      </c>
      <c r="R136" s="44" t="s">
        <v>189</v>
      </c>
      <c r="S136" s="44" t="s">
        <v>189</v>
      </c>
      <c r="T136" s="44" t="s">
        <v>189</v>
      </c>
      <c r="U136" s="44" t="s">
        <v>90</v>
      </c>
      <c r="V136" s="47">
        <v>46218</v>
      </c>
      <c r="W136" s="47">
        <v>46219</v>
      </c>
      <c r="X136" s="44"/>
      <c r="Y136" s="45"/>
      <c r="Z136" s="45" t="s">
        <v>483</v>
      </c>
      <c r="AA136" s="1" t="s">
        <v>315</v>
      </c>
      <c r="AB136" s="44" t="s">
        <v>475</v>
      </c>
      <c r="AC136" s="44" t="s">
        <v>491</v>
      </c>
      <c r="AD136" s="44" t="s">
        <v>191</v>
      </c>
      <c r="AE136" s="1">
        <v>315</v>
      </c>
    </row>
    <row r="137" spans="1:31" customFormat="1" hidden="1">
      <c r="A137" s="15" t="s">
        <v>506</v>
      </c>
      <c r="B137" s="15" t="s">
        <v>176</v>
      </c>
      <c r="C137" s="20" t="s">
        <v>177</v>
      </c>
      <c r="D137" s="4" t="s">
        <v>24</v>
      </c>
      <c r="E137" s="4" t="s">
        <v>25</v>
      </c>
      <c r="F137" s="4"/>
      <c r="G137" s="15">
        <v>1</v>
      </c>
      <c r="H137" s="4" t="s">
        <v>471</v>
      </c>
      <c r="I137" s="4" t="s">
        <v>481</v>
      </c>
      <c r="J137" s="15" t="s">
        <v>179</v>
      </c>
      <c r="K137" s="15"/>
      <c r="L137" s="45"/>
      <c r="M137" s="15" t="s">
        <v>482</v>
      </c>
      <c r="N137" s="15"/>
      <c r="O137" s="4" t="s">
        <v>90</v>
      </c>
      <c r="P137" s="44" t="s">
        <v>189</v>
      </c>
      <c r="Q137" s="46" t="s">
        <v>473</v>
      </c>
      <c r="R137" s="44" t="s">
        <v>189</v>
      </c>
      <c r="S137" s="44" t="s">
        <v>189</v>
      </c>
      <c r="T137" s="44" t="s">
        <v>189</v>
      </c>
      <c r="U137" s="44" t="s">
        <v>90</v>
      </c>
      <c r="V137" s="47">
        <v>46218</v>
      </c>
      <c r="W137" s="47">
        <v>46219</v>
      </c>
      <c r="X137" s="44"/>
      <c r="Y137" s="45"/>
      <c r="Z137" s="45" t="s">
        <v>483</v>
      </c>
      <c r="AA137" s="1" t="s">
        <v>315</v>
      </c>
      <c r="AB137" s="44" t="s">
        <v>475</v>
      </c>
      <c r="AC137" s="44" t="s">
        <v>491</v>
      </c>
      <c r="AD137" s="44" t="s">
        <v>191</v>
      </c>
      <c r="AE137" s="1">
        <v>315</v>
      </c>
    </row>
    <row r="138" spans="1:31" customFormat="1" hidden="1">
      <c r="A138" s="15" t="s">
        <v>507</v>
      </c>
      <c r="B138" s="15" t="s">
        <v>176</v>
      </c>
      <c r="C138" s="20" t="s">
        <v>177</v>
      </c>
      <c r="D138" s="4" t="s">
        <v>24</v>
      </c>
      <c r="E138" s="4" t="s">
        <v>25</v>
      </c>
      <c r="F138" s="4"/>
      <c r="G138" s="15">
        <v>1</v>
      </c>
      <c r="H138" s="4" t="s">
        <v>471</v>
      </c>
      <c r="I138" s="4" t="s">
        <v>481</v>
      </c>
      <c r="J138" s="15" t="s">
        <v>179</v>
      </c>
      <c r="K138" s="15"/>
      <c r="L138" s="45"/>
      <c r="M138" s="15" t="s">
        <v>482</v>
      </c>
      <c r="N138" s="15"/>
      <c r="O138" s="4" t="s">
        <v>90</v>
      </c>
      <c r="P138" s="44" t="s">
        <v>189</v>
      </c>
      <c r="Q138" s="46" t="s">
        <v>473</v>
      </c>
      <c r="R138" s="44" t="s">
        <v>189</v>
      </c>
      <c r="S138" s="44" t="s">
        <v>189</v>
      </c>
      <c r="T138" s="44" t="s">
        <v>189</v>
      </c>
      <c r="U138" s="44" t="s">
        <v>90</v>
      </c>
      <c r="V138" s="47">
        <v>46218</v>
      </c>
      <c r="W138" s="47">
        <v>46219</v>
      </c>
      <c r="X138" s="44"/>
      <c r="Y138" s="45"/>
      <c r="Z138" s="45" t="s">
        <v>483</v>
      </c>
      <c r="AA138" s="1" t="s">
        <v>315</v>
      </c>
      <c r="AB138" s="44" t="s">
        <v>475</v>
      </c>
      <c r="AC138" s="44" t="s">
        <v>491</v>
      </c>
      <c r="AD138" s="44" t="s">
        <v>191</v>
      </c>
      <c r="AE138" s="1">
        <v>315</v>
      </c>
    </row>
    <row r="139" spans="1:31" customFormat="1" hidden="1">
      <c r="A139" s="15" t="s">
        <v>508</v>
      </c>
      <c r="B139" s="15" t="s">
        <v>176</v>
      </c>
      <c r="C139" s="20" t="s">
        <v>177</v>
      </c>
      <c r="D139" s="4" t="s">
        <v>24</v>
      </c>
      <c r="E139" s="4" t="s">
        <v>25</v>
      </c>
      <c r="F139" s="4"/>
      <c r="G139" s="15">
        <v>1</v>
      </c>
      <c r="H139" s="4" t="s">
        <v>471</v>
      </c>
      <c r="I139" s="4" t="s">
        <v>481</v>
      </c>
      <c r="J139" s="15" t="s">
        <v>179</v>
      </c>
      <c r="K139" s="15"/>
      <c r="L139" s="45"/>
      <c r="M139" s="15" t="s">
        <v>482</v>
      </c>
      <c r="N139" s="15"/>
      <c r="O139" s="4" t="s">
        <v>90</v>
      </c>
      <c r="P139" s="44" t="s">
        <v>189</v>
      </c>
      <c r="Q139" s="46" t="s">
        <v>473</v>
      </c>
      <c r="R139" s="44" t="s">
        <v>189</v>
      </c>
      <c r="S139" s="44" t="s">
        <v>189</v>
      </c>
      <c r="T139" s="44" t="s">
        <v>189</v>
      </c>
      <c r="U139" s="44" t="s">
        <v>90</v>
      </c>
      <c r="V139" s="47">
        <v>46218</v>
      </c>
      <c r="W139" s="47">
        <v>46219</v>
      </c>
      <c r="X139" s="44"/>
      <c r="Y139" s="45"/>
      <c r="Z139" s="45" t="s">
        <v>483</v>
      </c>
      <c r="AA139" s="1" t="s">
        <v>315</v>
      </c>
      <c r="AB139" s="44" t="s">
        <v>475</v>
      </c>
      <c r="AC139" s="44" t="s">
        <v>491</v>
      </c>
      <c r="AD139" s="44" t="s">
        <v>191</v>
      </c>
      <c r="AE139" s="1">
        <v>315</v>
      </c>
    </row>
    <row r="140" spans="1:31" customFormat="1" hidden="1">
      <c r="A140" s="15" t="s">
        <v>509</v>
      </c>
      <c r="B140" s="15" t="s">
        <v>176</v>
      </c>
      <c r="C140" s="20" t="s">
        <v>211</v>
      </c>
      <c r="D140" s="4" t="s">
        <v>24</v>
      </c>
      <c r="E140" s="4" t="s">
        <v>25</v>
      </c>
      <c r="F140" s="4"/>
      <c r="G140" s="15">
        <v>1</v>
      </c>
      <c r="H140" s="4" t="s">
        <v>471</v>
      </c>
      <c r="I140" s="4" t="s">
        <v>510</v>
      </c>
      <c r="J140" s="15" t="s">
        <v>185</v>
      </c>
      <c r="K140" s="15"/>
      <c r="L140" s="45"/>
      <c r="M140" s="15" t="s">
        <v>482</v>
      </c>
      <c r="N140" s="15"/>
      <c r="O140" s="4" t="s">
        <v>90</v>
      </c>
      <c r="P140" s="44" t="s">
        <v>189</v>
      </c>
      <c r="Q140" s="46" t="s">
        <v>473</v>
      </c>
      <c r="R140" s="44" t="s">
        <v>189</v>
      </c>
      <c r="S140" s="44" t="s">
        <v>189</v>
      </c>
      <c r="T140" s="44" t="s">
        <v>189</v>
      </c>
      <c r="U140" s="44" t="s">
        <v>511</v>
      </c>
      <c r="V140" s="47">
        <v>46225</v>
      </c>
      <c r="W140" s="44"/>
      <c r="X140" s="44"/>
      <c r="Y140" s="45"/>
      <c r="Z140" s="28" t="s">
        <v>217</v>
      </c>
      <c r="AA140" s="4"/>
      <c r="AB140" s="44" t="s">
        <v>475</v>
      </c>
      <c r="AC140" s="44" t="s">
        <v>491</v>
      </c>
      <c r="AD140" s="44" t="s">
        <v>191</v>
      </c>
      <c r="AE140" s="1">
        <v>315</v>
      </c>
    </row>
    <row r="141" spans="1:31" customFormat="1" hidden="1">
      <c r="A141" s="15" t="s">
        <v>512</v>
      </c>
      <c r="B141" s="15" t="s">
        <v>176</v>
      </c>
      <c r="C141" s="20" t="s">
        <v>211</v>
      </c>
      <c r="D141" s="4" t="s">
        <v>24</v>
      </c>
      <c r="E141" s="4" t="s">
        <v>25</v>
      </c>
      <c r="F141" s="4"/>
      <c r="G141" s="15">
        <v>1</v>
      </c>
      <c r="H141" s="4" t="s">
        <v>471</v>
      </c>
      <c r="I141" s="4" t="s">
        <v>510</v>
      </c>
      <c r="J141" s="15" t="s">
        <v>185</v>
      </c>
      <c r="K141" s="15"/>
      <c r="L141" s="45"/>
      <c r="M141" s="15" t="s">
        <v>482</v>
      </c>
      <c r="N141" s="15"/>
      <c r="O141" s="4" t="s">
        <v>90</v>
      </c>
      <c r="P141" s="44" t="s">
        <v>189</v>
      </c>
      <c r="Q141" s="46" t="s">
        <v>473</v>
      </c>
      <c r="R141" s="44" t="s">
        <v>189</v>
      </c>
      <c r="S141" s="44" t="s">
        <v>189</v>
      </c>
      <c r="T141" s="44" t="s">
        <v>189</v>
      </c>
      <c r="U141" s="44" t="s">
        <v>511</v>
      </c>
      <c r="V141" s="47">
        <v>46225</v>
      </c>
      <c r="W141" s="44"/>
      <c r="X141" s="44"/>
      <c r="Y141" s="45"/>
      <c r="Z141" s="28" t="s">
        <v>217</v>
      </c>
      <c r="AA141" s="4"/>
      <c r="AB141" s="44" t="s">
        <v>475</v>
      </c>
      <c r="AC141" s="44" t="s">
        <v>491</v>
      </c>
      <c r="AD141" s="44" t="s">
        <v>191</v>
      </c>
      <c r="AE141" s="1">
        <v>315</v>
      </c>
    </row>
    <row r="142" spans="1:31" customFormat="1" hidden="1">
      <c r="A142" s="15" t="s">
        <v>513</v>
      </c>
      <c r="B142" s="15" t="s">
        <v>176</v>
      </c>
      <c r="C142" s="20" t="s">
        <v>211</v>
      </c>
      <c r="D142" s="4" t="s">
        <v>24</v>
      </c>
      <c r="E142" s="4" t="s">
        <v>25</v>
      </c>
      <c r="F142" s="4"/>
      <c r="G142" s="15">
        <v>1</v>
      </c>
      <c r="H142" s="4" t="s">
        <v>471</v>
      </c>
      <c r="I142" s="4" t="s">
        <v>510</v>
      </c>
      <c r="J142" s="15" t="s">
        <v>185</v>
      </c>
      <c r="K142" s="15"/>
      <c r="L142" s="45"/>
      <c r="M142" s="15" t="s">
        <v>482</v>
      </c>
      <c r="N142" s="15"/>
      <c r="O142" s="4" t="s">
        <v>90</v>
      </c>
      <c r="P142" s="44" t="s">
        <v>189</v>
      </c>
      <c r="Q142" s="46" t="s">
        <v>473</v>
      </c>
      <c r="R142" s="44" t="s">
        <v>189</v>
      </c>
      <c r="S142" s="44" t="s">
        <v>189</v>
      </c>
      <c r="T142" s="44" t="s">
        <v>189</v>
      </c>
      <c r="U142" s="44" t="s">
        <v>511</v>
      </c>
      <c r="V142" s="47">
        <v>46225</v>
      </c>
      <c r="W142" s="44"/>
      <c r="X142" s="44"/>
      <c r="Y142" s="45"/>
      <c r="Z142" s="28" t="s">
        <v>217</v>
      </c>
      <c r="AA142" s="4"/>
      <c r="AB142" s="44" t="s">
        <v>475</v>
      </c>
      <c r="AC142" s="44" t="s">
        <v>491</v>
      </c>
      <c r="AD142" s="44" t="s">
        <v>191</v>
      </c>
      <c r="AE142" s="1">
        <v>315</v>
      </c>
    </row>
    <row r="143" spans="1:31" customFormat="1" hidden="1">
      <c r="A143" s="15" t="s">
        <v>514</v>
      </c>
      <c r="B143" s="15" t="s">
        <v>176</v>
      </c>
      <c r="C143" s="20" t="s">
        <v>211</v>
      </c>
      <c r="D143" s="4" t="s">
        <v>24</v>
      </c>
      <c r="E143" s="4" t="s">
        <v>25</v>
      </c>
      <c r="F143" s="4"/>
      <c r="G143" s="15">
        <v>1</v>
      </c>
      <c r="H143" s="4" t="s">
        <v>471</v>
      </c>
      <c r="I143" s="4" t="s">
        <v>510</v>
      </c>
      <c r="J143" s="15" t="s">
        <v>185</v>
      </c>
      <c r="K143" s="15"/>
      <c r="L143" s="45"/>
      <c r="M143" s="15" t="s">
        <v>482</v>
      </c>
      <c r="N143" s="15"/>
      <c r="O143" s="4" t="s">
        <v>90</v>
      </c>
      <c r="P143" s="44" t="s">
        <v>189</v>
      </c>
      <c r="Q143" s="46" t="s">
        <v>473</v>
      </c>
      <c r="R143" s="44" t="s">
        <v>189</v>
      </c>
      <c r="S143" s="44" t="s">
        <v>189</v>
      </c>
      <c r="T143" s="44" t="s">
        <v>189</v>
      </c>
      <c r="U143" s="44" t="s">
        <v>511</v>
      </c>
      <c r="V143" s="47">
        <v>46225</v>
      </c>
      <c r="W143" s="44"/>
      <c r="X143" s="44"/>
      <c r="Y143" s="45"/>
      <c r="Z143" s="28" t="s">
        <v>217</v>
      </c>
      <c r="AA143" s="4"/>
      <c r="AB143" s="44" t="s">
        <v>475</v>
      </c>
      <c r="AC143" s="44" t="s">
        <v>491</v>
      </c>
      <c r="AD143" s="44" t="s">
        <v>191</v>
      </c>
      <c r="AE143" s="1">
        <v>315</v>
      </c>
    </row>
    <row r="144" spans="1:31" hidden="1">
      <c r="A144" s="15" t="s">
        <v>515</v>
      </c>
      <c r="B144" s="15" t="s">
        <v>176</v>
      </c>
      <c r="C144" s="20" t="s">
        <v>177</v>
      </c>
      <c r="D144" s="4" t="s">
        <v>24</v>
      </c>
      <c r="E144" s="4" t="s">
        <v>25</v>
      </c>
      <c r="G144" s="15">
        <v>1</v>
      </c>
      <c r="H144" s="4" t="s">
        <v>471</v>
      </c>
      <c r="I144" s="4" t="s">
        <v>516</v>
      </c>
      <c r="J144" s="15" t="s">
        <v>185</v>
      </c>
      <c r="K144" s="15"/>
      <c r="M144" s="15" t="s">
        <v>482</v>
      </c>
      <c r="N144" s="15"/>
      <c r="O144" s="4" t="s">
        <v>511</v>
      </c>
      <c r="P144" s="44" t="s">
        <v>189</v>
      </c>
      <c r="Q144" s="46" t="s">
        <v>473</v>
      </c>
      <c r="R144" s="44" t="s">
        <v>189</v>
      </c>
      <c r="S144" s="44" t="s">
        <v>189</v>
      </c>
      <c r="T144" s="44" t="s">
        <v>189</v>
      </c>
      <c r="U144" s="44" t="s">
        <v>511</v>
      </c>
      <c r="V144" s="47">
        <v>46223</v>
      </c>
      <c r="W144" s="47">
        <v>46225</v>
      </c>
      <c r="Z144" s="45" t="s">
        <v>483</v>
      </c>
      <c r="AA144" s="1" t="s">
        <v>315</v>
      </c>
      <c r="AB144" s="44" t="s">
        <v>475</v>
      </c>
      <c r="AC144" s="44" t="s">
        <v>491</v>
      </c>
      <c r="AD144" s="44" t="s">
        <v>191</v>
      </c>
      <c r="AE144" s="1">
        <v>315</v>
      </c>
    </row>
    <row r="145" spans="1:31" hidden="1">
      <c r="A145" s="15" t="s">
        <v>517</v>
      </c>
      <c r="B145" s="15" t="s">
        <v>176</v>
      </c>
      <c r="C145" s="20" t="s">
        <v>177</v>
      </c>
      <c r="D145" s="4" t="s">
        <v>24</v>
      </c>
      <c r="E145" s="4" t="s">
        <v>25</v>
      </c>
      <c r="G145" s="15">
        <v>1</v>
      </c>
      <c r="H145" s="4" t="s">
        <v>471</v>
      </c>
      <c r="I145" s="4" t="s">
        <v>516</v>
      </c>
      <c r="J145" s="15" t="s">
        <v>185</v>
      </c>
      <c r="K145" s="15"/>
      <c r="M145" s="15" t="s">
        <v>482</v>
      </c>
      <c r="N145" s="15"/>
      <c r="O145" s="4" t="s">
        <v>511</v>
      </c>
      <c r="P145" s="44" t="s">
        <v>189</v>
      </c>
      <c r="Q145" s="46" t="s">
        <v>473</v>
      </c>
      <c r="R145" s="44" t="s">
        <v>189</v>
      </c>
      <c r="S145" s="44" t="s">
        <v>189</v>
      </c>
      <c r="T145" s="44" t="s">
        <v>189</v>
      </c>
      <c r="U145" s="44" t="s">
        <v>511</v>
      </c>
      <c r="V145" s="47">
        <v>46223</v>
      </c>
      <c r="W145" s="47">
        <v>46225</v>
      </c>
      <c r="Z145" s="45" t="s">
        <v>483</v>
      </c>
      <c r="AA145" s="1" t="s">
        <v>315</v>
      </c>
      <c r="AB145" s="44" t="s">
        <v>475</v>
      </c>
      <c r="AC145" s="44" t="s">
        <v>491</v>
      </c>
      <c r="AD145" s="44" t="s">
        <v>191</v>
      </c>
      <c r="AE145" s="1">
        <v>315</v>
      </c>
    </row>
    <row r="146" spans="1:31" hidden="1">
      <c r="A146" s="15" t="s">
        <v>518</v>
      </c>
      <c r="B146" s="15" t="s">
        <v>176</v>
      </c>
      <c r="C146" s="20" t="s">
        <v>177</v>
      </c>
      <c r="D146" s="4" t="s">
        <v>24</v>
      </c>
      <c r="E146" s="4" t="s">
        <v>25</v>
      </c>
      <c r="G146" s="15">
        <v>1</v>
      </c>
      <c r="H146" s="4" t="s">
        <v>471</v>
      </c>
      <c r="I146" s="4" t="s">
        <v>516</v>
      </c>
      <c r="J146" s="15" t="s">
        <v>185</v>
      </c>
      <c r="K146" s="15"/>
      <c r="M146" s="15" t="s">
        <v>482</v>
      </c>
      <c r="N146" s="15"/>
      <c r="O146" s="4" t="s">
        <v>511</v>
      </c>
      <c r="P146" s="44" t="s">
        <v>189</v>
      </c>
      <c r="Q146" s="46" t="s">
        <v>473</v>
      </c>
      <c r="R146" s="44" t="s">
        <v>189</v>
      </c>
      <c r="S146" s="44" t="s">
        <v>189</v>
      </c>
      <c r="T146" s="44" t="s">
        <v>189</v>
      </c>
      <c r="U146" s="44" t="s">
        <v>511</v>
      </c>
      <c r="V146" s="47">
        <v>46223</v>
      </c>
      <c r="W146" s="47">
        <v>46225</v>
      </c>
      <c r="Z146" s="45" t="s">
        <v>483</v>
      </c>
      <c r="AA146" s="1" t="s">
        <v>315</v>
      </c>
      <c r="AB146" s="44" t="s">
        <v>475</v>
      </c>
      <c r="AC146" s="44" t="s">
        <v>491</v>
      </c>
      <c r="AD146" s="44" t="s">
        <v>191</v>
      </c>
      <c r="AE146" s="1">
        <v>315</v>
      </c>
    </row>
    <row r="147" spans="1:31" hidden="1">
      <c r="A147" s="15" t="s">
        <v>519</v>
      </c>
      <c r="B147" s="15" t="s">
        <v>176</v>
      </c>
      <c r="C147" s="20" t="s">
        <v>177</v>
      </c>
      <c r="D147" s="4" t="s">
        <v>24</v>
      </c>
      <c r="E147" s="4" t="s">
        <v>25</v>
      </c>
      <c r="G147" s="15">
        <v>1</v>
      </c>
      <c r="H147" s="4" t="s">
        <v>471</v>
      </c>
      <c r="I147" s="4" t="s">
        <v>516</v>
      </c>
      <c r="J147" s="15" t="s">
        <v>185</v>
      </c>
      <c r="K147" s="15"/>
      <c r="M147" s="15" t="s">
        <v>482</v>
      </c>
      <c r="N147" s="15"/>
      <c r="O147" s="4" t="s">
        <v>511</v>
      </c>
      <c r="P147" s="44" t="s">
        <v>189</v>
      </c>
      <c r="Q147" s="46" t="s">
        <v>473</v>
      </c>
      <c r="R147" s="44" t="s">
        <v>189</v>
      </c>
      <c r="S147" s="44" t="s">
        <v>189</v>
      </c>
      <c r="T147" s="44" t="s">
        <v>189</v>
      </c>
      <c r="U147" s="44" t="s">
        <v>511</v>
      </c>
      <c r="V147" s="47">
        <v>46223</v>
      </c>
      <c r="W147" s="47">
        <v>46225</v>
      </c>
      <c r="Z147" s="45" t="s">
        <v>483</v>
      </c>
      <c r="AA147" s="1" t="s">
        <v>315</v>
      </c>
      <c r="AB147" s="44" t="s">
        <v>475</v>
      </c>
      <c r="AC147" s="44" t="s">
        <v>491</v>
      </c>
      <c r="AD147" s="44" t="s">
        <v>191</v>
      </c>
      <c r="AE147" s="1">
        <v>315</v>
      </c>
    </row>
    <row r="148" spans="1:31" hidden="1">
      <c r="A148" s="15" t="s">
        <v>520</v>
      </c>
      <c r="B148" s="15" t="s">
        <v>176</v>
      </c>
      <c r="C148" s="20" t="s">
        <v>90</v>
      </c>
      <c r="D148" s="4" t="s">
        <v>24</v>
      </c>
      <c r="E148" s="4" t="s">
        <v>25</v>
      </c>
      <c r="G148" s="15">
        <v>1</v>
      </c>
      <c r="H148" s="4" t="s">
        <v>471</v>
      </c>
      <c r="I148" s="4" t="s">
        <v>521</v>
      </c>
      <c r="J148" s="15" t="s">
        <v>185</v>
      </c>
      <c r="K148" s="15" t="s">
        <v>186</v>
      </c>
      <c r="M148" s="15" t="s">
        <v>482</v>
      </c>
      <c r="N148" s="15"/>
      <c r="O148" s="4" t="s">
        <v>90</v>
      </c>
      <c r="P148" s="44" t="s">
        <v>189</v>
      </c>
      <c r="Q148" s="46" t="s">
        <v>473</v>
      </c>
      <c r="U148" s="44" t="s">
        <v>511</v>
      </c>
      <c r="Z148" s="59" t="s">
        <v>522</v>
      </c>
      <c r="AA148" s="33" t="s">
        <v>488</v>
      </c>
      <c r="AB148" s="44" t="s">
        <v>475</v>
      </c>
      <c r="AC148" s="44" t="s">
        <v>491</v>
      </c>
      <c r="AD148" s="44" t="s">
        <v>191</v>
      </c>
      <c r="AE148" s="1">
        <v>315</v>
      </c>
    </row>
    <row r="149" spans="1:31" hidden="1">
      <c r="A149" s="15" t="s">
        <v>523</v>
      </c>
      <c r="B149" s="15" t="s">
        <v>176</v>
      </c>
      <c r="C149" s="20" t="s">
        <v>90</v>
      </c>
      <c r="D149" s="4" t="s">
        <v>24</v>
      </c>
      <c r="E149" s="4" t="s">
        <v>25</v>
      </c>
      <c r="G149" s="15">
        <v>1</v>
      </c>
      <c r="H149" s="4" t="s">
        <v>471</v>
      </c>
      <c r="I149" s="4" t="s">
        <v>521</v>
      </c>
      <c r="J149" s="15" t="s">
        <v>185</v>
      </c>
      <c r="K149" s="15" t="s">
        <v>186</v>
      </c>
      <c r="M149" s="15" t="s">
        <v>482</v>
      </c>
      <c r="N149" s="15"/>
      <c r="O149" s="4" t="s">
        <v>90</v>
      </c>
      <c r="P149" s="44" t="s">
        <v>189</v>
      </c>
      <c r="Q149" s="46" t="s">
        <v>473</v>
      </c>
      <c r="U149" s="44" t="s">
        <v>511</v>
      </c>
      <c r="Z149" s="59" t="s">
        <v>522</v>
      </c>
      <c r="AA149" s="33" t="s">
        <v>488</v>
      </c>
      <c r="AB149" s="44" t="s">
        <v>475</v>
      </c>
      <c r="AC149" s="44" t="s">
        <v>491</v>
      </c>
      <c r="AD149" s="44" t="s">
        <v>191</v>
      </c>
      <c r="AE149" s="1">
        <v>315</v>
      </c>
    </row>
    <row r="150" spans="1:31" hidden="1">
      <c r="A150" s="15" t="s">
        <v>524</v>
      </c>
      <c r="B150" s="15" t="s">
        <v>176</v>
      </c>
      <c r="C150" s="20" t="s">
        <v>90</v>
      </c>
      <c r="D150" s="4" t="s">
        <v>24</v>
      </c>
      <c r="E150" s="4" t="s">
        <v>25</v>
      </c>
      <c r="G150" s="15">
        <v>1</v>
      </c>
      <c r="H150" s="4" t="s">
        <v>471</v>
      </c>
      <c r="I150" s="4" t="s">
        <v>521</v>
      </c>
      <c r="J150" s="15" t="s">
        <v>185</v>
      </c>
      <c r="K150" s="15" t="s">
        <v>186</v>
      </c>
      <c r="M150" s="15" t="s">
        <v>482</v>
      </c>
      <c r="N150" s="15"/>
      <c r="O150" s="4" t="s">
        <v>90</v>
      </c>
      <c r="P150" s="44" t="s">
        <v>189</v>
      </c>
      <c r="Q150" s="46" t="s">
        <v>473</v>
      </c>
      <c r="U150" s="44" t="s">
        <v>511</v>
      </c>
      <c r="Z150" s="59" t="s">
        <v>522</v>
      </c>
      <c r="AA150" s="33" t="s">
        <v>488</v>
      </c>
      <c r="AB150" s="44" t="s">
        <v>475</v>
      </c>
      <c r="AC150" s="44" t="s">
        <v>491</v>
      </c>
      <c r="AD150" s="44" t="s">
        <v>191</v>
      </c>
      <c r="AE150" s="1">
        <v>315</v>
      </c>
    </row>
    <row r="151" spans="1:31" hidden="1">
      <c r="A151" s="15" t="s">
        <v>525</v>
      </c>
      <c r="B151" s="15" t="s">
        <v>176</v>
      </c>
      <c r="C151" s="20" t="s">
        <v>90</v>
      </c>
      <c r="D151" s="4" t="s">
        <v>24</v>
      </c>
      <c r="E151" s="4" t="s">
        <v>25</v>
      </c>
      <c r="G151" s="15">
        <v>1</v>
      </c>
      <c r="H151" s="4" t="s">
        <v>471</v>
      </c>
      <c r="I151" s="4" t="s">
        <v>521</v>
      </c>
      <c r="J151" s="15" t="s">
        <v>185</v>
      </c>
      <c r="K151" s="15" t="s">
        <v>186</v>
      </c>
      <c r="M151" s="15" t="s">
        <v>482</v>
      </c>
      <c r="N151" s="15"/>
      <c r="O151" s="4" t="s">
        <v>90</v>
      </c>
      <c r="P151" s="44" t="s">
        <v>189</v>
      </c>
      <c r="Q151" s="46" t="s">
        <v>473</v>
      </c>
      <c r="U151" s="44" t="s">
        <v>511</v>
      </c>
      <c r="Z151" s="59" t="s">
        <v>522</v>
      </c>
      <c r="AA151" s="33" t="s">
        <v>488</v>
      </c>
      <c r="AB151" s="44" t="s">
        <v>475</v>
      </c>
      <c r="AC151" s="44" t="s">
        <v>491</v>
      </c>
      <c r="AD151" s="44" t="s">
        <v>191</v>
      </c>
      <c r="AE151" s="1">
        <v>315</v>
      </c>
    </row>
    <row r="152" spans="1:31" hidden="1">
      <c r="A152" s="15" t="s">
        <v>526</v>
      </c>
      <c r="B152" s="15" t="s">
        <v>176</v>
      </c>
      <c r="C152" s="20" t="s">
        <v>90</v>
      </c>
      <c r="D152" s="4" t="s">
        <v>24</v>
      </c>
      <c r="E152" s="4" t="s">
        <v>25</v>
      </c>
      <c r="G152" s="15">
        <v>1</v>
      </c>
      <c r="H152" s="4" t="s">
        <v>471</v>
      </c>
      <c r="I152" s="4" t="s">
        <v>527</v>
      </c>
      <c r="J152" s="15" t="s">
        <v>367</v>
      </c>
      <c r="K152" s="15"/>
      <c r="L152" s="45" t="s">
        <v>528</v>
      </c>
      <c r="M152" s="15" t="s">
        <v>187</v>
      </c>
      <c r="N152" s="15"/>
      <c r="O152" t="s">
        <v>90</v>
      </c>
      <c r="P152" s="44" t="s">
        <v>189</v>
      </c>
      <c r="Q152" s="46" t="s">
        <v>473</v>
      </c>
      <c r="U152" s="44" t="s">
        <v>75</v>
      </c>
      <c r="V152" s="47">
        <v>46217</v>
      </c>
      <c r="W152" s="47">
        <v>46217</v>
      </c>
      <c r="Z152" s="45" t="s">
        <v>529</v>
      </c>
      <c r="AA152" t="s">
        <v>530</v>
      </c>
      <c r="AB152" s="44" t="s">
        <v>475</v>
      </c>
      <c r="AC152" s="44" t="s">
        <v>491</v>
      </c>
      <c r="AD152" s="44" t="s">
        <v>191</v>
      </c>
      <c r="AE152" s="1">
        <v>315</v>
      </c>
    </row>
    <row r="153" spans="1:31" hidden="1">
      <c r="A153" s="15" t="s">
        <v>531</v>
      </c>
      <c r="B153" s="15" t="s">
        <v>176</v>
      </c>
      <c r="C153" s="20" t="s">
        <v>90</v>
      </c>
      <c r="D153" s="4" t="s">
        <v>24</v>
      </c>
      <c r="E153" s="4" t="s">
        <v>25</v>
      </c>
      <c r="G153" s="15">
        <v>1</v>
      </c>
      <c r="H153" s="4" t="s">
        <v>471</v>
      </c>
      <c r="I153" s="4" t="s">
        <v>527</v>
      </c>
      <c r="J153" s="15" t="s">
        <v>367</v>
      </c>
      <c r="K153" s="15"/>
      <c r="L153" s="45" t="s">
        <v>528</v>
      </c>
      <c r="M153" s="15" t="s">
        <v>187</v>
      </c>
      <c r="N153" s="15"/>
      <c r="O153" t="s">
        <v>90</v>
      </c>
      <c r="P153" s="44" t="s">
        <v>189</v>
      </c>
      <c r="Q153" s="46" t="s">
        <v>473</v>
      </c>
      <c r="U153" s="44" t="s">
        <v>75</v>
      </c>
      <c r="V153" s="47">
        <v>46217</v>
      </c>
      <c r="W153" s="47">
        <v>46217</v>
      </c>
      <c r="Z153" s="45" t="s">
        <v>529</v>
      </c>
      <c r="AA153" s="33" t="s">
        <v>532</v>
      </c>
      <c r="AB153" s="44" t="s">
        <v>475</v>
      </c>
      <c r="AC153" s="44" t="s">
        <v>491</v>
      </c>
      <c r="AD153" s="44" t="s">
        <v>191</v>
      </c>
      <c r="AE153" s="1">
        <v>315</v>
      </c>
    </row>
    <row r="154" spans="1:31" hidden="1">
      <c r="A154" s="15" t="s">
        <v>533</v>
      </c>
      <c r="B154" s="15" t="s">
        <v>176</v>
      </c>
      <c r="C154" s="20" t="s">
        <v>90</v>
      </c>
      <c r="D154" s="4" t="s">
        <v>24</v>
      </c>
      <c r="E154" s="4" t="s">
        <v>25</v>
      </c>
      <c r="G154" s="15">
        <v>1</v>
      </c>
      <c r="H154" s="4" t="s">
        <v>471</v>
      </c>
      <c r="I154" s="4" t="s">
        <v>486</v>
      </c>
      <c r="J154" s="15" t="s">
        <v>223</v>
      </c>
      <c r="M154" s="15" t="s">
        <v>482</v>
      </c>
      <c r="N154" s="15"/>
      <c r="O154" t="s">
        <v>90</v>
      </c>
      <c r="P154" s="44" t="s">
        <v>189</v>
      </c>
      <c r="Q154" s="46" t="s">
        <v>473</v>
      </c>
      <c r="R154" s="44" t="s">
        <v>189</v>
      </c>
      <c r="S154" s="44" t="s">
        <v>183</v>
      </c>
      <c r="T154" s="44" t="s">
        <v>189</v>
      </c>
      <c r="U154" s="44" t="s">
        <v>177</v>
      </c>
      <c r="V154" s="47">
        <v>46207</v>
      </c>
      <c r="Z154" s="45" t="s">
        <v>487</v>
      </c>
      <c r="AA154" s="33" t="s">
        <v>488</v>
      </c>
      <c r="AB154" s="44" t="s">
        <v>475</v>
      </c>
      <c r="AC154" s="44" t="s">
        <v>491</v>
      </c>
      <c r="AD154" s="44" t="s">
        <v>191</v>
      </c>
      <c r="AE154" s="1">
        <v>315</v>
      </c>
    </row>
    <row r="155" spans="1:31" hidden="1">
      <c r="A155" s="15" t="s">
        <v>534</v>
      </c>
      <c r="B155" s="15" t="s">
        <v>176</v>
      </c>
      <c r="C155" s="20" t="s">
        <v>90</v>
      </c>
      <c r="D155" s="4" t="s">
        <v>24</v>
      </c>
      <c r="E155" s="4" t="s">
        <v>25</v>
      </c>
      <c r="G155" s="15">
        <v>1</v>
      </c>
      <c r="H155" s="4" t="s">
        <v>471</v>
      </c>
      <c r="I155" s="4" t="s">
        <v>486</v>
      </c>
      <c r="J155" s="15" t="s">
        <v>223</v>
      </c>
      <c r="M155" s="15" t="s">
        <v>482</v>
      </c>
      <c r="N155" s="15"/>
      <c r="O155" t="s">
        <v>90</v>
      </c>
      <c r="P155" s="44" t="s">
        <v>189</v>
      </c>
      <c r="Q155" s="46" t="s">
        <v>473</v>
      </c>
      <c r="R155" s="44" t="s">
        <v>189</v>
      </c>
      <c r="S155" s="44" t="s">
        <v>183</v>
      </c>
      <c r="T155" s="44" t="s">
        <v>189</v>
      </c>
      <c r="U155" s="44" t="s">
        <v>177</v>
      </c>
      <c r="V155" s="47">
        <v>46207</v>
      </c>
      <c r="Z155" s="45" t="s">
        <v>487</v>
      </c>
      <c r="AA155" s="33" t="s">
        <v>488</v>
      </c>
      <c r="AB155" s="44" t="s">
        <v>475</v>
      </c>
      <c r="AC155" s="44" t="s">
        <v>491</v>
      </c>
      <c r="AD155" s="44" t="s">
        <v>191</v>
      </c>
      <c r="AE155" s="1">
        <v>315</v>
      </c>
    </row>
    <row r="156" spans="1:31" hidden="1">
      <c r="A156" s="15" t="s">
        <v>535</v>
      </c>
      <c r="B156" s="15" t="s">
        <v>176</v>
      </c>
      <c r="C156" s="20" t="s">
        <v>90</v>
      </c>
      <c r="D156" s="4" t="s">
        <v>24</v>
      </c>
      <c r="E156" s="4" t="s">
        <v>25</v>
      </c>
      <c r="G156" s="15">
        <v>1</v>
      </c>
      <c r="H156" s="4" t="s">
        <v>471</v>
      </c>
      <c r="I156" s="4" t="s">
        <v>486</v>
      </c>
      <c r="J156" s="15" t="s">
        <v>223</v>
      </c>
      <c r="M156" s="15" t="s">
        <v>482</v>
      </c>
      <c r="N156" s="15"/>
      <c r="O156" t="s">
        <v>90</v>
      </c>
      <c r="P156" s="44" t="s">
        <v>189</v>
      </c>
      <c r="Q156" s="46" t="s">
        <v>473</v>
      </c>
      <c r="R156" s="44" t="s">
        <v>189</v>
      </c>
      <c r="S156" s="44" t="s">
        <v>183</v>
      </c>
      <c r="T156" s="44" t="s">
        <v>189</v>
      </c>
      <c r="U156" s="44" t="s">
        <v>177</v>
      </c>
      <c r="V156" s="47">
        <v>46207</v>
      </c>
      <c r="Z156" s="45" t="s">
        <v>536</v>
      </c>
      <c r="AA156" s="33" t="s">
        <v>488</v>
      </c>
      <c r="AB156" s="44" t="s">
        <v>475</v>
      </c>
      <c r="AC156" s="44" t="s">
        <v>491</v>
      </c>
      <c r="AD156" s="44" t="s">
        <v>191</v>
      </c>
      <c r="AE156" s="1">
        <v>315</v>
      </c>
    </row>
    <row r="157" spans="1:31" hidden="1">
      <c r="A157" s="15" t="s">
        <v>537</v>
      </c>
      <c r="B157" s="15" t="s">
        <v>176</v>
      </c>
      <c r="C157" s="20" t="s">
        <v>90</v>
      </c>
      <c r="D157" s="4" t="s">
        <v>24</v>
      </c>
      <c r="E157" s="4" t="s">
        <v>25</v>
      </c>
      <c r="G157" s="15">
        <v>1</v>
      </c>
      <c r="H157" s="4" t="s">
        <v>471</v>
      </c>
      <c r="I157" s="4" t="s">
        <v>486</v>
      </c>
      <c r="J157" s="15" t="s">
        <v>223</v>
      </c>
      <c r="M157" s="15" t="s">
        <v>482</v>
      </c>
      <c r="N157" s="15"/>
      <c r="O157" t="s">
        <v>90</v>
      </c>
      <c r="P157" s="44" t="s">
        <v>189</v>
      </c>
      <c r="Q157" s="46" t="s">
        <v>473</v>
      </c>
      <c r="R157" s="44" t="s">
        <v>189</v>
      </c>
      <c r="S157" s="44" t="s">
        <v>183</v>
      </c>
      <c r="T157" s="44" t="s">
        <v>189</v>
      </c>
      <c r="U157" s="44" t="s">
        <v>177</v>
      </c>
      <c r="V157" s="47">
        <v>46207</v>
      </c>
      <c r="Z157" s="45" t="s">
        <v>536</v>
      </c>
      <c r="AA157" s="33" t="s">
        <v>488</v>
      </c>
      <c r="AB157" s="44" t="s">
        <v>475</v>
      </c>
      <c r="AC157" s="44" t="s">
        <v>491</v>
      </c>
      <c r="AD157" s="44" t="s">
        <v>191</v>
      </c>
      <c r="AE157" s="1">
        <v>315</v>
      </c>
    </row>
    <row r="158" spans="1:31" hidden="1">
      <c r="A158" s="15" t="s">
        <v>538</v>
      </c>
      <c r="B158" s="15" t="s">
        <v>176</v>
      </c>
      <c r="C158" s="20" t="s">
        <v>90</v>
      </c>
      <c r="D158" s="4" t="s">
        <v>24</v>
      </c>
      <c r="E158" s="4" t="s">
        <v>25</v>
      </c>
      <c r="G158" s="15">
        <v>1</v>
      </c>
      <c r="H158" s="4" t="s">
        <v>471</v>
      </c>
      <c r="I158" s="4" t="s">
        <v>486</v>
      </c>
      <c r="J158" s="15" t="s">
        <v>367</v>
      </c>
      <c r="K158" s="15"/>
      <c r="M158" s="15" t="s">
        <v>482</v>
      </c>
      <c r="N158" s="15"/>
      <c r="O158" t="s">
        <v>90</v>
      </c>
      <c r="P158" s="44" t="s">
        <v>189</v>
      </c>
      <c r="Q158" s="46" t="s">
        <v>473</v>
      </c>
      <c r="U158" s="44" t="s">
        <v>75</v>
      </c>
      <c r="V158" s="47">
        <v>46217</v>
      </c>
      <c r="W158" s="47">
        <v>46217</v>
      </c>
      <c r="Z158" s="45" t="s">
        <v>487</v>
      </c>
      <c r="AA158" s="33" t="s">
        <v>488</v>
      </c>
      <c r="AB158" s="44" t="s">
        <v>475</v>
      </c>
      <c r="AC158" s="44" t="s">
        <v>491</v>
      </c>
      <c r="AD158" s="44" t="s">
        <v>191</v>
      </c>
      <c r="AE158" s="1">
        <v>315</v>
      </c>
    </row>
    <row r="159" spans="1:31" hidden="1">
      <c r="A159" s="15" t="s">
        <v>539</v>
      </c>
      <c r="B159" s="15" t="s">
        <v>176</v>
      </c>
      <c r="C159" s="20" t="s">
        <v>90</v>
      </c>
      <c r="D159" s="4" t="s">
        <v>24</v>
      </c>
      <c r="E159" s="4" t="s">
        <v>25</v>
      </c>
      <c r="G159" s="15">
        <v>1</v>
      </c>
      <c r="H159" s="4" t="s">
        <v>471</v>
      </c>
      <c r="I159" s="4" t="s">
        <v>486</v>
      </c>
      <c r="J159" s="15" t="s">
        <v>367</v>
      </c>
      <c r="K159" s="15"/>
      <c r="M159" s="15" t="s">
        <v>482</v>
      </c>
      <c r="N159" s="15"/>
      <c r="O159" t="s">
        <v>90</v>
      </c>
      <c r="P159" s="44" t="s">
        <v>189</v>
      </c>
      <c r="Q159" s="46" t="s">
        <v>473</v>
      </c>
      <c r="U159" s="44" t="s">
        <v>75</v>
      </c>
      <c r="V159" s="47">
        <v>46217</v>
      </c>
      <c r="W159" s="47">
        <v>46217</v>
      </c>
      <c r="Z159" s="45" t="s">
        <v>487</v>
      </c>
      <c r="AA159" s="33" t="s">
        <v>488</v>
      </c>
      <c r="AB159" s="44" t="s">
        <v>475</v>
      </c>
      <c r="AC159" s="44" t="s">
        <v>491</v>
      </c>
      <c r="AD159" s="44" t="s">
        <v>191</v>
      </c>
      <c r="AE159" s="1">
        <v>315</v>
      </c>
    </row>
    <row r="160" spans="1:31" hidden="1">
      <c r="A160" s="15" t="s">
        <v>540</v>
      </c>
      <c r="B160" s="15" t="s">
        <v>176</v>
      </c>
      <c r="C160" s="20" t="s">
        <v>90</v>
      </c>
      <c r="D160" s="4" t="s">
        <v>24</v>
      </c>
      <c r="E160" s="4" t="s">
        <v>25</v>
      </c>
      <c r="G160" s="15">
        <v>1</v>
      </c>
      <c r="H160" s="4" t="s">
        <v>471</v>
      </c>
      <c r="I160" s="4" t="s">
        <v>486</v>
      </c>
      <c r="J160" s="15" t="s">
        <v>367</v>
      </c>
      <c r="K160" s="15"/>
      <c r="M160" s="15" t="s">
        <v>482</v>
      </c>
      <c r="N160" s="15"/>
      <c r="O160" t="s">
        <v>90</v>
      </c>
      <c r="P160" s="44" t="s">
        <v>189</v>
      </c>
      <c r="Q160" s="46" t="s">
        <v>473</v>
      </c>
      <c r="U160" s="44" t="s">
        <v>75</v>
      </c>
      <c r="V160" s="47">
        <v>46217</v>
      </c>
      <c r="W160" s="47">
        <v>46217</v>
      </c>
      <c r="Z160" s="45" t="s">
        <v>541</v>
      </c>
      <c r="AA160" s="33" t="s">
        <v>488</v>
      </c>
      <c r="AB160" s="44" t="s">
        <v>475</v>
      </c>
      <c r="AC160" s="44" t="s">
        <v>491</v>
      </c>
      <c r="AD160" s="44" t="s">
        <v>191</v>
      </c>
      <c r="AE160" s="1">
        <v>315</v>
      </c>
    </row>
    <row r="161" spans="1:31" customFormat="1" hidden="1">
      <c r="A161" s="15" t="s">
        <v>542</v>
      </c>
      <c r="B161" s="15" t="s">
        <v>176</v>
      </c>
      <c r="C161" s="20" t="s">
        <v>90</v>
      </c>
      <c r="D161" s="4" t="s">
        <v>24</v>
      </c>
      <c r="E161" s="4" t="s">
        <v>25</v>
      </c>
      <c r="F161" s="4"/>
      <c r="G161" s="15">
        <v>1</v>
      </c>
      <c r="H161" s="4" t="s">
        <v>471</v>
      </c>
      <c r="I161" s="4" t="s">
        <v>486</v>
      </c>
      <c r="J161" s="15" t="s">
        <v>367</v>
      </c>
      <c r="K161" s="15"/>
      <c r="L161" s="45"/>
      <c r="M161" s="15" t="s">
        <v>482</v>
      </c>
      <c r="N161" s="15"/>
      <c r="O161" t="s">
        <v>90</v>
      </c>
      <c r="P161" s="44" t="s">
        <v>189</v>
      </c>
      <c r="Q161" s="46" t="s">
        <v>473</v>
      </c>
      <c r="R161" s="44"/>
      <c r="S161" s="44"/>
      <c r="T161" s="44"/>
      <c r="U161" s="44" t="s">
        <v>75</v>
      </c>
      <c r="V161" s="47">
        <v>46217</v>
      </c>
      <c r="W161" s="47">
        <v>46217</v>
      </c>
      <c r="X161" s="44"/>
      <c r="Y161" s="45"/>
      <c r="Z161" s="45" t="s">
        <v>541</v>
      </c>
      <c r="AA161" s="33" t="s">
        <v>488</v>
      </c>
      <c r="AB161" s="44" t="s">
        <v>475</v>
      </c>
      <c r="AC161" s="44" t="s">
        <v>491</v>
      </c>
      <c r="AD161" s="44" t="s">
        <v>191</v>
      </c>
      <c r="AE161" s="1">
        <v>315</v>
      </c>
    </row>
    <row r="162" spans="1:31" customFormat="1" hidden="1">
      <c r="A162" s="15" t="s">
        <v>543</v>
      </c>
      <c r="B162" s="15" t="s">
        <v>176</v>
      </c>
      <c r="C162" s="20" t="s">
        <v>90</v>
      </c>
      <c r="D162" s="4" t="s">
        <v>24</v>
      </c>
      <c r="E162" s="4" t="s">
        <v>25</v>
      </c>
      <c r="F162" s="4"/>
      <c r="G162" s="15">
        <v>1</v>
      </c>
      <c r="H162" s="4" t="s">
        <v>471</v>
      </c>
      <c r="I162" s="4" t="s">
        <v>486</v>
      </c>
      <c r="J162" s="15" t="s">
        <v>367</v>
      </c>
      <c r="K162" s="15"/>
      <c r="L162" s="45"/>
      <c r="M162" s="15" t="s">
        <v>482</v>
      </c>
      <c r="N162" s="15"/>
      <c r="O162" t="s">
        <v>90</v>
      </c>
      <c r="P162" s="44" t="s">
        <v>189</v>
      </c>
      <c r="Q162" s="46" t="s">
        <v>473</v>
      </c>
      <c r="R162" s="44"/>
      <c r="S162" s="44"/>
      <c r="T162" s="44"/>
      <c r="U162" s="44" t="s">
        <v>177</v>
      </c>
      <c r="V162" s="47">
        <v>46217</v>
      </c>
      <c r="W162" s="44"/>
      <c r="X162" s="44"/>
      <c r="Y162" s="45"/>
      <c r="Z162" s="45" t="s">
        <v>541</v>
      </c>
      <c r="AA162" s="33" t="s">
        <v>488</v>
      </c>
      <c r="AB162" s="44" t="s">
        <v>475</v>
      </c>
      <c r="AC162" s="44" t="s">
        <v>491</v>
      </c>
      <c r="AD162" s="44" t="s">
        <v>191</v>
      </c>
      <c r="AE162" s="1">
        <v>315</v>
      </c>
    </row>
    <row r="163" spans="1:31" hidden="1">
      <c r="A163" s="15" t="s">
        <v>544</v>
      </c>
      <c r="B163" s="15" t="s">
        <v>176</v>
      </c>
      <c r="C163" s="20" t="s">
        <v>90</v>
      </c>
      <c r="D163" s="4" t="s">
        <v>24</v>
      </c>
      <c r="E163" s="4" t="s">
        <v>25</v>
      </c>
      <c r="G163" s="15">
        <v>1</v>
      </c>
      <c r="H163" s="4" t="s">
        <v>471</v>
      </c>
      <c r="I163" s="4" t="s">
        <v>486</v>
      </c>
      <c r="J163" s="15" t="s">
        <v>367</v>
      </c>
      <c r="K163" s="15"/>
      <c r="M163" s="15" t="s">
        <v>482</v>
      </c>
      <c r="N163" s="15"/>
      <c r="O163" t="s">
        <v>90</v>
      </c>
      <c r="P163" s="44" t="s">
        <v>189</v>
      </c>
      <c r="Q163" s="46" t="s">
        <v>473</v>
      </c>
      <c r="U163" s="44" t="s">
        <v>177</v>
      </c>
      <c r="V163" s="47">
        <v>46217</v>
      </c>
      <c r="Z163" s="45" t="s">
        <v>541</v>
      </c>
      <c r="AA163" s="33" t="s">
        <v>488</v>
      </c>
      <c r="AB163" s="44" t="s">
        <v>475</v>
      </c>
      <c r="AC163" s="44" t="s">
        <v>491</v>
      </c>
      <c r="AD163" s="44" t="s">
        <v>191</v>
      </c>
      <c r="AE163" s="1">
        <v>315</v>
      </c>
    </row>
    <row r="164" spans="1:31" hidden="1">
      <c r="A164" s="15" t="s">
        <v>545</v>
      </c>
      <c r="B164" s="15" t="s">
        <v>176</v>
      </c>
      <c r="C164" s="20" t="s">
        <v>90</v>
      </c>
      <c r="D164" s="4" t="s">
        <v>24</v>
      </c>
      <c r="E164" s="4" t="s">
        <v>25</v>
      </c>
      <c r="G164" s="15">
        <v>1</v>
      </c>
      <c r="H164" s="4" t="s">
        <v>471</v>
      </c>
      <c r="I164" s="4" t="s">
        <v>486</v>
      </c>
      <c r="J164" s="15" t="s">
        <v>367</v>
      </c>
      <c r="K164" s="15"/>
      <c r="M164" s="15" t="s">
        <v>482</v>
      </c>
      <c r="N164" s="15"/>
      <c r="O164" t="s">
        <v>90</v>
      </c>
      <c r="P164" s="44" t="s">
        <v>189</v>
      </c>
      <c r="Q164" s="46" t="s">
        <v>473</v>
      </c>
      <c r="U164" s="44" t="s">
        <v>177</v>
      </c>
      <c r="V164" s="47">
        <v>46217</v>
      </c>
      <c r="Z164" s="45" t="s">
        <v>541</v>
      </c>
      <c r="AA164" s="33" t="s">
        <v>488</v>
      </c>
      <c r="AB164" s="44" t="s">
        <v>475</v>
      </c>
      <c r="AC164" s="44" t="s">
        <v>491</v>
      </c>
      <c r="AD164" s="44" t="s">
        <v>191</v>
      </c>
      <c r="AE164" s="1">
        <v>315</v>
      </c>
    </row>
    <row r="165" spans="1:31" hidden="1">
      <c r="A165" s="15" t="s">
        <v>546</v>
      </c>
      <c r="B165" s="15" t="s">
        <v>176</v>
      </c>
      <c r="C165" s="20" t="s">
        <v>90</v>
      </c>
      <c r="D165" s="4" t="s">
        <v>24</v>
      </c>
      <c r="E165" s="4" t="s">
        <v>25</v>
      </c>
      <c r="G165" s="15">
        <v>1</v>
      </c>
      <c r="H165" s="4" t="s">
        <v>471</v>
      </c>
      <c r="I165" s="4" t="s">
        <v>486</v>
      </c>
      <c r="J165" s="15" t="s">
        <v>367</v>
      </c>
      <c r="K165" s="15"/>
      <c r="M165" s="15" t="s">
        <v>482</v>
      </c>
      <c r="N165" s="15"/>
      <c r="O165" t="s">
        <v>90</v>
      </c>
      <c r="P165" s="44" t="s">
        <v>189</v>
      </c>
      <c r="Q165" s="46" t="s">
        <v>473</v>
      </c>
      <c r="U165" s="44" t="s">
        <v>177</v>
      </c>
      <c r="V165" s="47">
        <v>46217</v>
      </c>
      <c r="Z165" s="45" t="s">
        <v>541</v>
      </c>
      <c r="AA165" s="33" t="s">
        <v>488</v>
      </c>
      <c r="AB165" s="44" t="s">
        <v>475</v>
      </c>
      <c r="AC165" s="44" t="s">
        <v>491</v>
      </c>
      <c r="AD165" s="44" t="s">
        <v>191</v>
      </c>
      <c r="AE165" s="1">
        <v>315</v>
      </c>
    </row>
    <row r="166" spans="1:31" hidden="1">
      <c r="A166" s="15" t="s">
        <v>547</v>
      </c>
      <c r="B166" s="15" t="s">
        <v>176</v>
      </c>
      <c r="C166" s="20" t="s">
        <v>90</v>
      </c>
      <c r="D166" s="4" t="s">
        <v>24</v>
      </c>
      <c r="E166" s="4" t="s">
        <v>25</v>
      </c>
      <c r="G166" s="15">
        <v>1</v>
      </c>
      <c r="H166" s="4" t="s">
        <v>471</v>
      </c>
      <c r="I166" s="4" t="s">
        <v>486</v>
      </c>
      <c r="J166" s="15" t="s">
        <v>367</v>
      </c>
      <c r="K166" s="15"/>
      <c r="M166" s="15" t="s">
        <v>482</v>
      </c>
      <c r="N166" s="15"/>
      <c r="O166" t="s">
        <v>90</v>
      </c>
      <c r="P166" s="44" t="s">
        <v>189</v>
      </c>
      <c r="Q166" s="46" t="s">
        <v>473</v>
      </c>
      <c r="U166" s="44" t="s">
        <v>177</v>
      </c>
      <c r="V166" s="47">
        <v>46217</v>
      </c>
      <c r="Z166" s="45" t="s">
        <v>548</v>
      </c>
      <c r="AA166" s="33" t="s">
        <v>488</v>
      </c>
      <c r="AB166" s="44" t="s">
        <v>475</v>
      </c>
      <c r="AC166" s="44" t="s">
        <v>491</v>
      </c>
      <c r="AD166" s="44" t="s">
        <v>191</v>
      </c>
      <c r="AE166" s="1">
        <v>315</v>
      </c>
    </row>
    <row r="167" spans="1:31" hidden="1">
      <c r="A167" s="15" t="s">
        <v>549</v>
      </c>
      <c r="B167" s="15" t="s">
        <v>176</v>
      </c>
      <c r="C167" s="20" t="s">
        <v>90</v>
      </c>
      <c r="D167" s="4" t="s">
        <v>24</v>
      </c>
      <c r="E167" s="4" t="s">
        <v>25</v>
      </c>
      <c r="G167" s="15">
        <v>1</v>
      </c>
      <c r="H167" s="4" t="s">
        <v>471</v>
      </c>
      <c r="I167" s="4" t="s">
        <v>550</v>
      </c>
      <c r="J167" s="15" t="s">
        <v>185</v>
      </c>
      <c r="K167" s="15"/>
      <c r="M167" s="15" t="s">
        <v>189</v>
      </c>
      <c r="N167" s="15"/>
      <c r="O167" s="4" t="s">
        <v>90</v>
      </c>
      <c r="P167" s="44" t="s">
        <v>189</v>
      </c>
      <c r="Q167" s="46" t="s">
        <v>473</v>
      </c>
      <c r="U167" s="44" t="s">
        <v>75</v>
      </c>
      <c r="Z167" s="59" t="s">
        <v>522</v>
      </c>
      <c r="AA167" s="33" t="s">
        <v>488</v>
      </c>
      <c r="AB167" s="44" t="s">
        <v>475</v>
      </c>
      <c r="AC167" s="44" t="s">
        <v>491</v>
      </c>
      <c r="AD167" s="44" t="s">
        <v>191</v>
      </c>
      <c r="AE167" s="1">
        <v>315</v>
      </c>
    </row>
    <row r="168" spans="1:31" hidden="1">
      <c r="A168" s="15" t="s">
        <v>551</v>
      </c>
      <c r="B168" s="15" t="s">
        <v>176</v>
      </c>
      <c r="C168" s="20" t="s">
        <v>90</v>
      </c>
      <c r="D168" s="4" t="s">
        <v>24</v>
      </c>
      <c r="E168" s="4" t="s">
        <v>25</v>
      </c>
      <c r="G168" s="15">
        <v>1</v>
      </c>
      <c r="H168" s="4" t="s">
        <v>471</v>
      </c>
      <c r="I168" s="4" t="s">
        <v>550</v>
      </c>
      <c r="J168" s="15" t="s">
        <v>185</v>
      </c>
      <c r="K168" s="15"/>
      <c r="M168" s="15" t="s">
        <v>189</v>
      </c>
      <c r="N168" s="15"/>
      <c r="O168" s="4" t="s">
        <v>90</v>
      </c>
      <c r="P168" s="44" t="s">
        <v>189</v>
      </c>
      <c r="Q168" s="46" t="s">
        <v>473</v>
      </c>
      <c r="U168" s="44" t="s">
        <v>75</v>
      </c>
      <c r="Z168" s="59" t="s">
        <v>522</v>
      </c>
      <c r="AA168" s="33" t="s">
        <v>488</v>
      </c>
      <c r="AB168" s="44" t="s">
        <v>475</v>
      </c>
      <c r="AC168" s="44" t="s">
        <v>491</v>
      </c>
      <c r="AD168" s="44" t="s">
        <v>191</v>
      </c>
      <c r="AE168" s="1">
        <v>315</v>
      </c>
    </row>
    <row r="169" spans="1:31" hidden="1">
      <c r="A169" s="15" t="s">
        <v>552</v>
      </c>
      <c r="B169" s="15" t="s">
        <v>176</v>
      </c>
      <c r="C169" s="20" t="s">
        <v>75</v>
      </c>
      <c r="D169" s="4" t="s">
        <v>24</v>
      </c>
      <c r="E169" s="4" t="s">
        <v>25</v>
      </c>
      <c r="G169" s="15">
        <v>1</v>
      </c>
      <c r="H169" s="4" t="s">
        <v>471</v>
      </c>
      <c r="I169" s="4" t="s">
        <v>553</v>
      </c>
      <c r="J169" s="15" t="s">
        <v>223</v>
      </c>
      <c r="M169" s="15" t="s">
        <v>187</v>
      </c>
      <c r="N169" s="15"/>
      <c r="O169" t="s">
        <v>90</v>
      </c>
      <c r="P169" s="44" t="s">
        <v>189</v>
      </c>
      <c r="Q169" s="46" t="s">
        <v>473</v>
      </c>
      <c r="R169" s="44" t="s">
        <v>189</v>
      </c>
      <c r="S169" s="44" t="s">
        <v>189</v>
      </c>
      <c r="T169" s="44" t="s">
        <v>189</v>
      </c>
      <c r="U169" s="44" t="s">
        <v>90</v>
      </c>
      <c r="V169" s="47">
        <v>46205</v>
      </c>
      <c r="W169" s="47">
        <v>46206</v>
      </c>
      <c r="Z169" s="45" t="s">
        <v>554</v>
      </c>
      <c r="AB169" s="44" t="s">
        <v>475</v>
      </c>
      <c r="AC169" s="44" t="s">
        <v>491</v>
      </c>
      <c r="AD169" s="44" t="s">
        <v>191</v>
      </c>
      <c r="AE169" s="1">
        <v>315</v>
      </c>
    </row>
    <row r="170" spans="1:31" hidden="1">
      <c r="A170" s="15" t="s">
        <v>555</v>
      </c>
      <c r="B170" s="15" t="s">
        <v>176</v>
      </c>
      <c r="C170" s="20" t="s">
        <v>75</v>
      </c>
      <c r="D170" s="4" t="s">
        <v>24</v>
      </c>
      <c r="E170" s="4" t="s">
        <v>25</v>
      </c>
      <c r="G170" s="15">
        <v>1</v>
      </c>
      <c r="H170" s="4" t="s">
        <v>471</v>
      </c>
      <c r="I170" s="4" t="s">
        <v>556</v>
      </c>
      <c r="J170" s="15" t="s">
        <v>223</v>
      </c>
      <c r="M170" s="15" t="s">
        <v>187</v>
      </c>
      <c r="N170" s="15"/>
      <c r="O170" t="s">
        <v>90</v>
      </c>
      <c r="P170" s="44" t="s">
        <v>189</v>
      </c>
      <c r="Q170" s="46" t="s">
        <v>473</v>
      </c>
      <c r="R170" s="44" t="s">
        <v>189</v>
      </c>
      <c r="S170" s="44" t="s">
        <v>189</v>
      </c>
      <c r="T170" s="44" t="s">
        <v>189</v>
      </c>
      <c r="U170" s="44" t="s">
        <v>90</v>
      </c>
      <c r="V170" s="47">
        <v>46205</v>
      </c>
      <c r="W170" s="47">
        <v>46206</v>
      </c>
      <c r="Z170" s="45" t="s">
        <v>554</v>
      </c>
      <c r="AB170" s="44" t="s">
        <v>475</v>
      </c>
      <c r="AC170" s="44" t="s">
        <v>491</v>
      </c>
      <c r="AD170" s="44" t="s">
        <v>191</v>
      </c>
      <c r="AE170" s="1">
        <v>315</v>
      </c>
    </row>
    <row r="171" spans="1:31" customFormat="1" hidden="1">
      <c r="A171" s="15" t="s">
        <v>557</v>
      </c>
      <c r="B171" s="15" t="s">
        <v>176</v>
      </c>
      <c r="C171" s="20" t="s">
        <v>75</v>
      </c>
      <c r="D171" s="4" t="s">
        <v>24</v>
      </c>
      <c r="E171" s="4" t="s">
        <v>25</v>
      </c>
      <c r="F171" s="4"/>
      <c r="G171" s="15">
        <v>1</v>
      </c>
      <c r="H171" s="4" t="s">
        <v>471</v>
      </c>
      <c r="I171" s="4" t="s">
        <v>556</v>
      </c>
      <c r="J171" s="15" t="s">
        <v>223</v>
      </c>
      <c r="K171" s="3"/>
      <c r="L171" s="45"/>
      <c r="M171" s="15" t="s">
        <v>187</v>
      </c>
      <c r="N171" s="15"/>
      <c r="O171" t="s">
        <v>90</v>
      </c>
      <c r="P171" s="44" t="s">
        <v>189</v>
      </c>
      <c r="Q171" s="46" t="s">
        <v>473</v>
      </c>
      <c r="R171" s="44" t="s">
        <v>189</v>
      </c>
      <c r="S171" s="44" t="s">
        <v>189</v>
      </c>
      <c r="T171" s="44" t="s">
        <v>189</v>
      </c>
      <c r="U171" s="44" t="s">
        <v>90</v>
      </c>
      <c r="V171" s="47">
        <v>46205</v>
      </c>
      <c r="W171" s="47">
        <v>46206</v>
      </c>
      <c r="X171" s="44"/>
      <c r="Y171" s="45"/>
      <c r="Z171" s="45" t="s">
        <v>554</v>
      </c>
      <c r="AA171" s="1"/>
      <c r="AB171" s="44" t="s">
        <v>475</v>
      </c>
      <c r="AC171" s="44" t="s">
        <v>491</v>
      </c>
      <c r="AD171" s="44" t="s">
        <v>191</v>
      </c>
      <c r="AE171" s="1">
        <v>315</v>
      </c>
    </row>
    <row r="172" spans="1:31" customFormat="1" hidden="1">
      <c r="A172" s="15" t="s">
        <v>558</v>
      </c>
      <c r="B172" s="15" t="s">
        <v>176</v>
      </c>
      <c r="C172" s="20" t="s">
        <v>177</v>
      </c>
      <c r="D172" s="4" t="s">
        <v>24</v>
      </c>
      <c r="E172" s="4" t="s">
        <v>25</v>
      </c>
      <c r="F172" s="4"/>
      <c r="G172" s="15">
        <v>1</v>
      </c>
      <c r="H172" s="4" t="s">
        <v>471</v>
      </c>
      <c r="I172" s="4" t="s">
        <v>559</v>
      </c>
      <c r="J172" s="15" t="s">
        <v>185</v>
      </c>
      <c r="K172" s="15"/>
      <c r="L172" s="45"/>
      <c r="M172" s="15" t="s">
        <v>187</v>
      </c>
      <c r="N172" s="15"/>
      <c r="O172" s="4" t="s">
        <v>90</v>
      </c>
      <c r="P172" s="44" t="s">
        <v>189</v>
      </c>
      <c r="Q172" s="46" t="s">
        <v>473</v>
      </c>
      <c r="R172" s="44" t="s">
        <v>189</v>
      </c>
      <c r="S172" s="44" t="s">
        <v>189</v>
      </c>
      <c r="T172" s="44" t="s">
        <v>189</v>
      </c>
      <c r="U172" s="44" t="s">
        <v>90</v>
      </c>
      <c r="V172" s="47">
        <v>46230</v>
      </c>
      <c r="W172" s="47">
        <v>46231</v>
      </c>
      <c r="X172" s="44"/>
      <c r="Y172" s="45"/>
      <c r="Z172" s="45" t="s">
        <v>483</v>
      </c>
      <c r="AA172" s="1" t="s">
        <v>315</v>
      </c>
      <c r="AB172" s="44" t="s">
        <v>475</v>
      </c>
      <c r="AC172" s="44" t="s">
        <v>491</v>
      </c>
      <c r="AD172" s="44" t="s">
        <v>191</v>
      </c>
      <c r="AE172" s="1">
        <v>315</v>
      </c>
    </row>
    <row r="173" spans="1:31" customFormat="1" hidden="1">
      <c r="A173" s="15" t="s">
        <v>560</v>
      </c>
      <c r="B173" s="15" t="s">
        <v>176</v>
      </c>
      <c r="C173" s="20" t="s">
        <v>177</v>
      </c>
      <c r="D173" s="4" t="s">
        <v>24</v>
      </c>
      <c r="E173" s="4" t="s">
        <v>25</v>
      </c>
      <c r="F173" s="4"/>
      <c r="G173" s="15">
        <v>1</v>
      </c>
      <c r="H173" s="4" t="s">
        <v>471</v>
      </c>
      <c r="I173" s="4" t="s">
        <v>559</v>
      </c>
      <c r="J173" s="15" t="s">
        <v>185</v>
      </c>
      <c r="K173" s="15"/>
      <c r="L173" s="45"/>
      <c r="M173" s="15" t="s">
        <v>187</v>
      </c>
      <c r="N173" s="15"/>
      <c r="O173" s="4" t="s">
        <v>90</v>
      </c>
      <c r="P173" s="44" t="s">
        <v>189</v>
      </c>
      <c r="Q173" s="46" t="s">
        <v>473</v>
      </c>
      <c r="R173" s="44" t="s">
        <v>189</v>
      </c>
      <c r="S173" s="44" t="s">
        <v>189</v>
      </c>
      <c r="T173" s="44" t="s">
        <v>189</v>
      </c>
      <c r="U173" s="44" t="s">
        <v>90</v>
      </c>
      <c r="V173" s="47">
        <v>46230</v>
      </c>
      <c r="W173" s="47">
        <v>46231</v>
      </c>
      <c r="X173" s="44"/>
      <c r="Y173" s="45"/>
      <c r="Z173" s="45" t="s">
        <v>483</v>
      </c>
      <c r="AA173" s="1" t="s">
        <v>315</v>
      </c>
      <c r="AB173" s="44" t="s">
        <v>475</v>
      </c>
      <c r="AC173" s="44" t="s">
        <v>491</v>
      </c>
      <c r="AD173" s="44" t="s">
        <v>191</v>
      </c>
      <c r="AE173" s="1">
        <v>315</v>
      </c>
    </row>
    <row r="174" spans="1:31" customFormat="1" hidden="1">
      <c r="A174" s="15" t="s">
        <v>561</v>
      </c>
      <c r="B174" s="15" t="s">
        <v>176</v>
      </c>
      <c r="C174" s="20" t="s">
        <v>75</v>
      </c>
      <c r="D174" s="4" t="s">
        <v>24</v>
      </c>
      <c r="E174" s="4" t="s">
        <v>25</v>
      </c>
      <c r="F174" s="4"/>
      <c r="G174" s="15">
        <v>1</v>
      </c>
      <c r="H174" s="4" t="s">
        <v>471</v>
      </c>
      <c r="I174" s="4" t="s">
        <v>562</v>
      </c>
      <c r="J174" s="15" t="s">
        <v>367</v>
      </c>
      <c r="K174" s="15"/>
      <c r="L174" s="45"/>
      <c r="M174" s="15" t="s">
        <v>187</v>
      </c>
      <c r="N174" s="15"/>
      <c r="O174" t="s">
        <v>90</v>
      </c>
      <c r="P174" s="44" t="s">
        <v>189</v>
      </c>
      <c r="Q174" s="46" t="s">
        <v>473</v>
      </c>
      <c r="R174" s="44"/>
      <c r="S174" s="44"/>
      <c r="T174" s="44"/>
      <c r="U174" s="44" t="s">
        <v>90</v>
      </c>
      <c r="V174" s="47">
        <v>46217</v>
      </c>
      <c r="W174" s="47">
        <v>46217</v>
      </c>
      <c r="X174" s="44"/>
      <c r="Y174" s="45"/>
      <c r="Z174" s="45" t="s">
        <v>479</v>
      </c>
      <c r="AA174" s="4"/>
      <c r="AB174" s="44" t="s">
        <v>475</v>
      </c>
      <c r="AC174" s="44" t="s">
        <v>491</v>
      </c>
      <c r="AD174" s="44" t="s">
        <v>191</v>
      </c>
      <c r="AE174" s="1">
        <v>315</v>
      </c>
    </row>
    <row r="175" spans="1:31" customFormat="1" hidden="1">
      <c r="A175" s="15" t="s">
        <v>563</v>
      </c>
      <c r="B175" s="15" t="s">
        <v>176</v>
      </c>
      <c r="C175" s="20" t="s">
        <v>177</v>
      </c>
      <c r="D175" s="4" t="s">
        <v>24</v>
      </c>
      <c r="E175" s="4" t="s">
        <v>25</v>
      </c>
      <c r="F175" s="4"/>
      <c r="G175" s="15">
        <v>1</v>
      </c>
      <c r="H175" s="4" t="s">
        <v>471</v>
      </c>
      <c r="I175" s="4" t="s">
        <v>564</v>
      </c>
      <c r="J175" s="15" t="s">
        <v>185</v>
      </c>
      <c r="K175" s="15"/>
      <c r="L175" s="45"/>
      <c r="M175" s="15" t="s">
        <v>187</v>
      </c>
      <c r="N175" s="15"/>
      <c r="O175" s="4" t="s">
        <v>90</v>
      </c>
      <c r="P175" s="44" t="s">
        <v>189</v>
      </c>
      <c r="Q175" s="46" t="s">
        <v>473</v>
      </c>
      <c r="R175" s="44" t="s">
        <v>189</v>
      </c>
      <c r="S175" s="44" t="s">
        <v>189</v>
      </c>
      <c r="T175" s="44" t="s">
        <v>189</v>
      </c>
      <c r="U175" s="44" t="s">
        <v>90</v>
      </c>
      <c r="V175" s="47">
        <v>46226</v>
      </c>
      <c r="W175" s="47">
        <v>46228</v>
      </c>
      <c r="X175" s="44"/>
      <c r="Y175" s="45"/>
      <c r="Z175" s="45" t="s">
        <v>483</v>
      </c>
      <c r="AA175" s="1" t="s">
        <v>315</v>
      </c>
      <c r="AB175" s="44" t="s">
        <v>475</v>
      </c>
      <c r="AC175" s="44" t="s">
        <v>565</v>
      </c>
      <c r="AD175" s="44" t="s">
        <v>220</v>
      </c>
      <c r="AE175" s="1">
        <v>315</v>
      </c>
    </row>
    <row r="176" spans="1:31" customFormat="1" hidden="1">
      <c r="A176" s="15" t="s">
        <v>566</v>
      </c>
      <c r="B176" s="15" t="s">
        <v>176</v>
      </c>
      <c r="C176" s="20" t="s">
        <v>177</v>
      </c>
      <c r="D176" s="4" t="s">
        <v>24</v>
      </c>
      <c r="E176" s="4" t="s">
        <v>25</v>
      </c>
      <c r="F176" s="4"/>
      <c r="G176" s="15">
        <v>1</v>
      </c>
      <c r="H176" s="4" t="s">
        <v>471</v>
      </c>
      <c r="I176" s="4" t="s">
        <v>564</v>
      </c>
      <c r="J176" s="15" t="s">
        <v>185</v>
      </c>
      <c r="K176" s="15"/>
      <c r="L176" s="45"/>
      <c r="M176" s="15" t="s">
        <v>187</v>
      </c>
      <c r="N176" s="15"/>
      <c r="O176" s="4" t="s">
        <v>90</v>
      </c>
      <c r="P176" s="44" t="s">
        <v>189</v>
      </c>
      <c r="Q176" s="46" t="s">
        <v>473</v>
      </c>
      <c r="R176" s="44" t="s">
        <v>189</v>
      </c>
      <c r="S176" s="44" t="s">
        <v>189</v>
      </c>
      <c r="T176" s="44" t="s">
        <v>189</v>
      </c>
      <c r="U176" s="44" t="s">
        <v>90</v>
      </c>
      <c r="V176" s="47">
        <v>46226</v>
      </c>
      <c r="W176" s="47">
        <v>46228</v>
      </c>
      <c r="X176" s="44"/>
      <c r="Y176" s="45"/>
      <c r="Z176" s="45" t="s">
        <v>483</v>
      </c>
      <c r="AA176" s="1" t="s">
        <v>315</v>
      </c>
      <c r="AB176" s="44" t="s">
        <v>475</v>
      </c>
      <c r="AC176" s="44" t="s">
        <v>565</v>
      </c>
      <c r="AD176" s="44" t="s">
        <v>220</v>
      </c>
      <c r="AE176" s="1">
        <v>315</v>
      </c>
    </row>
    <row r="177" spans="1:31" hidden="1">
      <c r="A177" s="15" t="s">
        <v>567</v>
      </c>
      <c r="B177" s="15" t="s">
        <v>176</v>
      </c>
      <c r="C177" s="20" t="s">
        <v>177</v>
      </c>
      <c r="D177" s="4" t="s">
        <v>24</v>
      </c>
      <c r="E177" s="4" t="s">
        <v>25</v>
      </c>
      <c r="G177" s="15">
        <v>1</v>
      </c>
      <c r="H177" s="4" t="s">
        <v>471</v>
      </c>
      <c r="I177" s="4" t="s">
        <v>564</v>
      </c>
      <c r="J177" s="15" t="s">
        <v>185</v>
      </c>
      <c r="K177" s="15"/>
      <c r="M177" s="15" t="s">
        <v>187</v>
      </c>
      <c r="N177" s="15"/>
      <c r="O177" s="4" t="s">
        <v>90</v>
      </c>
      <c r="P177" s="44" t="s">
        <v>189</v>
      </c>
      <c r="Q177" s="46" t="s">
        <v>473</v>
      </c>
      <c r="R177" s="44" t="s">
        <v>189</v>
      </c>
      <c r="S177" s="44" t="s">
        <v>189</v>
      </c>
      <c r="T177" s="44" t="s">
        <v>189</v>
      </c>
      <c r="U177" s="44" t="s">
        <v>90</v>
      </c>
      <c r="V177" s="47">
        <v>46226</v>
      </c>
      <c r="W177" s="47">
        <v>46228</v>
      </c>
      <c r="Z177" s="45" t="s">
        <v>483</v>
      </c>
      <c r="AA177" s="1" t="s">
        <v>315</v>
      </c>
      <c r="AB177" s="44" t="s">
        <v>475</v>
      </c>
      <c r="AC177" s="44" t="s">
        <v>565</v>
      </c>
      <c r="AD177" s="44" t="s">
        <v>220</v>
      </c>
      <c r="AE177" s="1">
        <v>315</v>
      </c>
    </row>
    <row r="178" spans="1:31" hidden="1">
      <c r="A178" s="15" t="s">
        <v>568</v>
      </c>
      <c r="B178" s="15" t="s">
        <v>176</v>
      </c>
      <c r="C178" s="20" t="s">
        <v>177</v>
      </c>
      <c r="D178" s="4" t="s">
        <v>24</v>
      </c>
      <c r="E178" s="4" t="s">
        <v>25</v>
      </c>
      <c r="G178" s="15">
        <v>1</v>
      </c>
      <c r="H178" s="4" t="s">
        <v>471</v>
      </c>
      <c r="I178" s="4" t="s">
        <v>564</v>
      </c>
      <c r="J178" s="15" t="s">
        <v>185</v>
      </c>
      <c r="K178" s="15"/>
      <c r="M178" s="15" t="s">
        <v>187</v>
      </c>
      <c r="N178" s="15"/>
      <c r="O178" s="4" t="s">
        <v>90</v>
      </c>
      <c r="P178" s="44" t="s">
        <v>189</v>
      </c>
      <c r="Q178" s="46" t="s">
        <v>473</v>
      </c>
      <c r="R178" s="44" t="s">
        <v>189</v>
      </c>
      <c r="S178" s="44" t="s">
        <v>189</v>
      </c>
      <c r="T178" s="44" t="s">
        <v>189</v>
      </c>
      <c r="U178" s="44" t="s">
        <v>90</v>
      </c>
      <c r="V178" s="47">
        <v>46226</v>
      </c>
      <c r="W178" s="47">
        <v>46228</v>
      </c>
      <c r="Z178" s="45" t="s">
        <v>483</v>
      </c>
      <c r="AA178" s="1" t="s">
        <v>315</v>
      </c>
      <c r="AB178" s="44" t="s">
        <v>475</v>
      </c>
      <c r="AC178" s="44" t="s">
        <v>565</v>
      </c>
      <c r="AD178" s="44" t="s">
        <v>220</v>
      </c>
      <c r="AE178" s="1">
        <v>315</v>
      </c>
    </row>
    <row r="179" spans="1:31" customFormat="1" hidden="1">
      <c r="A179" s="15" t="s">
        <v>569</v>
      </c>
      <c r="B179" s="15" t="s">
        <v>176</v>
      </c>
      <c r="C179" s="20" t="s">
        <v>177</v>
      </c>
      <c r="D179" s="4" t="s">
        <v>24</v>
      </c>
      <c r="E179" s="4" t="s">
        <v>25</v>
      </c>
      <c r="F179" s="4"/>
      <c r="G179" s="15">
        <v>1</v>
      </c>
      <c r="H179" s="4" t="s">
        <v>471</v>
      </c>
      <c r="I179" s="4" t="s">
        <v>564</v>
      </c>
      <c r="J179" s="15" t="s">
        <v>185</v>
      </c>
      <c r="K179" s="15"/>
      <c r="L179" s="45"/>
      <c r="M179" s="15" t="s">
        <v>187</v>
      </c>
      <c r="N179" s="15"/>
      <c r="O179" s="4" t="s">
        <v>90</v>
      </c>
      <c r="P179" s="44" t="s">
        <v>189</v>
      </c>
      <c r="Q179" s="46" t="s">
        <v>473</v>
      </c>
      <c r="R179" s="44" t="s">
        <v>189</v>
      </c>
      <c r="S179" s="44" t="s">
        <v>189</v>
      </c>
      <c r="T179" s="44" t="s">
        <v>189</v>
      </c>
      <c r="U179" s="44" t="s">
        <v>90</v>
      </c>
      <c r="V179" s="47">
        <v>46226</v>
      </c>
      <c r="W179" s="47">
        <v>46228</v>
      </c>
      <c r="X179" s="44"/>
      <c r="Y179" s="45"/>
      <c r="Z179" s="45" t="s">
        <v>483</v>
      </c>
      <c r="AA179" s="1" t="s">
        <v>315</v>
      </c>
      <c r="AB179" s="44" t="s">
        <v>475</v>
      </c>
      <c r="AC179" s="44" t="s">
        <v>565</v>
      </c>
      <c r="AD179" s="44" t="s">
        <v>220</v>
      </c>
      <c r="AE179" s="1">
        <v>315</v>
      </c>
    </row>
    <row r="180" spans="1:31" customFormat="1" hidden="1">
      <c r="A180" s="15" t="s">
        <v>570</v>
      </c>
      <c r="B180" s="15" t="s">
        <v>571</v>
      </c>
      <c r="C180" s="4" t="s">
        <v>61</v>
      </c>
      <c r="D180" s="4" t="s">
        <v>24</v>
      </c>
      <c r="E180" s="4" t="s">
        <v>25</v>
      </c>
      <c r="F180" s="4"/>
      <c r="G180" s="15">
        <v>1</v>
      </c>
      <c r="H180" s="4" t="s">
        <v>572</v>
      </c>
      <c r="I180" s="4" t="s">
        <v>573</v>
      </c>
      <c r="J180" s="15" t="s">
        <v>223</v>
      </c>
      <c r="K180" s="3"/>
      <c r="L180" s="45"/>
      <c r="M180" s="31" t="s">
        <v>574</v>
      </c>
      <c r="N180" s="31"/>
      <c r="O180" t="s">
        <v>61</v>
      </c>
      <c r="P180" s="44" t="s">
        <v>214</v>
      </c>
      <c r="Q180" s="46" t="s">
        <v>215</v>
      </c>
      <c r="R180" s="44" t="s">
        <v>189</v>
      </c>
      <c r="S180" s="44" t="s">
        <v>189</v>
      </c>
      <c r="T180" s="44" t="s">
        <v>189</v>
      </c>
      <c r="U180" s="44" t="s">
        <v>211</v>
      </c>
      <c r="V180" s="47">
        <v>46208</v>
      </c>
      <c r="W180" s="44">
        <v>28.2</v>
      </c>
      <c r="X180" s="44" t="s">
        <v>368</v>
      </c>
      <c r="Y180" s="45"/>
      <c r="Z180" s="45" t="s">
        <v>370</v>
      </c>
      <c r="AA180" s="1" t="s">
        <v>371</v>
      </c>
      <c r="AB180" s="44"/>
      <c r="AC180" s="44" t="s">
        <v>575</v>
      </c>
      <c r="AD180" s="44" t="s">
        <v>220</v>
      </c>
      <c r="AE180" s="1">
        <v>372</v>
      </c>
    </row>
    <row r="181" spans="1:31" customFormat="1" hidden="1">
      <c r="A181" s="15" t="s">
        <v>576</v>
      </c>
      <c r="B181" s="15" t="s">
        <v>571</v>
      </c>
      <c r="C181" s="4" t="s">
        <v>211</v>
      </c>
      <c r="D181" s="4" t="s">
        <v>24</v>
      </c>
      <c r="E181" s="4" t="s">
        <v>25</v>
      </c>
      <c r="F181" s="4"/>
      <c r="G181" s="15">
        <v>1</v>
      </c>
      <c r="H181" s="4" t="s">
        <v>572</v>
      </c>
      <c r="I181" s="4" t="s">
        <v>577</v>
      </c>
      <c r="J181" s="15" t="s">
        <v>367</v>
      </c>
      <c r="K181" s="15"/>
      <c r="L181" s="45"/>
      <c r="M181" s="31" t="s">
        <v>574</v>
      </c>
      <c r="N181" s="31"/>
      <c r="O181" t="s">
        <v>61</v>
      </c>
      <c r="P181" s="44" t="s">
        <v>214</v>
      </c>
      <c r="Q181" s="46" t="s">
        <v>215</v>
      </c>
      <c r="R181" s="44" t="s">
        <v>189</v>
      </c>
      <c r="S181" s="44" t="s">
        <v>189</v>
      </c>
      <c r="T181" s="44" t="s">
        <v>189</v>
      </c>
      <c r="U181" s="44" t="s">
        <v>61</v>
      </c>
      <c r="V181" s="44" t="s">
        <v>241</v>
      </c>
      <c r="W181" s="44" t="s">
        <v>241</v>
      </c>
      <c r="X181" s="44"/>
      <c r="Y181" s="45"/>
      <c r="Z181" s="45" t="s">
        <v>228</v>
      </c>
      <c r="AA181" s="4"/>
      <c r="AB181" s="44"/>
      <c r="AC181" s="44" t="s">
        <v>575</v>
      </c>
      <c r="AD181" s="44" t="s">
        <v>220</v>
      </c>
      <c r="AE181" s="1">
        <v>372</v>
      </c>
    </row>
    <row r="182" spans="1:31" customFormat="1" hidden="1">
      <c r="A182" s="15" t="s">
        <v>578</v>
      </c>
      <c r="B182" s="15" t="s">
        <v>571</v>
      </c>
      <c r="C182" s="4" t="s">
        <v>61</v>
      </c>
      <c r="D182" s="4" t="s">
        <v>24</v>
      </c>
      <c r="E182" s="4" t="s">
        <v>25</v>
      </c>
      <c r="F182" s="4"/>
      <c r="G182" s="15">
        <v>1</v>
      </c>
      <c r="H182" s="4" t="s">
        <v>572</v>
      </c>
      <c r="I182" s="4" t="s">
        <v>579</v>
      </c>
      <c r="J182" s="15" t="s">
        <v>367</v>
      </c>
      <c r="K182" s="15"/>
      <c r="L182" s="45"/>
      <c r="M182" s="31" t="s">
        <v>574</v>
      </c>
      <c r="N182" s="31"/>
      <c r="O182" t="s">
        <v>61</v>
      </c>
      <c r="P182" s="44" t="s">
        <v>214</v>
      </c>
      <c r="Q182" s="46" t="s">
        <v>215</v>
      </c>
      <c r="R182" s="44" t="s">
        <v>189</v>
      </c>
      <c r="S182" s="44" t="s">
        <v>189</v>
      </c>
      <c r="T182" s="44" t="s">
        <v>189</v>
      </c>
      <c r="U182" s="44" t="s">
        <v>211</v>
      </c>
      <c r="V182" s="44" t="s">
        <v>368</v>
      </c>
      <c r="W182" s="44" t="s">
        <v>369</v>
      </c>
      <c r="X182" s="44" t="s">
        <v>248</v>
      </c>
      <c r="Y182" s="45"/>
      <c r="Z182" s="45" t="s">
        <v>580</v>
      </c>
      <c r="AA182" s="1" t="s">
        <v>371</v>
      </c>
      <c r="AB182" s="121"/>
      <c r="AC182" s="121" t="s">
        <v>581</v>
      </c>
      <c r="AD182" s="121" t="s">
        <v>191</v>
      </c>
      <c r="AE182" s="1">
        <v>372</v>
      </c>
    </row>
    <row r="183" spans="1:31" customFormat="1" hidden="1">
      <c r="A183" s="15" t="s">
        <v>582</v>
      </c>
      <c r="B183" s="15" t="s">
        <v>571</v>
      </c>
      <c r="C183" s="4" t="s">
        <v>61</v>
      </c>
      <c r="D183" s="4" t="s">
        <v>24</v>
      </c>
      <c r="E183" s="4" t="s">
        <v>25</v>
      </c>
      <c r="F183" s="4"/>
      <c r="G183" s="15">
        <v>1</v>
      </c>
      <c r="H183" s="4" t="s">
        <v>572</v>
      </c>
      <c r="I183" s="4" t="s">
        <v>583</v>
      </c>
      <c r="J183" s="15" t="s">
        <v>367</v>
      </c>
      <c r="K183" s="15"/>
      <c r="L183" s="45"/>
      <c r="M183" s="31" t="s">
        <v>574</v>
      </c>
      <c r="N183" s="31"/>
      <c r="O183" t="s">
        <v>61</v>
      </c>
      <c r="P183" s="44" t="s">
        <v>214</v>
      </c>
      <c r="Q183" s="46" t="s">
        <v>215</v>
      </c>
      <c r="R183" s="44" t="s">
        <v>189</v>
      </c>
      <c r="S183" s="44" t="s">
        <v>189</v>
      </c>
      <c r="T183" s="44" t="s">
        <v>189</v>
      </c>
      <c r="U183" s="44" t="s">
        <v>211</v>
      </c>
      <c r="V183" s="44" t="s">
        <v>368</v>
      </c>
      <c r="W183" s="44" t="s">
        <v>369</v>
      </c>
      <c r="X183" s="44" t="s">
        <v>248</v>
      </c>
      <c r="Y183" s="45"/>
      <c r="Z183" s="45" t="s">
        <v>370</v>
      </c>
      <c r="AA183" s="1" t="s">
        <v>371</v>
      </c>
      <c r="AB183" s="44"/>
      <c r="AC183" s="121" t="s">
        <v>581</v>
      </c>
      <c r="AD183" s="121" t="s">
        <v>191</v>
      </c>
      <c r="AE183" s="1">
        <v>372</v>
      </c>
    </row>
    <row r="184" spans="1:31" hidden="1">
      <c r="A184" s="15" t="s">
        <v>584</v>
      </c>
      <c r="B184" s="15" t="s">
        <v>571</v>
      </c>
      <c r="C184" s="4" t="s">
        <v>61</v>
      </c>
      <c r="D184" s="4" t="s">
        <v>24</v>
      </c>
      <c r="E184" s="4" t="s">
        <v>25</v>
      </c>
      <c r="G184" s="15">
        <v>1</v>
      </c>
      <c r="H184" s="4" t="s">
        <v>572</v>
      </c>
      <c r="I184" s="4" t="s">
        <v>573</v>
      </c>
      <c r="J184" s="15" t="s">
        <v>223</v>
      </c>
      <c r="M184" s="31" t="s">
        <v>574</v>
      </c>
      <c r="O184" t="s">
        <v>61</v>
      </c>
      <c r="P184" s="44" t="s">
        <v>214</v>
      </c>
      <c r="Q184" s="46" t="s">
        <v>215</v>
      </c>
      <c r="R184" s="44" t="s">
        <v>189</v>
      </c>
      <c r="S184" s="44" t="s">
        <v>189</v>
      </c>
      <c r="T184" s="44" t="s">
        <v>189</v>
      </c>
      <c r="U184" s="44" t="s">
        <v>211</v>
      </c>
      <c r="V184" s="47">
        <v>46208</v>
      </c>
      <c r="W184" s="44">
        <v>28.2</v>
      </c>
      <c r="X184" s="44" t="s">
        <v>368</v>
      </c>
      <c r="Z184" s="45" t="s">
        <v>370</v>
      </c>
      <c r="AA184" s="1" t="s">
        <v>371</v>
      </c>
      <c r="AC184" s="44" t="s">
        <v>575</v>
      </c>
      <c r="AD184" s="44" t="s">
        <v>220</v>
      </c>
      <c r="AE184" s="1">
        <v>372</v>
      </c>
    </row>
    <row r="185" spans="1:31" hidden="1">
      <c r="A185" s="15" t="s">
        <v>585</v>
      </c>
      <c r="B185" s="15" t="s">
        <v>571</v>
      </c>
      <c r="C185" s="4" t="s">
        <v>211</v>
      </c>
      <c r="D185" s="4" t="s">
        <v>24</v>
      </c>
      <c r="E185" s="4" t="s">
        <v>25</v>
      </c>
      <c r="G185" s="15">
        <v>1</v>
      </c>
      <c r="H185" s="4" t="s">
        <v>572</v>
      </c>
      <c r="I185" s="4" t="s">
        <v>577</v>
      </c>
      <c r="J185" s="15" t="s">
        <v>367</v>
      </c>
      <c r="K185" s="15"/>
      <c r="M185" s="31" t="s">
        <v>574</v>
      </c>
      <c r="O185" t="s">
        <v>61</v>
      </c>
      <c r="P185" s="44" t="s">
        <v>214</v>
      </c>
      <c r="Q185" s="46" t="s">
        <v>215</v>
      </c>
      <c r="R185" s="44" t="s">
        <v>189</v>
      </c>
      <c r="S185" s="44" t="s">
        <v>189</v>
      </c>
      <c r="T185" s="44" t="s">
        <v>189</v>
      </c>
      <c r="U185" s="44" t="s">
        <v>61</v>
      </c>
      <c r="V185" s="44" t="s">
        <v>241</v>
      </c>
      <c r="W185" s="44" t="s">
        <v>241</v>
      </c>
      <c r="Z185" s="45" t="s">
        <v>228</v>
      </c>
      <c r="AA185" s="4"/>
      <c r="AC185" s="44" t="s">
        <v>575</v>
      </c>
      <c r="AD185" s="44" t="s">
        <v>220</v>
      </c>
      <c r="AE185" s="1">
        <v>372</v>
      </c>
    </row>
    <row r="186" spans="1:31" customFormat="1" hidden="1">
      <c r="A186" s="15" t="s">
        <v>586</v>
      </c>
      <c r="B186" s="15" t="s">
        <v>571</v>
      </c>
      <c r="C186" s="4" t="s">
        <v>61</v>
      </c>
      <c r="D186" s="4" t="s">
        <v>24</v>
      </c>
      <c r="E186" s="4" t="s">
        <v>25</v>
      </c>
      <c r="F186" s="4"/>
      <c r="G186" s="15">
        <v>1</v>
      </c>
      <c r="H186" s="4" t="s">
        <v>572</v>
      </c>
      <c r="I186" s="4" t="s">
        <v>579</v>
      </c>
      <c r="J186" s="15" t="s">
        <v>367</v>
      </c>
      <c r="K186" s="15"/>
      <c r="L186" s="45"/>
      <c r="M186" s="31" t="s">
        <v>574</v>
      </c>
      <c r="N186" s="31"/>
      <c r="O186" t="s">
        <v>61</v>
      </c>
      <c r="P186" s="44" t="s">
        <v>214</v>
      </c>
      <c r="Q186" s="46" t="s">
        <v>215</v>
      </c>
      <c r="R186" s="44" t="s">
        <v>189</v>
      </c>
      <c r="S186" s="44" t="s">
        <v>189</v>
      </c>
      <c r="T186" s="44" t="s">
        <v>189</v>
      </c>
      <c r="U186" s="44" t="s">
        <v>211</v>
      </c>
      <c r="V186" s="44" t="s">
        <v>368</v>
      </c>
      <c r="W186" s="44" t="s">
        <v>369</v>
      </c>
      <c r="X186" s="44" t="s">
        <v>248</v>
      </c>
      <c r="Y186" s="45"/>
      <c r="Z186" s="45" t="s">
        <v>370</v>
      </c>
      <c r="AA186" s="1" t="s">
        <v>371</v>
      </c>
      <c r="AB186" s="121"/>
      <c r="AC186" s="121" t="s">
        <v>581</v>
      </c>
      <c r="AD186" s="121" t="s">
        <v>191</v>
      </c>
      <c r="AE186" s="1">
        <v>372</v>
      </c>
    </row>
    <row r="187" spans="1:31" customFormat="1" hidden="1">
      <c r="A187" s="15" t="s">
        <v>587</v>
      </c>
      <c r="B187" s="15" t="s">
        <v>571</v>
      </c>
      <c r="C187" s="4" t="s">
        <v>61</v>
      </c>
      <c r="D187" s="4" t="s">
        <v>24</v>
      </c>
      <c r="E187" s="4" t="s">
        <v>25</v>
      </c>
      <c r="F187" s="4"/>
      <c r="G187" s="15">
        <v>1</v>
      </c>
      <c r="H187" s="4" t="s">
        <v>572</v>
      </c>
      <c r="I187" s="4" t="s">
        <v>583</v>
      </c>
      <c r="J187" s="15" t="s">
        <v>367</v>
      </c>
      <c r="K187" s="15"/>
      <c r="L187" s="45"/>
      <c r="M187" s="31" t="s">
        <v>574</v>
      </c>
      <c r="N187" s="31"/>
      <c r="O187" t="s">
        <v>61</v>
      </c>
      <c r="P187" s="44" t="s">
        <v>214</v>
      </c>
      <c r="Q187" s="46" t="s">
        <v>215</v>
      </c>
      <c r="R187" s="44" t="s">
        <v>189</v>
      </c>
      <c r="S187" s="44" t="s">
        <v>189</v>
      </c>
      <c r="T187" s="44" t="s">
        <v>189</v>
      </c>
      <c r="U187" s="44" t="s">
        <v>211</v>
      </c>
      <c r="V187" s="44" t="s">
        <v>368</v>
      </c>
      <c r="W187" s="44" t="s">
        <v>369</v>
      </c>
      <c r="X187" s="44" t="s">
        <v>248</v>
      </c>
      <c r="Y187" s="45"/>
      <c r="Z187" s="45" t="s">
        <v>370</v>
      </c>
      <c r="AA187" s="1" t="s">
        <v>371</v>
      </c>
      <c r="AB187" s="44"/>
      <c r="AC187" s="121" t="s">
        <v>581</v>
      </c>
      <c r="AD187" s="121" t="s">
        <v>191</v>
      </c>
      <c r="AE187" s="1">
        <v>372</v>
      </c>
    </row>
    <row r="188" spans="1:31" customFormat="1" hidden="1">
      <c r="A188" s="15" t="s">
        <v>588</v>
      </c>
      <c r="B188" s="15" t="s">
        <v>571</v>
      </c>
      <c r="C188" s="4" t="s">
        <v>61</v>
      </c>
      <c r="D188" s="4" t="s">
        <v>24</v>
      </c>
      <c r="E188" s="4" t="s">
        <v>25</v>
      </c>
      <c r="F188" s="4"/>
      <c r="G188" s="15">
        <v>1</v>
      </c>
      <c r="H188" s="4" t="s">
        <v>572</v>
      </c>
      <c r="I188" s="4" t="s">
        <v>589</v>
      </c>
      <c r="J188" s="15" t="s">
        <v>367</v>
      </c>
      <c r="K188" s="15"/>
      <c r="L188" s="45"/>
      <c r="M188" s="31" t="s">
        <v>574</v>
      </c>
      <c r="N188" s="31"/>
      <c r="O188" t="s">
        <v>61</v>
      </c>
      <c r="P188" s="44" t="s">
        <v>214</v>
      </c>
      <c r="Q188" s="46" t="s">
        <v>215</v>
      </c>
      <c r="R188" s="44" t="s">
        <v>189</v>
      </c>
      <c r="S188" s="44" t="s">
        <v>189</v>
      </c>
      <c r="T188" s="44" t="s">
        <v>189</v>
      </c>
      <c r="U188" s="44" t="s">
        <v>211</v>
      </c>
      <c r="V188" s="44" t="s">
        <v>368</v>
      </c>
      <c r="W188" s="44" t="s">
        <v>369</v>
      </c>
      <c r="X188" s="44" t="s">
        <v>248</v>
      </c>
      <c r="Y188" s="45"/>
      <c r="Z188" s="45" t="s">
        <v>370</v>
      </c>
      <c r="AA188" s="1" t="s">
        <v>371</v>
      </c>
      <c r="AB188" s="44"/>
      <c r="AC188" s="44" t="s">
        <v>581</v>
      </c>
      <c r="AD188" s="44" t="s">
        <v>191</v>
      </c>
      <c r="AE188" s="1">
        <v>372</v>
      </c>
    </row>
    <row r="189" spans="1:31" customFormat="1" hidden="1">
      <c r="A189" s="15" t="s">
        <v>590</v>
      </c>
      <c r="B189" s="15" t="s">
        <v>571</v>
      </c>
      <c r="C189" s="4" t="s">
        <v>61</v>
      </c>
      <c r="D189" s="4" t="s">
        <v>24</v>
      </c>
      <c r="E189" s="4" t="s">
        <v>25</v>
      </c>
      <c r="F189" s="4"/>
      <c r="G189" s="15">
        <v>1</v>
      </c>
      <c r="H189" s="4" t="s">
        <v>572</v>
      </c>
      <c r="I189" s="4" t="s">
        <v>591</v>
      </c>
      <c r="J189" s="15" t="s">
        <v>223</v>
      </c>
      <c r="K189" s="3"/>
      <c r="L189" s="45"/>
      <c r="M189" s="31" t="s">
        <v>574</v>
      </c>
      <c r="N189" s="31"/>
      <c r="O189" t="s">
        <v>61</v>
      </c>
      <c r="P189" s="44" t="s">
        <v>214</v>
      </c>
      <c r="Q189" s="46" t="s">
        <v>215</v>
      </c>
      <c r="R189" s="44" t="s">
        <v>189</v>
      </c>
      <c r="S189" s="44" t="s">
        <v>189</v>
      </c>
      <c r="T189" s="44" t="s">
        <v>189</v>
      </c>
      <c r="U189" s="44" t="s">
        <v>211</v>
      </c>
      <c r="V189" s="47">
        <v>46208</v>
      </c>
      <c r="W189" s="44">
        <v>28.2</v>
      </c>
      <c r="X189" s="44" t="s">
        <v>368</v>
      </c>
      <c r="Y189" s="45"/>
      <c r="Z189" s="45" t="s">
        <v>370</v>
      </c>
      <c r="AA189" s="1" t="s">
        <v>371</v>
      </c>
      <c r="AB189" s="44"/>
      <c r="AC189" s="44" t="s">
        <v>581</v>
      </c>
      <c r="AD189" s="44" t="s">
        <v>191</v>
      </c>
      <c r="AE189" s="1">
        <v>372</v>
      </c>
    </row>
    <row r="190" spans="1:31" hidden="1">
      <c r="A190" s="15" t="s">
        <v>592</v>
      </c>
      <c r="B190" s="15" t="s">
        <v>571</v>
      </c>
      <c r="C190" s="4" t="s">
        <v>61</v>
      </c>
      <c r="D190" s="4" t="s">
        <v>24</v>
      </c>
      <c r="E190" s="4" t="s">
        <v>25</v>
      </c>
      <c r="G190" s="15">
        <v>1</v>
      </c>
      <c r="H190" s="4" t="s">
        <v>572</v>
      </c>
      <c r="I190" s="4" t="s">
        <v>593</v>
      </c>
      <c r="J190" s="15" t="s">
        <v>223</v>
      </c>
      <c r="M190" s="31" t="s">
        <v>574</v>
      </c>
      <c r="O190" t="s">
        <v>61</v>
      </c>
      <c r="P190" s="44" t="s">
        <v>214</v>
      </c>
      <c r="Q190" s="46" t="s">
        <v>215</v>
      </c>
      <c r="R190" s="44" t="s">
        <v>189</v>
      </c>
      <c r="S190" s="44" t="s">
        <v>189</v>
      </c>
      <c r="T190" s="44" t="s">
        <v>189</v>
      </c>
      <c r="U190" s="44" t="s">
        <v>211</v>
      </c>
      <c r="V190" s="47">
        <v>46208</v>
      </c>
      <c r="W190" s="44">
        <v>28.2</v>
      </c>
      <c r="X190" s="44" t="s">
        <v>368</v>
      </c>
      <c r="Z190" s="45" t="s">
        <v>370</v>
      </c>
      <c r="AA190" s="1" t="s">
        <v>371</v>
      </c>
      <c r="AB190" s="121"/>
      <c r="AC190" s="121" t="s">
        <v>581</v>
      </c>
      <c r="AD190" s="121" t="s">
        <v>191</v>
      </c>
      <c r="AE190" s="1">
        <v>372</v>
      </c>
    </row>
    <row r="191" spans="1:31" hidden="1">
      <c r="A191" s="15" t="s">
        <v>594</v>
      </c>
      <c r="B191" s="15" t="s">
        <v>571</v>
      </c>
      <c r="C191" s="4" t="s">
        <v>211</v>
      </c>
      <c r="D191" s="4" t="s">
        <v>24</v>
      </c>
      <c r="E191" s="4" t="s">
        <v>25</v>
      </c>
      <c r="G191" s="15">
        <v>1</v>
      </c>
      <c r="H191" s="4" t="s">
        <v>572</v>
      </c>
      <c r="I191" s="4" t="s">
        <v>595</v>
      </c>
      <c r="J191" s="15" t="s">
        <v>367</v>
      </c>
      <c r="K191" s="15"/>
      <c r="M191" s="31" t="s">
        <v>574</v>
      </c>
      <c r="O191" t="s">
        <v>61</v>
      </c>
      <c r="P191" s="44" t="s">
        <v>214</v>
      </c>
      <c r="Q191" s="46" t="s">
        <v>215</v>
      </c>
      <c r="R191" s="44" t="s">
        <v>189</v>
      </c>
      <c r="S191" s="44" t="s">
        <v>189</v>
      </c>
      <c r="T191" s="44" t="s">
        <v>189</v>
      </c>
      <c r="U191" s="44" t="s">
        <v>61</v>
      </c>
      <c r="V191" s="44" t="s">
        <v>241</v>
      </c>
      <c r="W191" s="44" t="s">
        <v>241</v>
      </c>
      <c r="Z191" s="45" t="s">
        <v>228</v>
      </c>
      <c r="AA191" s="4"/>
      <c r="AC191" s="44" t="s">
        <v>581</v>
      </c>
      <c r="AD191" s="44" t="s">
        <v>191</v>
      </c>
      <c r="AE191" s="1">
        <v>372</v>
      </c>
    </row>
    <row r="192" spans="1:31" customFormat="1" hidden="1">
      <c r="A192" s="15" t="s">
        <v>596</v>
      </c>
      <c r="B192" s="15" t="s">
        <v>571</v>
      </c>
      <c r="C192" s="4" t="s">
        <v>211</v>
      </c>
      <c r="D192" s="4" t="s">
        <v>24</v>
      </c>
      <c r="E192" s="4" t="s">
        <v>25</v>
      </c>
      <c r="F192" s="4"/>
      <c r="G192" s="15">
        <v>1</v>
      </c>
      <c r="H192" s="4" t="s">
        <v>572</v>
      </c>
      <c r="I192" s="4" t="s">
        <v>597</v>
      </c>
      <c r="J192" s="15" t="s">
        <v>367</v>
      </c>
      <c r="K192" s="15"/>
      <c r="L192" s="45"/>
      <c r="M192" s="31" t="s">
        <v>574</v>
      </c>
      <c r="N192" s="31"/>
      <c r="O192" t="s">
        <v>61</v>
      </c>
      <c r="P192" s="44" t="s">
        <v>214</v>
      </c>
      <c r="Q192" s="46" t="s">
        <v>215</v>
      </c>
      <c r="R192" s="44" t="s">
        <v>189</v>
      </c>
      <c r="S192" s="44" t="s">
        <v>189</v>
      </c>
      <c r="T192" s="44" t="s">
        <v>189</v>
      </c>
      <c r="U192" s="44" t="s">
        <v>61</v>
      </c>
      <c r="V192" s="44" t="s">
        <v>241</v>
      </c>
      <c r="W192" s="44" t="s">
        <v>241</v>
      </c>
      <c r="X192" s="44"/>
      <c r="Y192" s="45"/>
      <c r="Z192" s="45" t="s">
        <v>228</v>
      </c>
      <c r="AA192" s="4"/>
      <c r="AB192" s="44"/>
      <c r="AC192" s="44" t="s">
        <v>581</v>
      </c>
      <c r="AD192" s="44" t="s">
        <v>191</v>
      </c>
      <c r="AE192" s="1">
        <v>372</v>
      </c>
    </row>
    <row r="193" spans="1:31" hidden="1">
      <c r="A193" s="15" t="s">
        <v>598</v>
      </c>
      <c r="B193" s="15" t="s">
        <v>571</v>
      </c>
      <c r="C193" s="4" t="s">
        <v>211</v>
      </c>
      <c r="D193" s="4" t="s">
        <v>24</v>
      </c>
      <c r="E193" s="4" t="s">
        <v>25</v>
      </c>
      <c r="G193" s="15">
        <v>1</v>
      </c>
      <c r="H193" s="4" t="s">
        <v>572</v>
      </c>
      <c r="I193" s="4" t="s">
        <v>599</v>
      </c>
      <c r="J193" s="15" t="s">
        <v>367</v>
      </c>
      <c r="K193" s="15"/>
      <c r="M193" s="31" t="s">
        <v>574</v>
      </c>
      <c r="O193" t="s">
        <v>61</v>
      </c>
      <c r="P193" s="44" t="s">
        <v>214</v>
      </c>
      <c r="Q193" s="46" t="s">
        <v>215</v>
      </c>
      <c r="R193" s="44" t="s">
        <v>189</v>
      </c>
      <c r="S193" s="44" t="s">
        <v>189</v>
      </c>
      <c r="T193" s="44" t="s">
        <v>189</v>
      </c>
      <c r="U193" s="44" t="s">
        <v>61</v>
      </c>
      <c r="V193" s="44" t="s">
        <v>241</v>
      </c>
      <c r="W193" s="44" t="s">
        <v>241</v>
      </c>
      <c r="Z193" s="45" t="s">
        <v>228</v>
      </c>
      <c r="AA193" s="4"/>
      <c r="AC193" s="44" t="s">
        <v>581</v>
      </c>
      <c r="AD193" s="44" t="s">
        <v>191</v>
      </c>
      <c r="AE193" s="1">
        <v>372</v>
      </c>
    </row>
    <row r="194" spans="1:31" hidden="1">
      <c r="A194" s="15" t="s">
        <v>600</v>
      </c>
      <c r="B194" s="15" t="s">
        <v>571</v>
      </c>
      <c r="C194" s="4" t="s">
        <v>61</v>
      </c>
      <c r="D194" s="4" t="s">
        <v>24</v>
      </c>
      <c r="E194" s="4" t="s">
        <v>25</v>
      </c>
      <c r="G194" s="15">
        <v>1</v>
      </c>
      <c r="H194" s="4" t="s">
        <v>572</v>
      </c>
      <c r="I194" s="4" t="s">
        <v>589</v>
      </c>
      <c r="J194" s="15" t="s">
        <v>367</v>
      </c>
      <c r="K194" s="15"/>
      <c r="M194" s="31" t="s">
        <v>574</v>
      </c>
      <c r="O194" t="s">
        <v>61</v>
      </c>
      <c r="P194" s="44" t="s">
        <v>214</v>
      </c>
      <c r="Q194" s="46" t="s">
        <v>215</v>
      </c>
      <c r="R194" s="44" t="s">
        <v>189</v>
      </c>
      <c r="S194" s="44" t="s">
        <v>189</v>
      </c>
      <c r="T194" s="44" t="s">
        <v>189</v>
      </c>
      <c r="U194" s="44" t="s">
        <v>211</v>
      </c>
      <c r="V194" s="44" t="s">
        <v>368</v>
      </c>
      <c r="W194" s="44" t="s">
        <v>369</v>
      </c>
      <c r="X194" s="44" t="s">
        <v>248</v>
      </c>
      <c r="Z194" s="45" t="s">
        <v>370</v>
      </c>
      <c r="AA194" s="1" t="s">
        <v>371</v>
      </c>
      <c r="AC194" s="44" t="s">
        <v>581</v>
      </c>
      <c r="AD194" s="44" t="s">
        <v>191</v>
      </c>
      <c r="AE194" s="1">
        <v>372</v>
      </c>
    </row>
    <row r="195" spans="1:31" hidden="1">
      <c r="A195" s="15" t="s">
        <v>601</v>
      </c>
      <c r="B195" s="15" t="s">
        <v>571</v>
      </c>
      <c r="C195" s="4" t="s">
        <v>61</v>
      </c>
      <c r="D195" s="4" t="s">
        <v>24</v>
      </c>
      <c r="E195" s="4" t="s">
        <v>25</v>
      </c>
      <c r="G195" s="15">
        <v>1</v>
      </c>
      <c r="H195" s="4" t="s">
        <v>572</v>
      </c>
      <c r="I195" s="4" t="s">
        <v>591</v>
      </c>
      <c r="J195" s="15" t="s">
        <v>223</v>
      </c>
      <c r="M195" s="31" t="s">
        <v>574</v>
      </c>
      <c r="O195" t="s">
        <v>61</v>
      </c>
      <c r="P195" s="44" t="s">
        <v>214</v>
      </c>
      <c r="Q195" s="46" t="s">
        <v>215</v>
      </c>
      <c r="R195" s="44" t="s">
        <v>189</v>
      </c>
      <c r="S195" s="44" t="s">
        <v>189</v>
      </c>
      <c r="T195" s="44" t="s">
        <v>189</v>
      </c>
      <c r="U195" s="44" t="s">
        <v>211</v>
      </c>
      <c r="V195" s="47">
        <v>46208</v>
      </c>
      <c r="W195" s="44">
        <v>28.2</v>
      </c>
      <c r="X195" s="44" t="s">
        <v>368</v>
      </c>
      <c r="Z195" s="45" t="s">
        <v>370</v>
      </c>
      <c r="AA195" s="1" t="s">
        <v>371</v>
      </c>
      <c r="AC195" s="44" t="s">
        <v>581</v>
      </c>
      <c r="AD195" s="44" t="s">
        <v>191</v>
      </c>
      <c r="AE195" s="1">
        <v>372</v>
      </c>
    </row>
    <row r="196" spans="1:31" customFormat="1" hidden="1">
      <c r="A196" s="15" t="s">
        <v>602</v>
      </c>
      <c r="B196" s="15" t="s">
        <v>571</v>
      </c>
      <c r="C196" s="4" t="s">
        <v>61</v>
      </c>
      <c r="D196" s="4" t="s">
        <v>24</v>
      </c>
      <c r="E196" s="4" t="s">
        <v>25</v>
      </c>
      <c r="F196" s="4"/>
      <c r="G196" s="15">
        <v>1</v>
      </c>
      <c r="H196" s="4" t="s">
        <v>572</v>
      </c>
      <c r="I196" s="4" t="s">
        <v>593</v>
      </c>
      <c r="J196" s="15" t="s">
        <v>223</v>
      </c>
      <c r="K196" s="3"/>
      <c r="L196" s="45"/>
      <c r="M196" s="31" t="s">
        <v>574</v>
      </c>
      <c r="N196" s="31"/>
      <c r="O196" t="s">
        <v>61</v>
      </c>
      <c r="P196" s="44" t="s">
        <v>214</v>
      </c>
      <c r="Q196" s="46" t="s">
        <v>215</v>
      </c>
      <c r="R196" s="44" t="s">
        <v>189</v>
      </c>
      <c r="S196" s="44" t="s">
        <v>189</v>
      </c>
      <c r="T196" s="44" t="s">
        <v>189</v>
      </c>
      <c r="U196" s="44" t="s">
        <v>211</v>
      </c>
      <c r="V196" s="47">
        <v>46208</v>
      </c>
      <c r="W196" s="44">
        <v>28.2</v>
      </c>
      <c r="X196" s="44" t="s">
        <v>368</v>
      </c>
      <c r="Y196" s="45"/>
      <c r="Z196" s="45" t="s">
        <v>370</v>
      </c>
      <c r="AA196" s="1" t="s">
        <v>371</v>
      </c>
      <c r="AB196" s="121"/>
      <c r="AC196" s="121" t="s">
        <v>581</v>
      </c>
      <c r="AD196" s="121" t="s">
        <v>191</v>
      </c>
      <c r="AE196" s="1">
        <v>372</v>
      </c>
    </row>
    <row r="197" spans="1:31" hidden="1">
      <c r="A197" s="15" t="s">
        <v>603</v>
      </c>
      <c r="B197" s="15" t="s">
        <v>571</v>
      </c>
      <c r="C197" s="4" t="s">
        <v>211</v>
      </c>
      <c r="D197" s="4" t="s">
        <v>24</v>
      </c>
      <c r="E197" s="4" t="s">
        <v>25</v>
      </c>
      <c r="G197" s="15">
        <v>1</v>
      </c>
      <c r="H197" s="4" t="s">
        <v>572</v>
      </c>
      <c r="I197" s="4" t="s">
        <v>595</v>
      </c>
      <c r="J197" s="15" t="s">
        <v>367</v>
      </c>
      <c r="K197" s="15"/>
      <c r="M197" s="31" t="s">
        <v>574</v>
      </c>
      <c r="O197" t="s">
        <v>61</v>
      </c>
      <c r="P197" s="44" t="s">
        <v>214</v>
      </c>
      <c r="Q197" s="46" t="s">
        <v>215</v>
      </c>
      <c r="R197" s="44" t="s">
        <v>189</v>
      </c>
      <c r="S197" s="44" t="s">
        <v>189</v>
      </c>
      <c r="T197" s="44" t="s">
        <v>189</v>
      </c>
      <c r="U197" s="44" t="s">
        <v>61</v>
      </c>
      <c r="V197" s="44" t="s">
        <v>241</v>
      </c>
      <c r="W197" s="44" t="s">
        <v>241</v>
      </c>
      <c r="Z197" s="45" t="s">
        <v>228</v>
      </c>
      <c r="AA197" s="4"/>
      <c r="AC197" s="44" t="s">
        <v>581</v>
      </c>
      <c r="AD197" s="44" t="s">
        <v>191</v>
      </c>
      <c r="AE197" s="1">
        <v>372</v>
      </c>
    </row>
    <row r="198" spans="1:31" hidden="1">
      <c r="A198" s="15" t="s">
        <v>604</v>
      </c>
      <c r="B198" s="15" t="s">
        <v>571</v>
      </c>
      <c r="C198" s="4" t="s">
        <v>211</v>
      </c>
      <c r="D198" s="4" t="s">
        <v>24</v>
      </c>
      <c r="E198" s="4" t="s">
        <v>25</v>
      </c>
      <c r="G198" s="15">
        <v>1</v>
      </c>
      <c r="H198" s="4" t="s">
        <v>572</v>
      </c>
      <c r="I198" s="4" t="s">
        <v>597</v>
      </c>
      <c r="J198" s="15" t="s">
        <v>367</v>
      </c>
      <c r="K198" s="15"/>
      <c r="M198" s="31" t="s">
        <v>574</v>
      </c>
      <c r="O198" t="s">
        <v>61</v>
      </c>
      <c r="P198" s="44" t="s">
        <v>214</v>
      </c>
      <c r="Q198" s="46" t="s">
        <v>215</v>
      </c>
      <c r="R198" s="44" t="s">
        <v>189</v>
      </c>
      <c r="S198" s="44" t="s">
        <v>189</v>
      </c>
      <c r="T198" s="44" t="s">
        <v>189</v>
      </c>
      <c r="U198" s="44" t="s">
        <v>61</v>
      </c>
      <c r="V198" s="44" t="s">
        <v>241</v>
      </c>
      <c r="W198" s="44" t="s">
        <v>241</v>
      </c>
      <c r="Z198" s="45" t="s">
        <v>228</v>
      </c>
      <c r="AA198" s="4"/>
      <c r="AC198" s="44" t="s">
        <v>581</v>
      </c>
      <c r="AD198" s="44" t="s">
        <v>191</v>
      </c>
      <c r="AE198" s="1">
        <v>372</v>
      </c>
    </row>
    <row r="199" spans="1:31" hidden="1">
      <c r="A199" s="15" t="s">
        <v>605</v>
      </c>
      <c r="B199" s="15" t="s">
        <v>176</v>
      </c>
      <c r="C199" s="4" t="s">
        <v>177</v>
      </c>
      <c r="D199" s="4" t="s">
        <v>24</v>
      </c>
      <c r="E199" s="4" t="s">
        <v>25</v>
      </c>
      <c r="G199" s="15">
        <v>1</v>
      </c>
      <c r="H199" s="4" t="s">
        <v>76</v>
      </c>
      <c r="I199" s="17" t="s">
        <v>606</v>
      </c>
      <c r="J199" s="15" t="s">
        <v>223</v>
      </c>
      <c r="M199" s="3"/>
      <c r="N199" s="3"/>
      <c r="O199" t="s">
        <v>75</v>
      </c>
      <c r="P199" s="44" t="s">
        <v>607</v>
      </c>
      <c r="Q199" s="48" t="s">
        <v>182</v>
      </c>
      <c r="R199" s="44" t="s">
        <v>189</v>
      </c>
      <c r="S199" s="44" t="s">
        <v>189</v>
      </c>
      <c r="T199" s="44" t="s">
        <v>189</v>
      </c>
      <c r="U199" s="44" t="s">
        <v>330</v>
      </c>
      <c r="V199" s="47">
        <v>46208</v>
      </c>
      <c r="W199" s="47">
        <v>46209</v>
      </c>
      <c r="Z199" s="45" t="s">
        <v>608</v>
      </c>
      <c r="AA199" s="1" t="s">
        <v>315</v>
      </c>
      <c r="AC199" s="44" t="s">
        <v>609</v>
      </c>
      <c r="AD199" s="44" t="s">
        <v>191</v>
      </c>
      <c r="AE199" s="1">
        <v>372</v>
      </c>
    </row>
    <row r="200" spans="1:31" hidden="1">
      <c r="A200" s="15" t="s">
        <v>610</v>
      </c>
      <c r="B200" s="15" t="s">
        <v>176</v>
      </c>
      <c r="C200" s="4" t="s">
        <v>177</v>
      </c>
      <c r="D200" s="4" t="s">
        <v>24</v>
      </c>
      <c r="E200" s="4" t="s">
        <v>25</v>
      </c>
      <c r="G200" s="15">
        <v>1</v>
      </c>
      <c r="H200" s="4" t="s">
        <v>76</v>
      </c>
      <c r="I200" s="17" t="s">
        <v>606</v>
      </c>
      <c r="J200" s="15" t="s">
        <v>223</v>
      </c>
      <c r="M200" s="3"/>
      <c r="N200" s="3"/>
      <c r="O200" t="s">
        <v>75</v>
      </c>
      <c r="P200" s="44" t="s">
        <v>607</v>
      </c>
      <c r="Q200" s="48" t="s">
        <v>182</v>
      </c>
      <c r="R200" s="44" t="s">
        <v>189</v>
      </c>
      <c r="S200" s="44" t="s">
        <v>189</v>
      </c>
      <c r="T200" s="44" t="s">
        <v>189</v>
      </c>
      <c r="U200" s="44" t="s">
        <v>330</v>
      </c>
      <c r="V200" s="47">
        <v>46208</v>
      </c>
      <c r="W200" s="47">
        <v>46209</v>
      </c>
      <c r="Z200" s="45" t="s">
        <v>608</v>
      </c>
      <c r="AA200" s="1" t="s">
        <v>315</v>
      </c>
      <c r="AC200" s="44" t="s">
        <v>609</v>
      </c>
      <c r="AD200" s="44" t="s">
        <v>191</v>
      </c>
      <c r="AE200" s="1">
        <v>372</v>
      </c>
    </row>
    <row r="201" spans="1:31" hidden="1">
      <c r="A201" s="15" t="s">
        <v>611</v>
      </c>
      <c r="B201" s="15" t="s">
        <v>176</v>
      </c>
      <c r="C201" s="4" t="s">
        <v>177</v>
      </c>
      <c r="D201" s="4" t="s">
        <v>24</v>
      </c>
      <c r="E201" s="4" t="s">
        <v>25</v>
      </c>
      <c r="G201" s="15">
        <v>1</v>
      </c>
      <c r="H201" s="4" t="s">
        <v>76</v>
      </c>
      <c r="I201" s="17" t="s">
        <v>606</v>
      </c>
      <c r="J201" s="15" t="s">
        <v>223</v>
      </c>
      <c r="M201" s="3"/>
      <c r="N201" s="3"/>
      <c r="O201" t="s">
        <v>75</v>
      </c>
      <c r="P201" s="44" t="s">
        <v>607</v>
      </c>
      <c r="Q201" s="48" t="s">
        <v>182</v>
      </c>
      <c r="R201" s="44" t="s">
        <v>189</v>
      </c>
      <c r="S201" s="44" t="s">
        <v>189</v>
      </c>
      <c r="T201" s="44" t="s">
        <v>189</v>
      </c>
      <c r="U201" s="44" t="s">
        <v>330</v>
      </c>
      <c r="V201" s="47">
        <v>46208</v>
      </c>
      <c r="W201" s="47">
        <v>46209</v>
      </c>
      <c r="Z201" s="45" t="s">
        <v>612</v>
      </c>
      <c r="AA201" s="1" t="s">
        <v>315</v>
      </c>
      <c r="AC201" s="44" t="s">
        <v>609</v>
      </c>
      <c r="AD201" s="44" t="s">
        <v>191</v>
      </c>
      <c r="AE201" s="1">
        <v>372</v>
      </c>
    </row>
    <row r="202" spans="1:31" hidden="1">
      <c r="A202" s="15" t="s">
        <v>613</v>
      </c>
      <c r="B202" s="15" t="s">
        <v>176</v>
      </c>
      <c r="C202" s="4" t="s">
        <v>177</v>
      </c>
      <c r="D202" s="4" t="s">
        <v>24</v>
      </c>
      <c r="E202" s="4" t="s">
        <v>25</v>
      </c>
      <c r="G202" s="15">
        <v>1</v>
      </c>
      <c r="H202" s="4" t="s">
        <v>76</v>
      </c>
      <c r="I202" s="17" t="s">
        <v>606</v>
      </c>
      <c r="J202" s="15" t="s">
        <v>223</v>
      </c>
      <c r="M202" s="3"/>
      <c r="N202" s="3"/>
      <c r="O202" t="s">
        <v>75</v>
      </c>
      <c r="P202" s="44" t="s">
        <v>607</v>
      </c>
      <c r="Q202" s="48" t="s">
        <v>182</v>
      </c>
      <c r="R202" s="44" t="s">
        <v>189</v>
      </c>
      <c r="S202" s="44" t="s">
        <v>189</v>
      </c>
      <c r="T202" s="44" t="s">
        <v>189</v>
      </c>
      <c r="U202" s="44" t="s">
        <v>330</v>
      </c>
      <c r="V202" s="47">
        <v>46208</v>
      </c>
      <c r="W202" s="47">
        <v>46209</v>
      </c>
      <c r="Z202" s="45" t="s">
        <v>608</v>
      </c>
      <c r="AA202" s="1" t="s">
        <v>315</v>
      </c>
      <c r="AC202" s="44" t="s">
        <v>609</v>
      </c>
      <c r="AD202" s="44" t="s">
        <v>191</v>
      </c>
      <c r="AE202" s="1">
        <v>372</v>
      </c>
    </row>
    <row r="203" spans="1:31" hidden="1">
      <c r="A203" s="15" t="s">
        <v>614</v>
      </c>
      <c r="B203" s="15" t="s">
        <v>176</v>
      </c>
      <c r="C203" s="4" t="s">
        <v>177</v>
      </c>
      <c r="D203" s="4" t="s">
        <v>24</v>
      </c>
      <c r="E203" s="4" t="s">
        <v>25</v>
      </c>
      <c r="G203" s="15">
        <v>1</v>
      </c>
      <c r="H203" s="4" t="s">
        <v>76</v>
      </c>
      <c r="I203" s="17" t="s">
        <v>606</v>
      </c>
      <c r="J203" s="15" t="s">
        <v>223</v>
      </c>
      <c r="M203" s="3"/>
      <c r="N203" s="3"/>
      <c r="O203" t="s">
        <v>75</v>
      </c>
      <c r="P203" s="44" t="s">
        <v>607</v>
      </c>
      <c r="Q203" s="48" t="s">
        <v>182</v>
      </c>
      <c r="R203" s="44" t="s">
        <v>189</v>
      </c>
      <c r="S203" s="44" t="s">
        <v>189</v>
      </c>
      <c r="T203" s="44" t="s">
        <v>189</v>
      </c>
      <c r="U203" s="44" t="s">
        <v>330</v>
      </c>
      <c r="V203" s="47">
        <v>46208</v>
      </c>
      <c r="W203" s="47">
        <v>46209</v>
      </c>
      <c r="Z203" s="45" t="s">
        <v>608</v>
      </c>
      <c r="AA203" s="1" t="s">
        <v>315</v>
      </c>
      <c r="AC203" s="44" t="s">
        <v>609</v>
      </c>
      <c r="AD203" s="44" t="s">
        <v>191</v>
      </c>
      <c r="AE203" s="1">
        <v>372</v>
      </c>
    </row>
    <row r="204" spans="1:31" customFormat="1" hidden="1">
      <c r="A204" s="15" t="s">
        <v>615</v>
      </c>
      <c r="B204" s="15" t="s">
        <v>176</v>
      </c>
      <c r="C204" s="4" t="s">
        <v>177</v>
      </c>
      <c r="D204" s="4" t="s">
        <v>24</v>
      </c>
      <c r="E204" s="4" t="s">
        <v>25</v>
      </c>
      <c r="F204" s="4"/>
      <c r="G204" s="15">
        <v>1</v>
      </c>
      <c r="H204" s="4" t="s">
        <v>76</v>
      </c>
      <c r="I204" s="17" t="s">
        <v>606</v>
      </c>
      <c r="J204" s="15" t="s">
        <v>223</v>
      </c>
      <c r="K204" s="3"/>
      <c r="L204" s="45"/>
      <c r="M204" s="3"/>
      <c r="N204" s="3"/>
      <c r="O204" t="s">
        <v>75</v>
      </c>
      <c r="P204" s="44" t="s">
        <v>607</v>
      </c>
      <c r="Q204" s="48" t="s">
        <v>182</v>
      </c>
      <c r="R204" s="44" t="s">
        <v>189</v>
      </c>
      <c r="S204" s="44" t="s">
        <v>189</v>
      </c>
      <c r="T204" s="44" t="s">
        <v>189</v>
      </c>
      <c r="U204" s="44" t="s">
        <v>330</v>
      </c>
      <c r="V204" s="47">
        <v>46208</v>
      </c>
      <c r="W204" s="47">
        <v>46209</v>
      </c>
      <c r="X204" s="44"/>
      <c r="Y204" s="45"/>
      <c r="Z204" s="45" t="s">
        <v>612</v>
      </c>
      <c r="AA204" s="1" t="s">
        <v>315</v>
      </c>
      <c r="AB204" s="44"/>
      <c r="AC204" s="44" t="s">
        <v>609</v>
      </c>
      <c r="AD204" s="44" t="s">
        <v>191</v>
      </c>
      <c r="AE204" s="1">
        <v>372</v>
      </c>
    </row>
    <row r="205" spans="1:31" hidden="1">
      <c r="A205" s="15" t="s">
        <v>616</v>
      </c>
      <c r="B205" s="15" t="s">
        <v>176</v>
      </c>
      <c r="C205" s="4" t="s">
        <v>177</v>
      </c>
      <c r="D205" s="4" t="s">
        <v>24</v>
      </c>
      <c r="E205" s="4" t="s">
        <v>25</v>
      </c>
      <c r="G205" s="15">
        <v>1</v>
      </c>
      <c r="H205" s="4" t="s">
        <v>76</v>
      </c>
      <c r="I205" s="17" t="s">
        <v>617</v>
      </c>
      <c r="J205" s="15" t="s">
        <v>223</v>
      </c>
      <c r="M205" s="3"/>
      <c r="N205" s="3"/>
      <c r="O205" t="s">
        <v>75</v>
      </c>
      <c r="P205" s="44" t="s">
        <v>607</v>
      </c>
      <c r="Q205" s="48" t="s">
        <v>182</v>
      </c>
      <c r="R205" s="44" t="s">
        <v>189</v>
      </c>
      <c r="S205" s="44" t="s">
        <v>189</v>
      </c>
      <c r="T205" s="44" t="s">
        <v>189</v>
      </c>
      <c r="U205" s="44" t="s">
        <v>330</v>
      </c>
      <c r="V205" s="47">
        <v>46208</v>
      </c>
      <c r="W205" s="47">
        <v>46209</v>
      </c>
      <c r="Z205" s="45" t="s">
        <v>618</v>
      </c>
      <c r="AA205" s="1" t="s">
        <v>315</v>
      </c>
      <c r="AC205" s="44" t="s">
        <v>609</v>
      </c>
      <c r="AD205" s="44" t="s">
        <v>191</v>
      </c>
      <c r="AE205" s="1">
        <v>372</v>
      </c>
    </row>
    <row r="206" spans="1:31" customFormat="1" hidden="1">
      <c r="A206" s="15" t="s">
        <v>619</v>
      </c>
      <c r="B206" s="15" t="s">
        <v>176</v>
      </c>
      <c r="C206" s="4" t="s">
        <v>177</v>
      </c>
      <c r="D206" s="4" t="s">
        <v>24</v>
      </c>
      <c r="E206" s="4" t="s">
        <v>25</v>
      </c>
      <c r="F206" s="4"/>
      <c r="G206" s="15">
        <v>1</v>
      </c>
      <c r="H206" s="4" t="s">
        <v>76</v>
      </c>
      <c r="I206" s="17" t="s">
        <v>617</v>
      </c>
      <c r="J206" s="15" t="s">
        <v>223</v>
      </c>
      <c r="K206" s="3"/>
      <c r="L206" s="45"/>
      <c r="M206" s="3"/>
      <c r="N206" s="3"/>
      <c r="O206" t="s">
        <v>75</v>
      </c>
      <c r="P206" s="44" t="s">
        <v>607</v>
      </c>
      <c r="Q206" s="48" t="s">
        <v>182</v>
      </c>
      <c r="R206" s="44" t="s">
        <v>189</v>
      </c>
      <c r="S206" s="44" t="s">
        <v>189</v>
      </c>
      <c r="T206" s="44" t="s">
        <v>189</v>
      </c>
      <c r="U206" s="44" t="s">
        <v>330</v>
      </c>
      <c r="V206" s="47">
        <v>46208</v>
      </c>
      <c r="W206" s="47">
        <v>46209</v>
      </c>
      <c r="X206" s="44"/>
      <c r="Y206" s="45"/>
      <c r="Z206" s="45" t="s">
        <v>620</v>
      </c>
      <c r="AA206" s="1" t="s">
        <v>315</v>
      </c>
      <c r="AB206" s="44"/>
      <c r="AC206" s="44" t="s">
        <v>609</v>
      </c>
      <c r="AD206" s="44" t="s">
        <v>191</v>
      </c>
      <c r="AE206" s="1">
        <v>372</v>
      </c>
    </row>
    <row r="207" spans="1:31" hidden="1">
      <c r="A207" s="15" t="s">
        <v>621</v>
      </c>
      <c r="B207" s="15" t="s">
        <v>176</v>
      </c>
      <c r="C207" s="4" t="s">
        <v>177</v>
      </c>
      <c r="D207" s="4" t="s">
        <v>24</v>
      </c>
      <c r="E207" s="4" t="s">
        <v>25</v>
      </c>
      <c r="G207" s="15">
        <v>1</v>
      </c>
      <c r="H207" s="4" t="s">
        <v>76</v>
      </c>
      <c r="I207" s="17" t="s">
        <v>617</v>
      </c>
      <c r="J207" s="15" t="s">
        <v>223</v>
      </c>
      <c r="M207" s="3"/>
      <c r="N207" s="3"/>
      <c r="O207" t="s">
        <v>75</v>
      </c>
      <c r="P207" s="44" t="s">
        <v>607</v>
      </c>
      <c r="Q207" s="48" t="s">
        <v>182</v>
      </c>
      <c r="R207" s="44" t="s">
        <v>189</v>
      </c>
      <c r="S207" s="44" t="s">
        <v>189</v>
      </c>
      <c r="T207" s="44" t="s">
        <v>189</v>
      </c>
      <c r="U207" s="44" t="s">
        <v>330</v>
      </c>
      <c r="V207" s="47">
        <v>46208</v>
      </c>
      <c r="W207" s="47">
        <v>46209</v>
      </c>
      <c r="Z207" s="45" t="s">
        <v>622</v>
      </c>
      <c r="AA207" s="1" t="s">
        <v>315</v>
      </c>
      <c r="AC207" s="44" t="s">
        <v>609</v>
      </c>
      <c r="AD207" s="44" t="s">
        <v>191</v>
      </c>
      <c r="AE207" s="1">
        <v>372</v>
      </c>
    </row>
    <row r="208" spans="1:31" hidden="1">
      <c r="A208" s="15" t="s">
        <v>623</v>
      </c>
      <c r="B208" s="15" t="s">
        <v>176</v>
      </c>
      <c r="C208" s="4" t="s">
        <v>177</v>
      </c>
      <c r="D208" s="4" t="s">
        <v>24</v>
      </c>
      <c r="E208" s="4" t="s">
        <v>25</v>
      </c>
      <c r="G208" s="15">
        <v>1</v>
      </c>
      <c r="H208" s="4" t="s">
        <v>76</v>
      </c>
      <c r="I208" s="17" t="s">
        <v>617</v>
      </c>
      <c r="J208" s="15" t="s">
        <v>223</v>
      </c>
      <c r="M208" s="3"/>
      <c r="N208" s="3"/>
      <c r="O208" t="s">
        <v>75</v>
      </c>
      <c r="P208" s="44" t="s">
        <v>607</v>
      </c>
      <c r="Q208" s="48" t="s">
        <v>182</v>
      </c>
      <c r="R208" s="44" t="s">
        <v>189</v>
      </c>
      <c r="S208" s="44" t="s">
        <v>189</v>
      </c>
      <c r="T208" s="44" t="s">
        <v>189</v>
      </c>
      <c r="U208" s="44" t="s">
        <v>330</v>
      </c>
      <c r="V208" s="47">
        <v>46208</v>
      </c>
      <c r="W208" s="47">
        <v>46209</v>
      </c>
      <c r="Z208" s="45" t="s">
        <v>624</v>
      </c>
      <c r="AA208" s="1" t="s">
        <v>315</v>
      </c>
      <c r="AC208" s="44" t="s">
        <v>609</v>
      </c>
      <c r="AD208" s="44" t="s">
        <v>191</v>
      </c>
      <c r="AE208" s="1">
        <v>372</v>
      </c>
    </row>
    <row r="209" spans="1:31" hidden="1">
      <c r="A209" s="15" t="s">
        <v>625</v>
      </c>
      <c r="B209" s="15" t="s">
        <v>176</v>
      </c>
      <c r="C209" s="4" t="s">
        <v>177</v>
      </c>
      <c r="D209" s="4" t="s">
        <v>24</v>
      </c>
      <c r="E209" s="4" t="s">
        <v>25</v>
      </c>
      <c r="G209" s="15">
        <v>1</v>
      </c>
      <c r="H209" s="4" t="s">
        <v>76</v>
      </c>
      <c r="I209" s="17" t="s">
        <v>617</v>
      </c>
      <c r="J209" s="15" t="s">
        <v>223</v>
      </c>
      <c r="M209" s="3"/>
      <c r="N209" s="3"/>
      <c r="O209" t="s">
        <v>75</v>
      </c>
      <c r="P209" s="44" t="s">
        <v>607</v>
      </c>
      <c r="Q209" s="48" t="s">
        <v>182</v>
      </c>
      <c r="R209" s="44" t="s">
        <v>189</v>
      </c>
      <c r="S209" s="44" t="s">
        <v>189</v>
      </c>
      <c r="T209" s="44" t="s">
        <v>189</v>
      </c>
      <c r="U209" s="44" t="s">
        <v>330</v>
      </c>
      <c r="V209" s="47">
        <v>46208</v>
      </c>
      <c r="W209" s="47">
        <v>46209</v>
      </c>
      <c r="Z209" s="45" t="s">
        <v>626</v>
      </c>
      <c r="AA209" s="1" t="s">
        <v>315</v>
      </c>
      <c r="AC209" s="44" t="s">
        <v>609</v>
      </c>
      <c r="AD209" s="44" t="s">
        <v>191</v>
      </c>
      <c r="AE209" s="1">
        <v>372</v>
      </c>
    </row>
    <row r="210" spans="1:31" customFormat="1" hidden="1">
      <c r="A210" s="15" t="s">
        <v>627</v>
      </c>
      <c r="B210" s="15" t="s">
        <v>176</v>
      </c>
      <c r="C210" s="4" t="s">
        <v>177</v>
      </c>
      <c r="D210" s="4" t="s">
        <v>24</v>
      </c>
      <c r="E210" s="4" t="s">
        <v>25</v>
      </c>
      <c r="F210" s="4"/>
      <c r="G210" s="15">
        <v>1</v>
      </c>
      <c r="H210" s="4" t="s">
        <v>76</v>
      </c>
      <c r="I210" s="17" t="s">
        <v>617</v>
      </c>
      <c r="J210" s="15" t="s">
        <v>223</v>
      </c>
      <c r="K210" s="3"/>
      <c r="L210" s="45"/>
      <c r="M210" s="3"/>
      <c r="N210" s="3"/>
      <c r="O210" t="s">
        <v>75</v>
      </c>
      <c r="P210" s="44" t="s">
        <v>607</v>
      </c>
      <c r="Q210" s="48" t="s">
        <v>182</v>
      </c>
      <c r="R210" s="44" t="s">
        <v>189</v>
      </c>
      <c r="S210" s="44" t="s">
        <v>189</v>
      </c>
      <c r="T210" s="44" t="s">
        <v>189</v>
      </c>
      <c r="U210" s="44" t="s">
        <v>330</v>
      </c>
      <c r="V210" s="47">
        <v>46208</v>
      </c>
      <c r="W210" s="47">
        <v>46209</v>
      </c>
      <c r="X210" s="44"/>
      <c r="Y210" s="45"/>
      <c r="Z210" s="45" t="s">
        <v>626</v>
      </c>
      <c r="AA210" s="1" t="s">
        <v>315</v>
      </c>
      <c r="AB210" s="44"/>
      <c r="AC210" s="44" t="s">
        <v>609</v>
      </c>
      <c r="AD210" s="44" t="s">
        <v>191</v>
      </c>
      <c r="AE210" s="1">
        <v>372</v>
      </c>
    </row>
    <row r="211" spans="1:31" hidden="1">
      <c r="A211" s="15" t="s">
        <v>628</v>
      </c>
      <c r="B211" s="15" t="s">
        <v>176</v>
      </c>
      <c r="C211" s="4" t="s">
        <v>177</v>
      </c>
      <c r="D211" s="4" t="s">
        <v>24</v>
      </c>
      <c r="E211" s="4" t="s">
        <v>25</v>
      </c>
      <c r="G211" s="15">
        <v>1</v>
      </c>
      <c r="H211" s="4" t="s">
        <v>76</v>
      </c>
      <c r="I211" s="17" t="s">
        <v>617</v>
      </c>
      <c r="J211" s="15" t="s">
        <v>223</v>
      </c>
      <c r="M211" s="3"/>
      <c r="N211" s="3"/>
      <c r="O211" t="s">
        <v>75</v>
      </c>
      <c r="P211" s="44" t="s">
        <v>607</v>
      </c>
      <c r="Q211" s="48" t="s">
        <v>182</v>
      </c>
      <c r="R211" s="44" t="s">
        <v>189</v>
      </c>
      <c r="S211" s="44" t="s">
        <v>189</v>
      </c>
      <c r="T211" s="44" t="s">
        <v>189</v>
      </c>
      <c r="U211" s="44" t="s">
        <v>330</v>
      </c>
      <c r="V211" s="47">
        <v>46208</v>
      </c>
      <c r="W211" s="47">
        <v>46209</v>
      </c>
      <c r="Z211" s="45" t="s">
        <v>629</v>
      </c>
      <c r="AA211" s="1" t="s">
        <v>315</v>
      </c>
      <c r="AC211" s="44" t="s">
        <v>609</v>
      </c>
      <c r="AD211" s="44" t="s">
        <v>191</v>
      </c>
      <c r="AE211" s="1">
        <v>372</v>
      </c>
    </row>
    <row r="212" spans="1:31" customFormat="1" hidden="1">
      <c r="A212" s="15" t="s">
        <v>630</v>
      </c>
      <c r="B212" s="15" t="s">
        <v>176</v>
      </c>
      <c r="C212" s="4" t="s">
        <v>177</v>
      </c>
      <c r="D212" s="4" t="s">
        <v>24</v>
      </c>
      <c r="E212" s="4" t="s">
        <v>25</v>
      </c>
      <c r="F212" s="4"/>
      <c r="G212" s="15">
        <v>1</v>
      </c>
      <c r="H212" s="4" t="s">
        <v>76</v>
      </c>
      <c r="I212" s="17" t="s">
        <v>617</v>
      </c>
      <c r="J212" s="15" t="s">
        <v>223</v>
      </c>
      <c r="K212" s="3"/>
      <c r="L212" s="45"/>
      <c r="M212" s="3"/>
      <c r="N212" s="3"/>
      <c r="O212" t="s">
        <v>75</v>
      </c>
      <c r="P212" s="44" t="s">
        <v>607</v>
      </c>
      <c r="Q212" s="48" t="s">
        <v>182</v>
      </c>
      <c r="R212" s="44" t="s">
        <v>189</v>
      </c>
      <c r="S212" s="44" t="s">
        <v>189</v>
      </c>
      <c r="T212" s="44" t="s">
        <v>189</v>
      </c>
      <c r="U212" s="44" t="s">
        <v>330</v>
      </c>
      <c r="V212" s="47">
        <v>46208</v>
      </c>
      <c r="W212" s="47">
        <v>46209</v>
      </c>
      <c r="X212" s="44"/>
      <c r="Y212" s="45"/>
      <c r="Z212" s="45" t="s">
        <v>624</v>
      </c>
      <c r="AA212" s="1" t="s">
        <v>315</v>
      </c>
      <c r="AB212" s="44"/>
      <c r="AC212" s="44" t="s">
        <v>609</v>
      </c>
      <c r="AD212" s="44" t="s">
        <v>191</v>
      </c>
      <c r="AE212" s="1">
        <v>372</v>
      </c>
    </row>
    <row r="213" spans="1:31">
      <c r="A213" s="15" t="s">
        <v>631</v>
      </c>
      <c r="B213" s="15" t="s">
        <v>176</v>
      </c>
      <c r="C213" s="4" t="s">
        <v>283</v>
      </c>
      <c r="D213" s="4" t="s">
        <v>24</v>
      </c>
      <c r="E213" s="4" t="s">
        <v>25</v>
      </c>
      <c r="G213" s="15">
        <v>1</v>
      </c>
      <c r="H213" s="4" t="s">
        <v>76</v>
      </c>
      <c r="I213" s="17" t="s">
        <v>632</v>
      </c>
      <c r="J213" s="15" t="s">
        <v>185</v>
      </c>
      <c r="K213" s="15"/>
      <c r="M213" s="15"/>
      <c r="N213" s="15"/>
      <c r="O213" s="4" t="s">
        <v>75</v>
      </c>
      <c r="P213" s="44" t="s">
        <v>633</v>
      </c>
      <c r="Q213" s="48" t="s">
        <v>182</v>
      </c>
      <c r="R213" s="44" t="s">
        <v>189</v>
      </c>
      <c r="S213" s="44" t="s">
        <v>189</v>
      </c>
      <c r="T213" s="44" t="s">
        <v>189</v>
      </c>
      <c r="U213" s="44" t="s">
        <v>75</v>
      </c>
      <c r="V213" s="44" t="s">
        <v>257</v>
      </c>
      <c r="W213" s="44" t="s">
        <v>257</v>
      </c>
      <c r="X213" s="49">
        <v>46229</v>
      </c>
      <c r="Z213" s="45" t="s">
        <v>634</v>
      </c>
      <c r="AA213" s="4" t="s">
        <v>288</v>
      </c>
      <c r="AC213" s="44" t="s">
        <v>635</v>
      </c>
      <c r="AD213" s="44" t="s">
        <v>191</v>
      </c>
      <c r="AE213" s="1">
        <v>372</v>
      </c>
    </row>
    <row r="214" spans="1:31">
      <c r="A214" s="15" t="s">
        <v>636</v>
      </c>
      <c r="B214" s="15" t="s">
        <v>176</v>
      </c>
      <c r="C214" s="4" t="s">
        <v>283</v>
      </c>
      <c r="D214" s="4" t="s">
        <v>24</v>
      </c>
      <c r="E214" s="4" t="s">
        <v>25</v>
      </c>
      <c r="G214" s="15">
        <v>1</v>
      </c>
      <c r="H214" s="4" t="s">
        <v>76</v>
      </c>
      <c r="I214" s="17" t="s">
        <v>637</v>
      </c>
      <c r="J214" s="15" t="s">
        <v>185</v>
      </c>
      <c r="K214" s="15"/>
      <c r="M214" s="15"/>
      <c r="N214" s="15"/>
      <c r="O214" s="4" t="s">
        <v>75</v>
      </c>
      <c r="P214" s="44" t="s">
        <v>633</v>
      </c>
      <c r="Q214" s="48" t="s">
        <v>182</v>
      </c>
      <c r="R214" s="44" t="s">
        <v>189</v>
      </c>
      <c r="S214" s="44" t="s">
        <v>189</v>
      </c>
      <c r="T214" s="44" t="s">
        <v>189</v>
      </c>
      <c r="U214" s="44" t="s">
        <v>75</v>
      </c>
      <c r="V214" s="44" t="s">
        <v>257</v>
      </c>
      <c r="W214" s="44" t="s">
        <v>257</v>
      </c>
      <c r="X214" s="49">
        <v>46229</v>
      </c>
      <c r="Z214" s="53" t="s">
        <v>638</v>
      </c>
      <c r="AA214" s="4" t="s">
        <v>288</v>
      </c>
      <c r="AC214" s="44" t="s">
        <v>635</v>
      </c>
      <c r="AD214" s="44" t="s">
        <v>191</v>
      </c>
      <c r="AE214" s="1">
        <v>372</v>
      </c>
    </row>
    <row r="215" spans="1:31">
      <c r="A215" s="15" t="s">
        <v>639</v>
      </c>
      <c r="B215" s="15" t="s">
        <v>176</v>
      </c>
      <c r="C215" s="4" t="s">
        <v>283</v>
      </c>
      <c r="D215" s="4" t="s">
        <v>24</v>
      </c>
      <c r="E215" s="4" t="s">
        <v>25</v>
      </c>
      <c r="G215" s="15">
        <v>1</v>
      </c>
      <c r="H215" s="4" t="s">
        <v>76</v>
      </c>
      <c r="I215" s="17" t="s">
        <v>640</v>
      </c>
      <c r="J215" s="15" t="s">
        <v>185</v>
      </c>
      <c r="K215" s="15"/>
      <c r="M215" s="15"/>
      <c r="N215" s="15"/>
      <c r="O215" s="4" t="s">
        <v>75</v>
      </c>
      <c r="P215" s="44" t="s">
        <v>633</v>
      </c>
      <c r="Q215" s="48" t="s">
        <v>182</v>
      </c>
      <c r="R215" s="44" t="s">
        <v>189</v>
      </c>
      <c r="S215" s="44" t="s">
        <v>189</v>
      </c>
      <c r="T215" s="44" t="s">
        <v>189</v>
      </c>
      <c r="U215" s="44" t="s">
        <v>75</v>
      </c>
      <c r="V215" s="44" t="s">
        <v>257</v>
      </c>
      <c r="W215" s="44" t="s">
        <v>257</v>
      </c>
      <c r="X215" s="49">
        <v>46229</v>
      </c>
      <c r="Z215" s="53" t="s">
        <v>641</v>
      </c>
      <c r="AA215" s="4" t="s">
        <v>288</v>
      </c>
      <c r="AC215" s="44" t="s">
        <v>635</v>
      </c>
      <c r="AD215" s="44" t="s">
        <v>191</v>
      </c>
      <c r="AE215" s="1">
        <v>372</v>
      </c>
    </row>
    <row r="216" spans="1:31" customFormat="1">
      <c r="A216" s="15" t="s">
        <v>642</v>
      </c>
      <c r="B216" s="15" t="s">
        <v>176</v>
      </c>
      <c r="C216" s="4" t="s">
        <v>283</v>
      </c>
      <c r="D216" s="4" t="s">
        <v>24</v>
      </c>
      <c r="E216" s="4" t="s">
        <v>25</v>
      </c>
      <c r="F216" s="4"/>
      <c r="G216" s="15">
        <v>1</v>
      </c>
      <c r="H216" s="4" t="s">
        <v>76</v>
      </c>
      <c r="I216" s="17" t="s">
        <v>632</v>
      </c>
      <c r="J216" s="15" t="s">
        <v>185</v>
      </c>
      <c r="K216" s="15"/>
      <c r="L216" s="45"/>
      <c r="M216" s="15"/>
      <c r="N216" s="15"/>
      <c r="O216" s="4" t="s">
        <v>75</v>
      </c>
      <c r="P216" s="44" t="s">
        <v>633</v>
      </c>
      <c r="Q216" s="48" t="s">
        <v>182</v>
      </c>
      <c r="R216" s="44" t="s">
        <v>189</v>
      </c>
      <c r="S216" s="44" t="s">
        <v>189</v>
      </c>
      <c r="T216" s="44" t="s">
        <v>189</v>
      </c>
      <c r="U216" s="44" t="s">
        <v>75</v>
      </c>
      <c r="V216" s="44" t="s">
        <v>257</v>
      </c>
      <c r="W216" s="44" t="s">
        <v>257</v>
      </c>
      <c r="X216" s="49">
        <v>46230</v>
      </c>
      <c r="Y216" s="45"/>
      <c r="Z216" s="45" t="s">
        <v>643</v>
      </c>
      <c r="AA216" s="4" t="s">
        <v>288</v>
      </c>
      <c r="AB216" s="44"/>
      <c r="AC216" s="44" t="s">
        <v>635</v>
      </c>
      <c r="AD216" s="44" t="s">
        <v>191</v>
      </c>
      <c r="AE216" s="1">
        <v>372</v>
      </c>
    </row>
    <row r="217" spans="1:31" customFormat="1">
      <c r="A217" s="15" t="s">
        <v>644</v>
      </c>
      <c r="B217" s="15" t="s">
        <v>176</v>
      </c>
      <c r="C217" s="4" t="s">
        <v>283</v>
      </c>
      <c r="D217" s="4" t="s">
        <v>24</v>
      </c>
      <c r="E217" s="4" t="s">
        <v>25</v>
      </c>
      <c r="F217" s="4"/>
      <c r="G217" s="15">
        <v>1</v>
      </c>
      <c r="H217" s="4" t="s">
        <v>76</v>
      </c>
      <c r="I217" s="17" t="s">
        <v>637</v>
      </c>
      <c r="J217" s="15" t="s">
        <v>185</v>
      </c>
      <c r="K217" s="15"/>
      <c r="L217" s="45"/>
      <c r="M217" s="15"/>
      <c r="N217" s="15"/>
      <c r="O217" s="4" t="s">
        <v>75</v>
      </c>
      <c r="P217" s="44" t="s">
        <v>633</v>
      </c>
      <c r="Q217" s="48" t="s">
        <v>182</v>
      </c>
      <c r="R217" s="44" t="s">
        <v>189</v>
      </c>
      <c r="S217" s="44" t="s">
        <v>189</v>
      </c>
      <c r="T217" s="44" t="s">
        <v>189</v>
      </c>
      <c r="U217" s="44" t="s">
        <v>75</v>
      </c>
      <c r="V217" s="44" t="s">
        <v>257</v>
      </c>
      <c r="W217" s="44" t="s">
        <v>257</v>
      </c>
      <c r="X217" s="49">
        <v>46230</v>
      </c>
      <c r="Y217" s="45"/>
      <c r="Z217" s="45" t="s">
        <v>645</v>
      </c>
      <c r="AA217" s="4" t="s">
        <v>288</v>
      </c>
      <c r="AB217" s="44"/>
      <c r="AC217" s="44" t="s">
        <v>635</v>
      </c>
      <c r="AD217" s="44" t="s">
        <v>191</v>
      </c>
      <c r="AE217" s="1">
        <v>372</v>
      </c>
    </row>
    <row r="218" spans="1:31" customFormat="1">
      <c r="A218" s="15" t="s">
        <v>646</v>
      </c>
      <c r="B218" s="15" t="s">
        <v>176</v>
      </c>
      <c r="C218" s="4" t="s">
        <v>283</v>
      </c>
      <c r="D218" s="4" t="s">
        <v>24</v>
      </c>
      <c r="E218" s="4" t="s">
        <v>25</v>
      </c>
      <c r="F218" s="4"/>
      <c r="G218" s="15">
        <v>1</v>
      </c>
      <c r="H218" s="4" t="s">
        <v>76</v>
      </c>
      <c r="I218" s="17" t="s">
        <v>640</v>
      </c>
      <c r="J218" s="15" t="s">
        <v>185</v>
      </c>
      <c r="K218" s="15"/>
      <c r="L218" s="45"/>
      <c r="M218" s="15"/>
      <c r="N218" s="15"/>
      <c r="O218" s="4" t="s">
        <v>75</v>
      </c>
      <c r="P218" s="44" t="s">
        <v>647</v>
      </c>
      <c r="Q218" s="48" t="s">
        <v>182</v>
      </c>
      <c r="R218" s="44" t="s">
        <v>189</v>
      </c>
      <c r="S218" s="44" t="s">
        <v>189</v>
      </c>
      <c r="T218" s="44" t="s">
        <v>189</v>
      </c>
      <c r="U218" s="44" t="s">
        <v>75</v>
      </c>
      <c r="V218" s="44" t="s">
        <v>257</v>
      </c>
      <c r="W218" s="44" t="s">
        <v>257</v>
      </c>
      <c r="X218" s="49">
        <v>46230</v>
      </c>
      <c r="Y218" s="45"/>
      <c r="Z218" s="53" t="s">
        <v>641</v>
      </c>
      <c r="AA218" s="4" t="s">
        <v>288</v>
      </c>
      <c r="AB218" s="44"/>
      <c r="AC218" s="44" t="s">
        <v>635</v>
      </c>
      <c r="AD218" s="44" t="s">
        <v>191</v>
      </c>
      <c r="AE218" s="1">
        <v>372</v>
      </c>
    </row>
    <row r="219" spans="1:31" customFormat="1">
      <c r="A219" s="15" t="s">
        <v>648</v>
      </c>
      <c r="B219" s="15" t="s">
        <v>176</v>
      </c>
      <c r="C219" s="4" t="s">
        <v>283</v>
      </c>
      <c r="D219" s="4" t="s">
        <v>24</v>
      </c>
      <c r="E219" s="4" t="s">
        <v>25</v>
      </c>
      <c r="F219" s="4"/>
      <c r="G219" s="15">
        <v>1</v>
      </c>
      <c r="H219" s="4" t="s">
        <v>76</v>
      </c>
      <c r="I219" s="17" t="s">
        <v>649</v>
      </c>
      <c r="J219" s="15" t="s">
        <v>223</v>
      </c>
      <c r="K219" s="3"/>
      <c r="L219" s="45"/>
      <c r="M219" s="3"/>
      <c r="N219" s="3"/>
      <c r="O219" t="s">
        <v>75</v>
      </c>
      <c r="P219" s="44" t="s">
        <v>607</v>
      </c>
      <c r="Q219" s="48" t="s">
        <v>182</v>
      </c>
      <c r="R219" s="44" t="s">
        <v>189</v>
      </c>
      <c r="S219" s="44" t="s">
        <v>189</v>
      </c>
      <c r="T219" s="44" t="s">
        <v>189</v>
      </c>
      <c r="U219" s="44" t="s">
        <v>75</v>
      </c>
      <c r="V219" s="49">
        <v>46207</v>
      </c>
      <c r="W219" s="49">
        <v>46208</v>
      </c>
      <c r="X219" s="44"/>
      <c r="Y219" s="45"/>
      <c r="Z219" s="45" t="s">
        <v>650</v>
      </c>
      <c r="AA219" s="4" t="s">
        <v>315</v>
      </c>
      <c r="AB219" s="44"/>
      <c r="AC219" s="44" t="s">
        <v>651</v>
      </c>
      <c r="AD219" s="44" t="s">
        <v>191</v>
      </c>
      <c r="AE219" s="1">
        <v>372</v>
      </c>
    </row>
    <row r="220" spans="1:31" customFormat="1">
      <c r="A220" s="15" t="s">
        <v>652</v>
      </c>
      <c r="B220" s="15" t="s">
        <v>176</v>
      </c>
      <c r="C220" s="4" t="s">
        <v>283</v>
      </c>
      <c r="D220" s="4" t="s">
        <v>24</v>
      </c>
      <c r="E220" s="4" t="s">
        <v>25</v>
      </c>
      <c r="F220" s="4"/>
      <c r="G220" s="15">
        <v>1</v>
      </c>
      <c r="H220" s="4" t="s">
        <v>76</v>
      </c>
      <c r="I220" s="17" t="s">
        <v>653</v>
      </c>
      <c r="J220" s="15" t="s">
        <v>223</v>
      </c>
      <c r="K220" s="3"/>
      <c r="L220" s="45"/>
      <c r="M220" s="3"/>
      <c r="N220" s="3"/>
      <c r="O220" t="s">
        <v>75</v>
      </c>
      <c r="P220" s="44" t="s">
        <v>647</v>
      </c>
      <c r="Q220" s="48" t="s">
        <v>182</v>
      </c>
      <c r="R220" s="44" t="s">
        <v>189</v>
      </c>
      <c r="S220" s="44" t="s">
        <v>189</v>
      </c>
      <c r="T220" s="44" t="s">
        <v>189</v>
      </c>
      <c r="U220" s="44" t="s">
        <v>75</v>
      </c>
      <c r="V220" s="49">
        <v>46207</v>
      </c>
      <c r="W220" s="49">
        <v>46208</v>
      </c>
      <c r="X220" s="44"/>
      <c r="Y220" s="45"/>
      <c r="Z220" s="45" t="s">
        <v>650</v>
      </c>
      <c r="AA220" s="4" t="s">
        <v>315</v>
      </c>
      <c r="AB220" s="44"/>
      <c r="AC220" s="44" t="s">
        <v>651</v>
      </c>
      <c r="AD220" s="44" t="s">
        <v>191</v>
      </c>
      <c r="AE220" s="1">
        <v>372</v>
      </c>
    </row>
    <row r="221" spans="1:31">
      <c r="A221" s="15" t="s">
        <v>654</v>
      </c>
      <c r="B221" s="15" t="s">
        <v>176</v>
      </c>
      <c r="C221" s="4" t="s">
        <v>283</v>
      </c>
      <c r="D221" s="4" t="s">
        <v>24</v>
      </c>
      <c r="E221" s="4" t="s">
        <v>25</v>
      </c>
      <c r="G221" s="15">
        <v>1</v>
      </c>
      <c r="H221" s="4" t="s">
        <v>76</v>
      </c>
      <c r="I221" s="17" t="s">
        <v>655</v>
      </c>
      <c r="J221" s="15" t="s">
        <v>223</v>
      </c>
      <c r="M221" s="3"/>
      <c r="N221" s="3"/>
      <c r="O221" t="s">
        <v>75</v>
      </c>
      <c r="P221" s="44" t="s">
        <v>607</v>
      </c>
      <c r="Q221" s="48" t="s">
        <v>182</v>
      </c>
      <c r="R221" s="44" t="s">
        <v>189</v>
      </c>
      <c r="S221" s="44" t="s">
        <v>189</v>
      </c>
      <c r="T221" s="44" t="s">
        <v>189</v>
      </c>
      <c r="U221" s="44" t="s">
        <v>75</v>
      </c>
      <c r="V221" s="49">
        <v>46207</v>
      </c>
      <c r="W221" s="49">
        <v>46208</v>
      </c>
      <c r="Z221" s="45" t="s">
        <v>656</v>
      </c>
      <c r="AA221" s="4" t="s">
        <v>315</v>
      </c>
      <c r="AC221" s="44" t="s">
        <v>651</v>
      </c>
      <c r="AD221" s="44" t="s">
        <v>191</v>
      </c>
      <c r="AE221" s="1">
        <v>372</v>
      </c>
    </row>
    <row r="222" spans="1:31">
      <c r="A222" s="15" t="s">
        <v>657</v>
      </c>
      <c r="B222" s="15" t="s">
        <v>176</v>
      </c>
      <c r="C222" s="4" t="s">
        <v>283</v>
      </c>
      <c r="D222" s="4" t="s">
        <v>24</v>
      </c>
      <c r="E222" s="4" t="s">
        <v>25</v>
      </c>
      <c r="G222" s="15">
        <v>1</v>
      </c>
      <c r="H222" s="4" t="s">
        <v>76</v>
      </c>
      <c r="I222" s="17" t="s">
        <v>658</v>
      </c>
      <c r="J222" s="15" t="s">
        <v>223</v>
      </c>
      <c r="M222" s="3"/>
      <c r="N222" s="3"/>
      <c r="O222" t="s">
        <v>75</v>
      </c>
      <c r="P222" s="44" t="s">
        <v>607</v>
      </c>
      <c r="Q222" s="48" t="s">
        <v>182</v>
      </c>
      <c r="R222" s="44" t="s">
        <v>189</v>
      </c>
      <c r="S222" s="44" t="s">
        <v>189</v>
      </c>
      <c r="T222" s="44" t="s">
        <v>189</v>
      </c>
      <c r="U222" s="44" t="s">
        <v>75</v>
      </c>
      <c r="V222" s="49">
        <v>46208</v>
      </c>
      <c r="W222" s="49">
        <v>46209</v>
      </c>
      <c r="Z222" s="45" t="s">
        <v>650</v>
      </c>
      <c r="AA222" s="4" t="s">
        <v>315</v>
      </c>
      <c r="AC222" s="44" t="s">
        <v>651</v>
      </c>
      <c r="AD222" s="44" t="s">
        <v>191</v>
      </c>
      <c r="AE222" s="1">
        <v>372</v>
      </c>
    </row>
    <row r="223" spans="1:31" customFormat="1">
      <c r="A223" s="15" t="s">
        <v>659</v>
      </c>
      <c r="B223" s="15" t="s">
        <v>176</v>
      </c>
      <c r="C223" s="4" t="s">
        <v>283</v>
      </c>
      <c r="D223" s="4" t="s">
        <v>24</v>
      </c>
      <c r="E223" s="4" t="s">
        <v>25</v>
      </c>
      <c r="F223" s="4"/>
      <c r="G223" s="15">
        <v>1</v>
      </c>
      <c r="H223" s="4" t="s">
        <v>76</v>
      </c>
      <c r="I223" s="17" t="s">
        <v>653</v>
      </c>
      <c r="J223" s="15" t="s">
        <v>223</v>
      </c>
      <c r="K223" s="3"/>
      <c r="L223" s="45"/>
      <c r="M223" s="3"/>
      <c r="N223" s="3"/>
      <c r="O223" t="s">
        <v>75</v>
      </c>
      <c r="P223" s="44" t="s">
        <v>607</v>
      </c>
      <c r="Q223" s="48" t="s">
        <v>182</v>
      </c>
      <c r="R223" s="44" t="s">
        <v>189</v>
      </c>
      <c r="S223" s="44" t="s">
        <v>189</v>
      </c>
      <c r="T223" s="44" t="s">
        <v>189</v>
      </c>
      <c r="U223" s="44" t="s">
        <v>75</v>
      </c>
      <c r="V223" s="49">
        <v>46208</v>
      </c>
      <c r="W223" s="49">
        <v>46209</v>
      </c>
      <c r="X223" s="44"/>
      <c r="Y223" s="45"/>
      <c r="Z223" s="45" t="s">
        <v>650</v>
      </c>
      <c r="AA223" s="4" t="s">
        <v>315</v>
      </c>
      <c r="AB223" s="44"/>
      <c r="AC223" s="44" t="s">
        <v>651</v>
      </c>
      <c r="AD223" s="44" t="s">
        <v>191</v>
      </c>
      <c r="AE223" s="1">
        <v>372</v>
      </c>
    </row>
    <row r="224" spans="1:31" customFormat="1">
      <c r="A224" s="15" t="s">
        <v>660</v>
      </c>
      <c r="B224" s="15" t="s">
        <v>176</v>
      </c>
      <c r="C224" s="4" t="s">
        <v>283</v>
      </c>
      <c r="D224" s="4" t="s">
        <v>24</v>
      </c>
      <c r="E224" s="4" t="s">
        <v>25</v>
      </c>
      <c r="F224" s="4"/>
      <c r="G224" s="15">
        <v>1</v>
      </c>
      <c r="H224" s="4" t="s">
        <v>76</v>
      </c>
      <c r="I224" s="17" t="s">
        <v>655</v>
      </c>
      <c r="J224" s="15" t="s">
        <v>223</v>
      </c>
      <c r="K224" s="3"/>
      <c r="L224" s="45"/>
      <c r="M224" s="3"/>
      <c r="N224" s="3"/>
      <c r="O224" t="s">
        <v>75</v>
      </c>
      <c r="P224" s="44" t="s">
        <v>607</v>
      </c>
      <c r="Q224" s="48" t="s">
        <v>182</v>
      </c>
      <c r="R224" s="44" t="s">
        <v>189</v>
      </c>
      <c r="S224" s="44" t="s">
        <v>189</v>
      </c>
      <c r="T224" s="44" t="s">
        <v>189</v>
      </c>
      <c r="U224" s="44" t="s">
        <v>75</v>
      </c>
      <c r="V224" s="49">
        <v>46208</v>
      </c>
      <c r="W224" s="49">
        <v>46209</v>
      </c>
      <c r="X224" s="44"/>
      <c r="Y224" s="45"/>
      <c r="Z224" s="45" t="s">
        <v>656</v>
      </c>
      <c r="AA224" s="4" t="s">
        <v>315</v>
      </c>
      <c r="AB224" s="44"/>
      <c r="AC224" s="44" t="s">
        <v>651</v>
      </c>
      <c r="AD224" s="44" t="s">
        <v>191</v>
      </c>
      <c r="AE224" s="1">
        <v>372</v>
      </c>
    </row>
    <row r="225" spans="1:31" customFormat="1" hidden="1">
      <c r="A225" s="15" t="s">
        <v>661</v>
      </c>
      <c r="B225" s="15" t="s">
        <v>201</v>
      </c>
      <c r="C225" s="4" t="s">
        <v>273</v>
      </c>
      <c r="D225" s="4" t="s">
        <v>68</v>
      </c>
      <c r="E225" s="4" t="s">
        <v>69</v>
      </c>
      <c r="F225" s="4"/>
      <c r="G225" s="15">
        <v>1</v>
      </c>
      <c r="H225" s="4" t="s">
        <v>662</v>
      </c>
      <c r="I225" s="4" t="s">
        <v>663</v>
      </c>
      <c r="J225" s="15" t="s">
        <v>179</v>
      </c>
      <c r="K225" s="15"/>
      <c r="L225" s="45"/>
      <c r="M225" s="15" t="s">
        <v>239</v>
      </c>
      <c r="N225" s="15"/>
      <c r="O225" s="4" t="s">
        <v>66</v>
      </c>
      <c r="P225" s="44" t="s">
        <v>189</v>
      </c>
      <c r="Q225" s="46" t="s">
        <v>240</v>
      </c>
      <c r="R225" s="44" t="s">
        <v>189</v>
      </c>
      <c r="S225" s="44" t="s">
        <v>189</v>
      </c>
      <c r="T225" s="44" t="s">
        <v>189</v>
      </c>
      <c r="U225" s="44" t="s">
        <v>66</v>
      </c>
      <c r="V225" s="44" t="s">
        <v>248</v>
      </c>
      <c r="W225" s="44" t="s">
        <v>664</v>
      </c>
      <c r="X225" s="44"/>
      <c r="Y225" s="45"/>
      <c r="Z225" s="45" t="s">
        <v>243</v>
      </c>
      <c r="AA225" s="4" t="s">
        <v>277</v>
      </c>
      <c r="AB225" s="44"/>
      <c r="AC225" s="44" t="s">
        <v>665</v>
      </c>
      <c r="AD225" s="44" t="s">
        <v>191</v>
      </c>
      <c r="AE225" s="1">
        <v>112</v>
      </c>
    </row>
    <row r="226" spans="1:31" customFormat="1" hidden="1">
      <c r="A226" s="15" t="s">
        <v>666</v>
      </c>
      <c r="B226" s="15" t="s">
        <v>201</v>
      </c>
      <c r="C226" s="4" t="s">
        <v>273</v>
      </c>
      <c r="D226" s="4" t="s">
        <v>68</v>
      </c>
      <c r="E226" s="4" t="s">
        <v>69</v>
      </c>
      <c r="F226" s="4"/>
      <c r="G226" s="15">
        <v>1</v>
      </c>
      <c r="H226" s="4" t="s">
        <v>662</v>
      </c>
      <c r="I226" s="4" t="s">
        <v>667</v>
      </c>
      <c r="J226" s="15" t="s">
        <v>223</v>
      </c>
      <c r="K226" s="15"/>
      <c r="L226" s="45"/>
      <c r="M226" s="15" t="s">
        <v>239</v>
      </c>
      <c r="N226" s="15"/>
      <c r="O226" t="s">
        <v>66</v>
      </c>
      <c r="P226" s="44" t="s">
        <v>189</v>
      </c>
      <c r="Q226" s="46" t="s">
        <v>240</v>
      </c>
      <c r="R226" s="44" t="s">
        <v>189</v>
      </c>
      <c r="S226" s="44" t="s">
        <v>189</v>
      </c>
      <c r="T226" s="44" t="s">
        <v>189</v>
      </c>
      <c r="U226" s="44" t="s">
        <v>66</v>
      </c>
      <c r="V226" s="44" t="s">
        <v>668</v>
      </c>
      <c r="W226" s="44" t="s">
        <v>669</v>
      </c>
      <c r="X226" s="44"/>
      <c r="Y226" s="45"/>
      <c r="Z226" s="45" t="s">
        <v>300</v>
      </c>
      <c r="AA226" s="4" t="s">
        <v>288</v>
      </c>
      <c r="AB226" s="44"/>
      <c r="AC226" s="44" t="s">
        <v>665</v>
      </c>
      <c r="AD226" s="44" t="s">
        <v>191</v>
      </c>
      <c r="AE226" s="1">
        <v>112</v>
      </c>
    </row>
    <row r="227" spans="1:31" customFormat="1" hidden="1">
      <c r="A227" s="15" t="s">
        <v>670</v>
      </c>
      <c r="B227" s="15" t="s">
        <v>201</v>
      </c>
      <c r="C227" s="4" t="s">
        <v>273</v>
      </c>
      <c r="D227" s="4" t="s">
        <v>68</v>
      </c>
      <c r="E227" s="4" t="s">
        <v>69</v>
      </c>
      <c r="F227" s="4"/>
      <c r="G227" s="15">
        <v>1</v>
      </c>
      <c r="H227" s="4" t="s">
        <v>662</v>
      </c>
      <c r="I227" s="4" t="s">
        <v>671</v>
      </c>
      <c r="J227" s="15" t="s">
        <v>223</v>
      </c>
      <c r="K227" s="15"/>
      <c r="L227" s="45"/>
      <c r="M227" s="15" t="s">
        <v>239</v>
      </c>
      <c r="N227" s="15"/>
      <c r="O227" t="s">
        <v>66</v>
      </c>
      <c r="P227" s="44" t="s">
        <v>189</v>
      </c>
      <c r="Q227" s="46" t="s">
        <v>240</v>
      </c>
      <c r="R227" s="44" t="s">
        <v>189</v>
      </c>
      <c r="S227" s="44" t="s">
        <v>189</v>
      </c>
      <c r="T227" s="44" t="s">
        <v>189</v>
      </c>
      <c r="U227" s="44" t="s">
        <v>66</v>
      </c>
      <c r="V227" s="44" t="s">
        <v>668</v>
      </c>
      <c r="W227" s="44" t="s">
        <v>669</v>
      </c>
      <c r="X227" s="44"/>
      <c r="Y227" s="45"/>
      <c r="Z227" s="45" t="s">
        <v>300</v>
      </c>
      <c r="AA227" s="4" t="s">
        <v>288</v>
      </c>
      <c r="AB227" s="44"/>
      <c r="AC227" s="44" t="s">
        <v>665</v>
      </c>
      <c r="AD227" s="44" t="s">
        <v>191</v>
      </c>
      <c r="AE227" s="1">
        <v>112</v>
      </c>
    </row>
    <row r="228" spans="1:31" customFormat="1" hidden="1">
      <c r="A228" s="15" t="s">
        <v>672</v>
      </c>
      <c r="B228" s="15" t="s">
        <v>201</v>
      </c>
      <c r="C228" s="4" t="s">
        <v>273</v>
      </c>
      <c r="D228" s="4" t="s">
        <v>68</v>
      </c>
      <c r="E228" s="4" t="s">
        <v>69</v>
      </c>
      <c r="F228" s="4"/>
      <c r="G228" s="15">
        <v>1</v>
      </c>
      <c r="H228" s="4" t="s">
        <v>662</v>
      </c>
      <c r="I228" s="4" t="s">
        <v>663</v>
      </c>
      <c r="J228" s="15" t="s">
        <v>179</v>
      </c>
      <c r="K228" s="15"/>
      <c r="L228" s="45"/>
      <c r="M228" s="15" t="s">
        <v>239</v>
      </c>
      <c r="N228" s="15"/>
      <c r="O228" s="4" t="s">
        <v>66</v>
      </c>
      <c r="P228" s="44" t="s">
        <v>189</v>
      </c>
      <c r="Q228" s="46" t="s">
        <v>240</v>
      </c>
      <c r="R228" s="44" t="s">
        <v>189</v>
      </c>
      <c r="S228" s="44" t="s">
        <v>189</v>
      </c>
      <c r="T228" s="44" t="s">
        <v>189</v>
      </c>
      <c r="U228" s="44" t="s">
        <v>66</v>
      </c>
      <c r="V228" s="44" t="s">
        <v>248</v>
      </c>
      <c r="W228" s="44" t="s">
        <v>664</v>
      </c>
      <c r="X228" s="44"/>
      <c r="Y228" s="45"/>
      <c r="Z228" s="45" t="s">
        <v>243</v>
      </c>
      <c r="AA228" s="4" t="s">
        <v>277</v>
      </c>
      <c r="AB228" s="44"/>
      <c r="AC228" s="44" t="s">
        <v>665</v>
      </c>
      <c r="AD228" s="44" t="s">
        <v>191</v>
      </c>
      <c r="AE228" s="1">
        <v>112</v>
      </c>
    </row>
    <row r="229" spans="1:31" customFormat="1" hidden="1">
      <c r="A229" s="15" t="s">
        <v>673</v>
      </c>
      <c r="B229" s="15" t="s">
        <v>201</v>
      </c>
      <c r="C229" s="4" t="s">
        <v>273</v>
      </c>
      <c r="D229" s="4" t="s">
        <v>68</v>
      </c>
      <c r="E229" s="4" t="s">
        <v>69</v>
      </c>
      <c r="F229" s="4"/>
      <c r="G229" s="15">
        <v>1</v>
      </c>
      <c r="H229" s="4" t="s">
        <v>662</v>
      </c>
      <c r="I229" s="4" t="s">
        <v>667</v>
      </c>
      <c r="J229" s="15" t="s">
        <v>223</v>
      </c>
      <c r="K229" s="15"/>
      <c r="L229" s="45"/>
      <c r="M229" s="15" t="s">
        <v>239</v>
      </c>
      <c r="N229" s="15"/>
      <c r="O229" t="s">
        <v>66</v>
      </c>
      <c r="P229" s="44" t="s">
        <v>189</v>
      </c>
      <c r="Q229" s="46" t="s">
        <v>240</v>
      </c>
      <c r="R229" s="44" t="s">
        <v>189</v>
      </c>
      <c r="S229" s="44" t="s">
        <v>189</v>
      </c>
      <c r="T229" s="44" t="s">
        <v>189</v>
      </c>
      <c r="U229" s="44" t="s">
        <v>66</v>
      </c>
      <c r="V229" s="44" t="s">
        <v>668</v>
      </c>
      <c r="W229" s="44" t="s">
        <v>669</v>
      </c>
      <c r="X229" s="44"/>
      <c r="Y229" s="45"/>
      <c r="Z229" s="45" t="s">
        <v>300</v>
      </c>
      <c r="AA229" s="4" t="s">
        <v>288</v>
      </c>
      <c r="AB229" s="44"/>
      <c r="AC229" s="44" t="s">
        <v>665</v>
      </c>
      <c r="AD229" s="44" t="s">
        <v>191</v>
      </c>
      <c r="AE229" s="1">
        <v>112</v>
      </c>
    </row>
    <row r="230" spans="1:31" customFormat="1" hidden="1">
      <c r="A230" s="15" t="s">
        <v>674</v>
      </c>
      <c r="B230" s="15" t="s">
        <v>201</v>
      </c>
      <c r="C230" s="4" t="s">
        <v>273</v>
      </c>
      <c r="D230" s="4" t="s">
        <v>68</v>
      </c>
      <c r="E230" s="4" t="s">
        <v>69</v>
      </c>
      <c r="F230" s="4"/>
      <c r="G230" s="15">
        <v>1</v>
      </c>
      <c r="H230" s="4" t="s">
        <v>662</v>
      </c>
      <c r="I230" s="4" t="s">
        <v>671</v>
      </c>
      <c r="J230" s="15" t="s">
        <v>223</v>
      </c>
      <c r="K230" s="15"/>
      <c r="L230" s="45"/>
      <c r="M230" s="15" t="s">
        <v>239</v>
      </c>
      <c r="N230" s="15"/>
      <c r="O230" t="s">
        <v>66</v>
      </c>
      <c r="P230" s="44" t="s">
        <v>189</v>
      </c>
      <c r="Q230" s="46" t="s">
        <v>240</v>
      </c>
      <c r="R230" s="44" t="s">
        <v>189</v>
      </c>
      <c r="S230" s="44" t="s">
        <v>189</v>
      </c>
      <c r="T230" s="44" t="s">
        <v>189</v>
      </c>
      <c r="U230" s="44" t="s">
        <v>66</v>
      </c>
      <c r="V230" s="44" t="s">
        <v>668</v>
      </c>
      <c r="W230" s="44" t="s">
        <v>669</v>
      </c>
      <c r="X230" s="44"/>
      <c r="Y230" s="45"/>
      <c r="Z230" s="45" t="s">
        <v>300</v>
      </c>
      <c r="AA230" s="4" t="s">
        <v>288</v>
      </c>
      <c r="AB230" s="44"/>
      <c r="AC230" s="44" t="s">
        <v>665</v>
      </c>
      <c r="AD230" s="44" t="s">
        <v>191</v>
      </c>
      <c r="AE230" s="1">
        <v>112</v>
      </c>
    </row>
    <row r="231" spans="1:31" customFormat="1" hidden="1">
      <c r="A231" s="15" t="s">
        <v>675</v>
      </c>
      <c r="B231" s="15" t="s">
        <v>201</v>
      </c>
      <c r="C231" s="4" t="s">
        <v>273</v>
      </c>
      <c r="D231" s="4" t="s">
        <v>68</v>
      </c>
      <c r="E231" s="4" t="s">
        <v>69</v>
      </c>
      <c r="F231" s="4"/>
      <c r="G231" s="15">
        <v>1</v>
      </c>
      <c r="H231" s="4" t="s">
        <v>662</v>
      </c>
      <c r="I231" s="4" t="s">
        <v>663</v>
      </c>
      <c r="J231" s="15" t="s">
        <v>223</v>
      </c>
      <c r="K231" s="15"/>
      <c r="L231" s="45"/>
      <c r="M231" s="15" t="s">
        <v>239</v>
      </c>
      <c r="N231" s="15"/>
      <c r="O231" t="s">
        <v>66</v>
      </c>
      <c r="P231" s="44" t="s">
        <v>189</v>
      </c>
      <c r="Q231" s="46" t="s">
        <v>240</v>
      </c>
      <c r="R231" s="44" t="s">
        <v>189</v>
      </c>
      <c r="S231" s="44" t="s">
        <v>189</v>
      </c>
      <c r="T231" s="44" t="s">
        <v>189</v>
      </c>
      <c r="U231" s="44" t="s">
        <v>66</v>
      </c>
      <c r="V231" s="44" t="s">
        <v>668</v>
      </c>
      <c r="W231" s="44" t="s">
        <v>669</v>
      </c>
      <c r="X231" s="44"/>
      <c r="Y231" s="45"/>
      <c r="Z231" s="45" t="s">
        <v>300</v>
      </c>
      <c r="AA231" s="4" t="s">
        <v>288</v>
      </c>
      <c r="AB231" s="44"/>
      <c r="AC231" s="44" t="s">
        <v>665</v>
      </c>
      <c r="AD231" s="44" t="s">
        <v>191</v>
      </c>
      <c r="AE231" s="1">
        <v>112</v>
      </c>
    </row>
    <row r="232" spans="1:31" customFormat="1" hidden="1">
      <c r="A232" s="15" t="s">
        <v>676</v>
      </c>
      <c r="B232" s="15" t="s">
        <v>201</v>
      </c>
      <c r="C232" s="4" t="s">
        <v>273</v>
      </c>
      <c r="D232" s="4" t="s">
        <v>68</v>
      </c>
      <c r="E232" s="4" t="s">
        <v>69</v>
      </c>
      <c r="F232" s="4"/>
      <c r="G232" s="15">
        <v>1</v>
      </c>
      <c r="H232" s="4" t="s">
        <v>662</v>
      </c>
      <c r="I232" s="4" t="s">
        <v>667</v>
      </c>
      <c r="J232" s="15" t="s">
        <v>223</v>
      </c>
      <c r="K232" s="15"/>
      <c r="L232" s="45"/>
      <c r="M232" s="15" t="s">
        <v>239</v>
      </c>
      <c r="N232" s="15"/>
      <c r="O232" t="s">
        <v>66</v>
      </c>
      <c r="P232" s="44" t="s">
        <v>189</v>
      </c>
      <c r="Q232" s="46" t="s">
        <v>240</v>
      </c>
      <c r="R232" s="44" t="s">
        <v>189</v>
      </c>
      <c r="S232" s="44" t="s">
        <v>189</v>
      </c>
      <c r="T232" s="44" t="s">
        <v>189</v>
      </c>
      <c r="U232" s="44" t="s">
        <v>66</v>
      </c>
      <c r="V232" s="44" t="s">
        <v>668</v>
      </c>
      <c r="W232" s="44" t="s">
        <v>669</v>
      </c>
      <c r="X232" s="44"/>
      <c r="Y232" s="45"/>
      <c r="Z232" s="45" t="s">
        <v>300</v>
      </c>
      <c r="AA232" s="4" t="s">
        <v>288</v>
      </c>
      <c r="AB232" s="44"/>
      <c r="AC232" s="44" t="s">
        <v>665</v>
      </c>
      <c r="AD232" s="44" t="s">
        <v>191</v>
      </c>
      <c r="AE232" s="1">
        <v>112</v>
      </c>
    </row>
    <row r="233" spans="1:31" customFormat="1" hidden="1">
      <c r="A233" s="15" t="s">
        <v>677</v>
      </c>
      <c r="B233" s="15" t="s">
        <v>201</v>
      </c>
      <c r="C233" s="4" t="s">
        <v>273</v>
      </c>
      <c r="D233" s="4" t="s">
        <v>68</v>
      </c>
      <c r="E233" s="4" t="s">
        <v>69</v>
      </c>
      <c r="F233" s="4"/>
      <c r="G233" s="15">
        <v>1</v>
      </c>
      <c r="H233" s="4" t="s">
        <v>662</v>
      </c>
      <c r="I233" s="4" t="s">
        <v>678</v>
      </c>
      <c r="J233" s="15" t="s">
        <v>179</v>
      </c>
      <c r="K233" s="15"/>
      <c r="L233" s="45"/>
      <c r="M233" s="15" t="s">
        <v>239</v>
      </c>
      <c r="N233" s="15"/>
      <c r="O233" s="4" t="s">
        <v>66</v>
      </c>
      <c r="P233" s="44" t="s">
        <v>189</v>
      </c>
      <c r="Q233" s="46" t="s">
        <v>240</v>
      </c>
      <c r="R233" s="44" t="s">
        <v>189</v>
      </c>
      <c r="S233" s="44" t="s">
        <v>189</v>
      </c>
      <c r="T233" s="44" t="s">
        <v>189</v>
      </c>
      <c r="U233" s="44" t="s">
        <v>66</v>
      </c>
      <c r="V233" s="44" t="s">
        <v>679</v>
      </c>
      <c r="W233" s="44" t="s">
        <v>271</v>
      </c>
      <c r="X233" s="44"/>
      <c r="Y233" s="45"/>
      <c r="Z233" s="45" t="s">
        <v>243</v>
      </c>
      <c r="AA233" s="4" t="s">
        <v>277</v>
      </c>
      <c r="AB233" s="44"/>
      <c r="AC233" s="44" t="s">
        <v>665</v>
      </c>
      <c r="AD233" s="44" t="s">
        <v>191</v>
      </c>
      <c r="AE233" s="1">
        <v>112</v>
      </c>
    </row>
    <row r="234" spans="1:31" customFormat="1" hidden="1">
      <c r="A234" s="15" t="s">
        <v>680</v>
      </c>
      <c r="B234" s="15" t="s">
        <v>201</v>
      </c>
      <c r="C234" s="4" t="s">
        <v>273</v>
      </c>
      <c r="D234" s="4" t="s">
        <v>68</v>
      </c>
      <c r="E234" s="4" t="s">
        <v>69</v>
      </c>
      <c r="F234" s="4"/>
      <c r="G234" s="15">
        <v>1</v>
      </c>
      <c r="H234" s="4" t="s">
        <v>662</v>
      </c>
      <c r="I234" s="11" t="s">
        <v>681</v>
      </c>
      <c r="J234" s="15" t="s">
        <v>179</v>
      </c>
      <c r="K234" s="15"/>
      <c r="L234" s="45"/>
      <c r="M234" s="15" t="s">
        <v>239</v>
      </c>
      <c r="N234" s="15"/>
      <c r="O234" s="4" t="s">
        <v>66</v>
      </c>
      <c r="P234" s="44" t="s">
        <v>189</v>
      </c>
      <c r="Q234" s="46" t="s">
        <v>240</v>
      </c>
      <c r="R234" s="44" t="s">
        <v>189</v>
      </c>
      <c r="S234" s="44" t="s">
        <v>189</v>
      </c>
      <c r="T234" s="44" t="s">
        <v>189</v>
      </c>
      <c r="U234" s="44" t="s">
        <v>66</v>
      </c>
      <c r="V234" s="44" t="s">
        <v>679</v>
      </c>
      <c r="W234" s="44" t="s">
        <v>271</v>
      </c>
      <c r="X234" s="44"/>
      <c r="Y234" s="45"/>
      <c r="Z234" s="45" t="s">
        <v>243</v>
      </c>
      <c r="AA234" s="4" t="s">
        <v>277</v>
      </c>
      <c r="AB234" s="44"/>
      <c r="AC234" s="44" t="s">
        <v>665</v>
      </c>
      <c r="AD234" s="44" t="s">
        <v>191</v>
      </c>
      <c r="AE234" s="1">
        <v>112</v>
      </c>
    </row>
    <row r="235" spans="1:31" customFormat="1" hidden="1">
      <c r="A235" s="15" t="s">
        <v>682</v>
      </c>
      <c r="B235" s="15" t="s">
        <v>201</v>
      </c>
      <c r="C235" s="4" t="s">
        <v>273</v>
      </c>
      <c r="D235" s="4" t="s">
        <v>68</v>
      </c>
      <c r="E235" s="4" t="s">
        <v>69</v>
      </c>
      <c r="F235" s="4"/>
      <c r="G235" s="15">
        <v>1</v>
      </c>
      <c r="H235" s="4" t="s">
        <v>662</v>
      </c>
      <c r="I235" s="11" t="s">
        <v>681</v>
      </c>
      <c r="J235" s="15" t="s">
        <v>179</v>
      </c>
      <c r="K235" s="15"/>
      <c r="L235" s="45"/>
      <c r="M235" s="15" t="s">
        <v>239</v>
      </c>
      <c r="N235" s="15"/>
      <c r="O235" s="4" t="s">
        <v>66</v>
      </c>
      <c r="P235" s="44" t="s">
        <v>189</v>
      </c>
      <c r="Q235" s="46" t="s">
        <v>240</v>
      </c>
      <c r="R235" s="44" t="s">
        <v>189</v>
      </c>
      <c r="S235" s="44" t="s">
        <v>189</v>
      </c>
      <c r="T235" s="44" t="s">
        <v>189</v>
      </c>
      <c r="U235" s="44" t="s">
        <v>66</v>
      </c>
      <c r="V235" s="44" t="s">
        <v>679</v>
      </c>
      <c r="W235" s="44" t="s">
        <v>271</v>
      </c>
      <c r="X235" s="44"/>
      <c r="Y235" s="45"/>
      <c r="Z235" s="45" t="s">
        <v>243</v>
      </c>
      <c r="AA235" s="4" t="s">
        <v>277</v>
      </c>
      <c r="AB235" s="44"/>
      <c r="AC235" s="44" t="s">
        <v>665</v>
      </c>
      <c r="AD235" s="44" t="s">
        <v>191</v>
      </c>
      <c r="AE235" s="1">
        <v>112</v>
      </c>
    </row>
    <row r="236" spans="1:31" customFormat="1" hidden="1">
      <c r="A236" s="15" t="s">
        <v>683</v>
      </c>
      <c r="B236" s="15" t="s">
        <v>684</v>
      </c>
      <c r="C236" s="4" t="s">
        <v>99</v>
      </c>
      <c r="D236" s="4" t="s">
        <v>86</v>
      </c>
      <c r="E236" s="4" t="s">
        <v>47</v>
      </c>
      <c r="F236" s="4"/>
      <c r="G236" s="15">
        <v>1</v>
      </c>
      <c r="H236" s="4" t="s">
        <v>685</v>
      </c>
      <c r="I236" s="4" t="s">
        <v>686</v>
      </c>
      <c r="J236" s="15" t="s">
        <v>179</v>
      </c>
      <c r="K236" s="15"/>
      <c r="L236" s="45"/>
      <c r="M236" s="15" t="s">
        <v>183</v>
      </c>
      <c r="N236" s="15"/>
      <c r="O236" s="4" t="s">
        <v>687</v>
      </c>
      <c r="P236" s="44" t="s">
        <v>189</v>
      </c>
      <c r="Q236" s="44"/>
      <c r="R236" s="44" t="s">
        <v>189</v>
      </c>
      <c r="S236" s="44" t="s">
        <v>189</v>
      </c>
      <c r="T236" s="44"/>
      <c r="U236" s="44" t="s">
        <v>84</v>
      </c>
      <c r="V236" s="47">
        <v>46230</v>
      </c>
      <c r="W236" s="47">
        <v>46230</v>
      </c>
      <c r="X236" s="47">
        <v>46231</v>
      </c>
      <c r="Y236" s="45"/>
      <c r="Z236" s="45" t="s">
        <v>688</v>
      </c>
      <c r="AA236" s="4" t="s">
        <v>689</v>
      </c>
      <c r="AB236" s="44" t="s">
        <v>218</v>
      </c>
      <c r="AC236" s="44" t="s">
        <v>685</v>
      </c>
      <c r="AD236" s="44" t="s">
        <v>220</v>
      </c>
      <c r="AE236" s="1">
        <v>181</v>
      </c>
    </row>
    <row r="237" spans="1:31" customFormat="1" hidden="1">
      <c r="A237" s="15" t="s">
        <v>690</v>
      </c>
      <c r="B237" s="15" t="s">
        <v>684</v>
      </c>
      <c r="C237" s="4" t="s">
        <v>99</v>
      </c>
      <c r="D237" s="4" t="s">
        <v>86</v>
      </c>
      <c r="E237" s="4" t="s">
        <v>47</v>
      </c>
      <c r="F237" s="4"/>
      <c r="G237" s="15">
        <v>1</v>
      </c>
      <c r="H237" s="4" t="s">
        <v>685</v>
      </c>
      <c r="I237" s="4" t="s">
        <v>691</v>
      </c>
      <c r="J237" s="15" t="s">
        <v>179</v>
      </c>
      <c r="K237" s="15"/>
      <c r="L237" s="45"/>
      <c r="M237" s="15" t="s">
        <v>183</v>
      </c>
      <c r="N237" s="15"/>
      <c r="O237" s="4" t="s">
        <v>687</v>
      </c>
      <c r="P237" s="44" t="s">
        <v>189</v>
      </c>
      <c r="Q237" s="44"/>
      <c r="R237" s="44" t="s">
        <v>189</v>
      </c>
      <c r="S237" s="44" t="s">
        <v>189</v>
      </c>
      <c r="T237" s="44"/>
      <c r="U237" s="44" t="s">
        <v>84</v>
      </c>
      <c r="V237" s="47">
        <v>46230</v>
      </c>
      <c r="W237" s="47">
        <v>46230</v>
      </c>
      <c r="X237" s="47">
        <v>46231</v>
      </c>
      <c r="Y237" s="45"/>
      <c r="Z237" s="45" t="s">
        <v>688</v>
      </c>
      <c r="AA237" s="4" t="s">
        <v>689</v>
      </c>
      <c r="AB237" s="44"/>
      <c r="AC237" s="44" t="s">
        <v>685</v>
      </c>
      <c r="AD237" s="44" t="s">
        <v>220</v>
      </c>
      <c r="AE237" s="1">
        <v>181</v>
      </c>
    </row>
    <row r="238" spans="1:31" customFormat="1" hidden="1">
      <c r="A238" s="15" t="s">
        <v>692</v>
      </c>
      <c r="B238" s="15" t="s">
        <v>684</v>
      </c>
      <c r="C238" s="4" t="s">
        <v>99</v>
      </c>
      <c r="D238" s="4" t="s">
        <v>86</v>
      </c>
      <c r="E238" s="4" t="s">
        <v>47</v>
      </c>
      <c r="F238" s="4" t="s">
        <v>693</v>
      </c>
      <c r="G238" s="15">
        <v>1</v>
      </c>
      <c r="H238" s="4" t="s">
        <v>685</v>
      </c>
      <c r="I238" s="4" t="s">
        <v>694</v>
      </c>
      <c r="J238" s="15" t="s">
        <v>179</v>
      </c>
      <c r="K238" s="15"/>
      <c r="L238" s="45"/>
      <c r="M238" s="15" t="s">
        <v>183</v>
      </c>
      <c r="N238" s="15"/>
      <c r="O238" s="4" t="s">
        <v>687</v>
      </c>
      <c r="P238" s="44" t="s">
        <v>189</v>
      </c>
      <c r="Q238" s="44"/>
      <c r="R238" s="44" t="s">
        <v>189</v>
      </c>
      <c r="S238" s="44" t="s">
        <v>189</v>
      </c>
      <c r="T238" s="44"/>
      <c r="U238" s="44" t="s">
        <v>84</v>
      </c>
      <c r="V238" s="47">
        <v>46230</v>
      </c>
      <c r="W238" s="47">
        <v>46230</v>
      </c>
      <c r="X238" s="47">
        <v>46231</v>
      </c>
      <c r="Y238" s="45"/>
      <c r="Z238" s="45" t="s">
        <v>688</v>
      </c>
      <c r="AA238" s="4" t="s">
        <v>695</v>
      </c>
      <c r="AB238" s="44"/>
      <c r="AC238" s="44" t="s">
        <v>685</v>
      </c>
      <c r="AD238" s="44" t="s">
        <v>220</v>
      </c>
      <c r="AE238" s="1">
        <v>181</v>
      </c>
    </row>
    <row r="239" spans="1:31" customFormat="1" hidden="1">
      <c r="A239" s="15" t="s">
        <v>696</v>
      </c>
      <c r="B239" s="15" t="s">
        <v>684</v>
      </c>
      <c r="C239" s="4" t="s">
        <v>99</v>
      </c>
      <c r="D239" s="4" t="s">
        <v>86</v>
      </c>
      <c r="E239" s="4" t="s">
        <v>47</v>
      </c>
      <c r="F239" s="4" t="s">
        <v>693</v>
      </c>
      <c r="G239" s="15">
        <v>1</v>
      </c>
      <c r="H239" s="4" t="s">
        <v>685</v>
      </c>
      <c r="I239" s="4" t="s">
        <v>697</v>
      </c>
      <c r="J239" s="15" t="s">
        <v>179</v>
      </c>
      <c r="K239" s="15"/>
      <c r="L239" s="45"/>
      <c r="M239" s="15" t="s">
        <v>183</v>
      </c>
      <c r="N239" s="15"/>
      <c r="O239" s="4" t="s">
        <v>687</v>
      </c>
      <c r="P239" s="44" t="s">
        <v>189</v>
      </c>
      <c r="Q239" s="44"/>
      <c r="R239" s="44" t="s">
        <v>189</v>
      </c>
      <c r="S239" s="44" t="s">
        <v>189</v>
      </c>
      <c r="T239" s="44"/>
      <c r="U239" s="44" t="s">
        <v>84</v>
      </c>
      <c r="V239" s="47">
        <v>46231</v>
      </c>
      <c r="W239" s="47">
        <v>46231</v>
      </c>
      <c r="X239" s="47">
        <v>46231</v>
      </c>
      <c r="Y239" s="45"/>
      <c r="Z239" s="45" t="s">
        <v>688</v>
      </c>
      <c r="AA239" s="4" t="s">
        <v>695</v>
      </c>
      <c r="AB239" s="44" t="s">
        <v>218</v>
      </c>
      <c r="AC239" s="44" t="s">
        <v>685</v>
      </c>
      <c r="AD239" s="44" t="s">
        <v>220</v>
      </c>
      <c r="AE239" s="1">
        <v>181</v>
      </c>
    </row>
    <row r="240" spans="1:31" customFormat="1" hidden="1">
      <c r="A240" s="15" t="s">
        <v>698</v>
      </c>
      <c r="B240" s="15" t="s">
        <v>684</v>
      </c>
      <c r="C240" s="4" t="s">
        <v>99</v>
      </c>
      <c r="D240" s="4" t="s">
        <v>699</v>
      </c>
      <c r="E240" s="4" t="s">
        <v>700</v>
      </c>
      <c r="F240" s="4" t="s">
        <v>693</v>
      </c>
      <c r="G240" s="15">
        <v>1</v>
      </c>
      <c r="H240" s="4" t="s">
        <v>685</v>
      </c>
      <c r="I240" s="4" t="s">
        <v>701</v>
      </c>
      <c r="J240" s="15" t="s">
        <v>185</v>
      </c>
      <c r="K240" s="15"/>
      <c r="L240" s="45"/>
      <c r="M240" s="15" t="s">
        <v>183</v>
      </c>
      <c r="N240" s="15"/>
      <c r="O240" s="4" t="s">
        <v>687</v>
      </c>
      <c r="P240" s="44" t="s">
        <v>189</v>
      </c>
      <c r="Q240" s="44"/>
      <c r="R240" s="44"/>
      <c r="S240" s="44"/>
      <c r="T240" s="44"/>
      <c r="U240" s="44" t="s">
        <v>84</v>
      </c>
      <c r="V240" s="44"/>
      <c r="W240" s="44"/>
      <c r="X240" s="47">
        <v>46232</v>
      </c>
      <c r="Y240" s="45"/>
      <c r="Z240" s="45" t="s">
        <v>688</v>
      </c>
      <c r="AA240" s="4" t="s">
        <v>702</v>
      </c>
      <c r="AB240" s="44"/>
      <c r="AC240" s="44" t="s">
        <v>685</v>
      </c>
      <c r="AD240" s="44" t="s">
        <v>220</v>
      </c>
      <c r="AE240" s="1">
        <v>181</v>
      </c>
    </row>
    <row r="241" spans="1:31" customFormat="1" hidden="1">
      <c r="A241" s="15" t="s">
        <v>703</v>
      </c>
      <c r="B241" s="15" t="s">
        <v>684</v>
      </c>
      <c r="C241" s="4" t="s">
        <v>99</v>
      </c>
      <c r="D241" s="4" t="s">
        <v>699</v>
      </c>
      <c r="E241" s="4" t="s">
        <v>700</v>
      </c>
      <c r="F241" s="4" t="s">
        <v>693</v>
      </c>
      <c r="G241" s="15">
        <v>1</v>
      </c>
      <c r="H241" s="4" t="s">
        <v>685</v>
      </c>
      <c r="I241" s="4" t="s">
        <v>704</v>
      </c>
      <c r="J241" s="15" t="s">
        <v>185</v>
      </c>
      <c r="K241" s="15"/>
      <c r="L241" s="45"/>
      <c r="M241" s="15" t="s">
        <v>183</v>
      </c>
      <c r="N241" s="15"/>
      <c r="O241" s="4" t="s">
        <v>687</v>
      </c>
      <c r="P241" s="44" t="s">
        <v>189</v>
      </c>
      <c r="Q241" s="44"/>
      <c r="R241" s="44"/>
      <c r="S241" s="44"/>
      <c r="T241" s="44"/>
      <c r="U241" s="44" t="s">
        <v>84</v>
      </c>
      <c r="V241" s="44"/>
      <c r="W241" s="44"/>
      <c r="X241" s="47">
        <v>46232</v>
      </c>
      <c r="Y241" s="45"/>
      <c r="Z241" s="45" t="s">
        <v>688</v>
      </c>
      <c r="AA241" s="4" t="s">
        <v>705</v>
      </c>
      <c r="AB241" s="44"/>
      <c r="AC241" s="44" t="s">
        <v>685</v>
      </c>
      <c r="AD241" s="44" t="s">
        <v>220</v>
      </c>
      <c r="AE241" s="1">
        <v>181</v>
      </c>
    </row>
    <row r="242" spans="1:31" customFormat="1" hidden="1">
      <c r="A242" s="15" t="s">
        <v>706</v>
      </c>
      <c r="B242" s="15" t="s">
        <v>707</v>
      </c>
      <c r="C242" s="4" t="s">
        <v>84</v>
      </c>
      <c r="D242" s="4" t="s">
        <v>708</v>
      </c>
      <c r="E242" s="4"/>
      <c r="F242" s="4"/>
      <c r="G242" s="15">
        <v>1</v>
      </c>
      <c r="H242" s="4" t="s">
        <v>709</v>
      </c>
      <c r="I242" s="4"/>
      <c r="J242" s="15" t="s">
        <v>367</v>
      </c>
      <c r="K242" s="15"/>
      <c r="L242" s="45" t="s">
        <v>528</v>
      </c>
      <c r="M242" s="15"/>
      <c r="N242" s="15"/>
      <c r="O242" t="s">
        <v>84</v>
      </c>
      <c r="P242" s="44" t="s">
        <v>189</v>
      </c>
      <c r="Q242" s="46" t="s">
        <v>304</v>
      </c>
      <c r="R242" s="44" t="s">
        <v>183</v>
      </c>
      <c r="S242" s="44"/>
      <c r="T242" s="44"/>
      <c r="U242" s="44"/>
      <c r="V242" s="44"/>
      <c r="W242" s="44"/>
      <c r="X242" s="44"/>
      <c r="Y242" s="45"/>
      <c r="Z242" s="45" t="s">
        <v>370</v>
      </c>
      <c r="AA242" s="4"/>
      <c r="AB242" s="44"/>
      <c r="AC242" s="44" t="s">
        <v>709</v>
      </c>
      <c r="AD242" s="44" t="s">
        <v>220</v>
      </c>
      <c r="AE242" s="1">
        <v>372</v>
      </c>
    </row>
    <row r="243" spans="1:31" customFormat="1" hidden="1">
      <c r="A243" s="15" t="s">
        <v>710</v>
      </c>
      <c r="B243" s="15" t="s">
        <v>707</v>
      </c>
      <c r="C243" s="4" t="s">
        <v>84</v>
      </c>
      <c r="D243" s="4" t="s">
        <v>708</v>
      </c>
      <c r="E243" s="4"/>
      <c r="F243" s="4"/>
      <c r="G243" s="15">
        <v>1</v>
      </c>
      <c r="H243" s="4" t="s">
        <v>709</v>
      </c>
      <c r="I243" s="4"/>
      <c r="J243" s="15" t="s">
        <v>367</v>
      </c>
      <c r="K243" s="15"/>
      <c r="L243" s="45" t="s">
        <v>528</v>
      </c>
      <c r="M243" s="15"/>
      <c r="N243" s="15"/>
      <c r="O243" t="s">
        <v>84</v>
      </c>
      <c r="P243" s="44" t="s">
        <v>189</v>
      </c>
      <c r="Q243" s="46" t="s">
        <v>304</v>
      </c>
      <c r="R243" s="44" t="s">
        <v>183</v>
      </c>
      <c r="S243" s="44"/>
      <c r="T243" s="44"/>
      <c r="U243" s="44"/>
      <c r="V243" s="44"/>
      <c r="W243" s="44"/>
      <c r="X243" s="44"/>
      <c r="Y243" s="45"/>
      <c r="Z243" s="45" t="s">
        <v>249</v>
      </c>
      <c r="AA243" s="4"/>
      <c r="AB243" s="44"/>
      <c r="AC243" s="44" t="s">
        <v>709</v>
      </c>
      <c r="AD243" s="44" t="s">
        <v>220</v>
      </c>
      <c r="AE243" s="1">
        <v>372</v>
      </c>
    </row>
    <row r="244" spans="1:31" hidden="1">
      <c r="A244" s="15" t="s">
        <v>706</v>
      </c>
      <c r="B244" s="15" t="s">
        <v>707</v>
      </c>
      <c r="C244" s="4" t="s">
        <v>84</v>
      </c>
      <c r="D244" s="4" t="s">
        <v>708</v>
      </c>
      <c r="G244" s="15">
        <v>1</v>
      </c>
      <c r="H244" s="41" t="s">
        <v>709</v>
      </c>
      <c r="J244" s="15" t="s">
        <v>185</v>
      </c>
      <c r="K244" s="15"/>
      <c r="M244" s="15"/>
      <c r="N244" s="15"/>
      <c r="O244" s="4" t="s">
        <v>84</v>
      </c>
      <c r="P244" s="44" t="s">
        <v>189</v>
      </c>
      <c r="Q244" s="46" t="s">
        <v>304</v>
      </c>
      <c r="R244" s="44" t="s">
        <v>183</v>
      </c>
      <c r="Z244" s="45" t="s">
        <v>370</v>
      </c>
      <c r="AA244" s="4"/>
      <c r="AC244" s="44" t="s">
        <v>709</v>
      </c>
      <c r="AD244" s="44" t="s">
        <v>220</v>
      </c>
      <c r="AE244" s="1">
        <v>372</v>
      </c>
    </row>
    <row r="245" spans="1:31" hidden="1">
      <c r="A245" s="15" t="s">
        <v>710</v>
      </c>
      <c r="B245" s="15" t="s">
        <v>707</v>
      </c>
      <c r="C245" s="4" t="s">
        <v>84</v>
      </c>
      <c r="D245" s="4" t="s">
        <v>708</v>
      </c>
      <c r="G245" s="15">
        <v>1</v>
      </c>
      <c r="H245" s="41" t="s">
        <v>709</v>
      </c>
      <c r="J245" s="15" t="s">
        <v>185</v>
      </c>
      <c r="K245" s="15"/>
      <c r="M245" s="15"/>
      <c r="N245" s="15"/>
      <c r="O245" s="4" t="s">
        <v>84</v>
      </c>
      <c r="P245" s="44" t="s">
        <v>189</v>
      </c>
      <c r="Q245" s="46" t="s">
        <v>304</v>
      </c>
      <c r="R245" s="44" t="s">
        <v>183</v>
      </c>
      <c r="Z245" s="45" t="s">
        <v>249</v>
      </c>
      <c r="AA245" s="4"/>
      <c r="AC245" s="44" t="s">
        <v>709</v>
      </c>
      <c r="AD245" s="44" t="s">
        <v>220</v>
      </c>
      <c r="AE245" s="1">
        <v>372</v>
      </c>
    </row>
    <row r="246" spans="1:31" hidden="1">
      <c r="A246" s="15" t="s">
        <v>711</v>
      </c>
      <c r="B246" s="15" t="s">
        <v>707</v>
      </c>
      <c r="C246" s="4" t="s">
        <v>84</v>
      </c>
      <c r="D246" s="4" t="s">
        <v>708</v>
      </c>
      <c r="G246" s="15">
        <v>1</v>
      </c>
      <c r="H246" s="4" t="s">
        <v>709</v>
      </c>
      <c r="J246" s="15" t="s">
        <v>185</v>
      </c>
      <c r="K246" s="15"/>
      <c r="M246" s="15"/>
      <c r="N246" s="15"/>
      <c r="O246" s="4" t="s">
        <v>84</v>
      </c>
      <c r="P246" s="44" t="s">
        <v>189</v>
      </c>
      <c r="Q246" s="46" t="s">
        <v>304</v>
      </c>
      <c r="R246" s="44" t="s">
        <v>189</v>
      </c>
      <c r="S246" s="44" t="s">
        <v>189</v>
      </c>
      <c r="U246" s="44" t="s">
        <v>84</v>
      </c>
      <c r="V246" s="47">
        <v>46230</v>
      </c>
      <c r="W246" s="47">
        <v>46230</v>
      </c>
      <c r="X246" s="47">
        <v>46231</v>
      </c>
      <c r="Z246" s="45" t="s">
        <v>688</v>
      </c>
      <c r="AA246" s="4" t="s">
        <v>712</v>
      </c>
      <c r="AC246" s="44" t="s">
        <v>709</v>
      </c>
      <c r="AD246" s="44" t="s">
        <v>220</v>
      </c>
      <c r="AE246" s="1">
        <v>372</v>
      </c>
    </row>
    <row r="247" spans="1:31" hidden="1">
      <c r="A247" s="15" t="s">
        <v>713</v>
      </c>
      <c r="B247" s="15" t="s">
        <v>302</v>
      </c>
      <c r="C247" s="4" t="s">
        <v>84</v>
      </c>
      <c r="D247" s="4" t="s">
        <v>708</v>
      </c>
      <c r="G247" s="15">
        <v>1</v>
      </c>
      <c r="H247" s="4" t="s">
        <v>709</v>
      </c>
      <c r="J247" s="15" t="s">
        <v>185</v>
      </c>
      <c r="K247" s="15"/>
      <c r="M247" s="15"/>
      <c r="N247" s="15"/>
      <c r="O247" s="4" t="s">
        <v>84</v>
      </c>
      <c r="P247" s="44" t="s">
        <v>189</v>
      </c>
      <c r="Q247" s="46" t="s">
        <v>304</v>
      </c>
      <c r="R247" s="44" t="s">
        <v>183</v>
      </c>
      <c r="Z247" s="45" t="s">
        <v>305</v>
      </c>
      <c r="AA247" s="4"/>
      <c r="AC247" s="44" t="s">
        <v>709</v>
      </c>
      <c r="AD247" s="44" t="s">
        <v>220</v>
      </c>
      <c r="AE247" s="1">
        <v>372</v>
      </c>
    </row>
    <row r="248" spans="1:31" customFormat="1" hidden="1">
      <c r="A248" s="15" t="s">
        <v>714</v>
      </c>
      <c r="B248" s="15" t="s">
        <v>684</v>
      </c>
      <c r="C248" s="4" t="s">
        <v>99</v>
      </c>
      <c r="D248" s="4" t="s">
        <v>699</v>
      </c>
      <c r="E248" s="4" t="s">
        <v>700</v>
      </c>
      <c r="F248" s="4"/>
      <c r="G248" s="15">
        <v>0</v>
      </c>
      <c r="H248" s="4" t="s">
        <v>685</v>
      </c>
      <c r="I248" s="11" t="s">
        <v>715</v>
      </c>
      <c r="J248" s="15" t="s">
        <v>185</v>
      </c>
      <c r="K248" s="15"/>
      <c r="L248" s="45"/>
      <c r="M248" s="15"/>
      <c r="N248" s="15"/>
      <c r="O248" s="4" t="s">
        <v>687</v>
      </c>
      <c r="P248" s="4" t="s">
        <v>189</v>
      </c>
      <c r="Q248" s="4"/>
      <c r="R248" s="4"/>
      <c r="S248" s="4"/>
      <c r="T248" s="4"/>
      <c r="U248" s="4"/>
      <c r="V248" s="4"/>
      <c r="W248" s="4"/>
      <c r="X248" s="61">
        <v>46231</v>
      </c>
      <c r="Y248" s="15"/>
      <c r="Z248" s="45" t="s">
        <v>688</v>
      </c>
      <c r="AA248" s="4" t="s">
        <v>689</v>
      </c>
      <c r="AB248" s="44"/>
      <c r="AC248" s="44"/>
      <c r="AD248" s="44"/>
      <c r="AE248" s="1"/>
    </row>
    <row r="249" spans="1:31" customFormat="1" hidden="1">
      <c r="A249" s="15" t="s">
        <v>716</v>
      </c>
      <c r="B249" s="15" t="s">
        <v>684</v>
      </c>
      <c r="C249" s="4" t="s">
        <v>99</v>
      </c>
      <c r="D249" s="4" t="s">
        <v>86</v>
      </c>
      <c r="E249" s="4" t="s">
        <v>47</v>
      </c>
      <c r="F249" s="4"/>
      <c r="G249" s="15">
        <v>0</v>
      </c>
      <c r="H249" s="4" t="s">
        <v>685</v>
      </c>
      <c r="I249" s="4" t="s">
        <v>717</v>
      </c>
      <c r="J249" s="15" t="s">
        <v>185</v>
      </c>
      <c r="K249" s="15"/>
      <c r="L249" s="45"/>
      <c r="M249" s="15"/>
      <c r="N249" s="15"/>
      <c r="O249" s="4" t="s">
        <v>687</v>
      </c>
      <c r="P249" s="4" t="s">
        <v>189</v>
      </c>
      <c r="Q249" s="4"/>
      <c r="R249" s="4"/>
      <c r="S249" s="4"/>
      <c r="T249" s="4"/>
      <c r="U249" s="4"/>
      <c r="V249" s="4"/>
      <c r="W249" s="4"/>
      <c r="X249" s="4"/>
      <c r="Y249" s="15"/>
      <c r="Z249" s="15"/>
      <c r="AA249" s="4" t="s">
        <v>718</v>
      </c>
      <c r="AB249" s="44"/>
      <c r="AC249" s="44"/>
      <c r="AD249" s="44"/>
    </row>
    <row r="250" spans="1:31" customFormat="1" hidden="1">
      <c r="A250" s="15" t="s">
        <v>719</v>
      </c>
      <c r="B250" s="15" t="s">
        <v>684</v>
      </c>
      <c r="C250" s="4" t="s">
        <v>99</v>
      </c>
      <c r="D250" s="4" t="s">
        <v>86</v>
      </c>
      <c r="E250" s="4" t="s">
        <v>47</v>
      </c>
      <c r="F250" s="4"/>
      <c r="G250" s="15">
        <v>0</v>
      </c>
      <c r="H250" s="4" t="s">
        <v>685</v>
      </c>
      <c r="I250" s="4" t="s">
        <v>720</v>
      </c>
      <c r="J250" s="15" t="s">
        <v>185</v>
      </c>
      <c r="K250" s="15"/>
      <c r="L250" s="45"/>
      <c r="M250" s="15"/>
      <c r="N250" s="15" t="s">
        <v>721</v>
      </c>
      <c r="O250" s="4" t="s">
        <v>687</v>
      </c>
      <c r="P250" s="4"/>
      <c r="Q250" s="4"/>
      <c r="R250" s="4"/>
      <c r="S250" s="4"/>
      <c r="T250" s="4"/>
      <c r="U250" s="4"/>
      <c r="V250" s="4"/>
      <c r="W250" s="4"/>
      <c r="X250" s="4"/>
      <c r="Y250" s="15"/>
      <c r="Z250" s="15"/>
      <c r="AA250" s="4"/>
      <c r="AB250" s="44"/>
      <c r="AC250" s="44"/>
      <c r="AD250" s="44"/>
    </row>
    <row r="251" spans="1:31" customFormat="1" hidden="1">
      <c r="A251" s="15" t="s">
        <v>722</v>
      </c>
      <c r="B251" s="15" t="s">
        <v>684</v>
      </c>
      <c r="C251" s="4" t="s">
        <v>99</v>
      </c>
      <c r="D251" s="4" t="s">
        <v>86</v>
      </c>
      <c r="E251" s="4" t="s">
        <v>47</v>
      </c>
      <c r="F251" s="4"/>
      <c r="G251" s="15">
        <v>0</v>
      </c>
      <c r="H251" s="4" t="s">
        <v>685</v>
      </c>
      <c r="I251" s="4" t="s">
        <v>723</v>
      </c>
      <c r="J251" s="15" t="s">
        <v>185</v>
      </c>
      <c r="K251" s="15"/>
      <c r="L251" s="45"/>
      <c r="M251" s="15"/>
      <c r="N251" s="15" t="s">
        <v>721</v>
      </c>
      <c r="O251" s="4" t="s">
        <v>687</v>
      </c>
      <c r="P251" s="4"/>
      <c r="Q251" s="4"/>
      <c r="R251" s="4"/>
      <c r="S251" s="4"/>
      <c r="T251" s="4"/>
      <c r="U251" s="4"/>
      <c r="V251" s="4"/>
      <c r="W251" s="4"/>
      <c r="X251" s="4"/>
      <c r="Y251" s="15"/>
      <c r="Z251" s="15"/>
      <c r="AA251" s="4"/>
      <c r="AB251" s="44"/>
      <c r="AC251" s="44"/>
      <c r="AD251" s="44"/>
    </row>
    <row r="252" spans="1:31" hidden="1">
      <c r="A252" s="15" t="s">
        <v>724</v>
      </c>
      <c r="B252" s="15" t="s">
        <v>684</v>
      </c>
      <c r="C252" s="4" t="s">
        <v>99</v>
      </c>
      <c r="D252" s="4" t="s">
        <v>24</v>
      </c>
      <c r="E252" s="4" t="s">
        <v>25</v>
      </c>
      <c r="G252" s="15">
        <v>0</v>
      </c>
      <c r="H252" s="4" t="s">
        <v>685</v>
      </c>
      <c r="I252" s="4" t="s">
        <v>725</v>
      </c>
      <c r="J252" s="15" t="s">
        <v>185</v>
      </c>
      <c r="K252" s="15"/>
      <c r="M252" s="15"/>
      <c r="N252" s="15"/>
      <c r="O252" s="4" t="s">
        <v>687</v>
      </c>
      <c r="P252" s="4" t="s">
        <v>189</v>
      </c>
      <c r="Q252" s="4"/>
      <c r="R252" s="4"/>
      <c r="S252" s="4"/>
      <c r="T252" s="4"/>
      <c r="U252" s="4"/>
      <c r="V252" s="4"/>
      <c r="W252" s="4"/>
      <c r="X252" s="4"/>
      <c r="Y252" s="15"/>
      <c r="Z252" s="15"/>
      <c r="AA252" s="4" t="s">
        <v>726</v>
      </c>
      <c r="AE252"/>
    </row>
    <row r="253" spans="1:31" hidden="1">
      <c r="A253" s="15" t="s">
        <v>727</v>
      </c>
      <c r="B253" s="15" t="s">
        <v>684</v>
      </c>
      <c r="C253" s="4" t="s">
        <v>99</v>
      </c>
      <c r="D253" s="4" t="s">
        <v>24</v>
      </c>
      <c r="E253" s="4" t="s">
        <v>25</v>
      </c>
      <c r="G253" s="15">
        <v>0</v>
      </c>
      <c r="H253" s="4" t="s">
        <v>685</v>
      </c>
      <c r="I253" s="4" t="s">
        <v>725</v>
      </c>
      <c r="J253" s="15" t="s">
        <v>185</v>
      </c>
      <c r="K253" s="15"/>
      <c r="M253" s="15"/>
      <c r="N253" s="15"/>
      <c r="O253" s="4" t="s">
        <v>687</v>
      </c>
      <c r="P253" s="4" t="s">
        <v>189</v>
      </c>
      <c r="Q253" s="4"/>
      <c r="R253" s="4"/>
      <c r="S253" s="4"/>
      <c r="T253" s="4"/>
      <c r="U253" s="4"/>
      <c r="V253" s="4"/>
      <c r="W253" s="4"/>
      <c r="X253" s="4"/>
      <c r="Y253" s="15"/>
      <c r="Z253" s="15"/>
      <c r="AA253" s="4" t="s">
        <v>726</v>
      </c>
      <c r="AE253"/>
    </row>
    <row r="254" spans="1:31" customFormat="1" hidden="1">
      <c r="A254" s="15" t="s">
        <v>728</v>
      </c>
      <c r="B254" s="15" t="s">
        <v>729</v>
      </c>
      <c r="C254" s="4" t="s">
        <v>99</v>
      </c>
      <c r="D254" s="4" t="s">
        <v>730</v>
      </c>
      <c r="E254" s="4" t="s">
        <v>47</v>
      </c>
      <c r="F254" s="4"/>
      <c r="G254" s="15">
        <v>0</v>
      </c>
      <c r="H254" s="4" t="s">
        <v>685</v>
      </c>
      <c r="I254" s="4" t="s">
        <v>731</v>
      </c>
      <c r="J254" s="15" t="s">
        <v>185</v>
      </c>
      <c r="K254" s="15"/>
      <c r="L254" s="45"/>
      <c r="M254" s="15" t="s">
        <v>183</v>
      </c>
      <c r="N254" s="15" t="s">
        <v>721</v>
      </c>
      <c r="O254" s="4" t="s">
        <v>732</v>
      </c>
      <c r="P254" s="44"/>
      <c r="Q254" s="44"/>
      <c r="R254" s="44"/>
      <c r="S254" s="44"/>
      <c r="T254" s="44"/>
      <c r="U254" s="44"/>
      <c r="V254" s="44"/>
      <c r="W254" s="44"/>
      <c r="X254" s="44"/>
      <c r="Y254" s="45"/>
      <c r="Z254" s="45"/>
      <c r="AA254" s="4" t="s">
        <v>733</v>
      </c>
      <c r="AB254" s="44"/>
      <c r="AC254" s="44"/>
      <c r="AD254" s="44"/>
    </row>
    <row r="255" spans="1:31" customFormat="1" hidden="1">
      <c r="A255" s="15" t="s">
        <v>734</v>
      </c>
      <c r="B255" s="15" t="s">
        <v>729</v>
      </c>
      <c r="C255" s="4" t="s">
        <v>99</v>
      </c>
      <c r="D255" s="4" t="s">
        <v>735</v>
      </c>
      <c r="E255" s="4" t="s">
        <v>47</v>
      </c>
      <c r="F255" s="4"/>
      <c r="G255" s="15">
        <v>0</v>
      </c>
      <c r="H255" s="4" t="s">
        <v>685</v>
      </c>
      <c r="I255" s="4" t="s">
        <v>736</v>
      </c>
      <c r="J255" s="15" t="s">
        <v>179</v>
      </c>
      <c r="K255" s="15"/>
      <c r="L255" s="45"/>
      <c r="M255" s="15"/>
      <c r="N255" s="15"/>
      <c r="O255" s="4" t="s">
        <v>732</v>
      </c>
      <c r="P255" s="4"/>
      <c r="Q255" s="4"/>
      <c r="R255" s="4"/>
      <c r="S255" s="4"/>
      <c r="T255" s="4"/>
      <c r="U255" s="4"/>
      <c r="V255" s="4"/>
      <c r="W255" s="4"/>
      <c r="X255" s="4"/>
      <c r="Y255" s="15"/>
      <c r="Z255" s="15"/>
      <c r="AA255" s="4"/>
      <c r="AB255" s="44"/>
      <c r="AC255" s="44"/>
      <c r="AD255" s="44"/>
    </row>
    <row r="256" spans="1:31" customFormat="1" hidden="1">
      <c r="A256" s="15" t="s">
        <v>737</v>
      </c>
      <c r="B256" s="15" t="s">
        <v>176</v>
      </c>
      <c r="C256" s="4" t="s">
        <v>61</v>
      </c>
      <c r="D256" s="4" t="s">
        <v>24</v>
      </c>
      <c r="E256" s="4" t="s">
        <v>25</v>
      </c>
      <c r="F256" s="4"/>
      <c r="G256" s="15">
        <v>0</v>
      </c>
      <c r="H256" s="4" t="s">
        <v>135</v>
      </c>
      <c r="I256" s="4" t="s">
        <v>738</v>
      </c>
      <c r="J256" s="15" t="s">
        <v>179</v>
      </c>
      <c r="K256" s="15" t="s">
        <v>186</v>
      </c>
      <c r="L256" s="45"/>
      <c r="M256" s="15"/>
      <c r="N256" s="15" t="s">
        <v>739</v>
      </c>
      <c r="O256" s="4" t="s">
        <v>61</v>
      </c>
      <c r="P256" s="4" t="s">
        <v>214</v>
      </c>
      <c r="Q256" s="16" t="s">
        <v>215</v>
      </c>
      <c r="R256" s="4" t="s">
        <v>183</v>
      </c>
      <c r="S256" s="4" t="s">
        <v>183</v>
      </c>
      <c r="T256" s="4" t="s">
        <v>183</v>
      </c>
      <c r="U256" s="4"/>
      <c r="V256" s="4"/>
      <c r="W256" s="4"/>
      <c r="X256" s="4"/>
      <c r="Y256" s="15"/>
      <c r="Z256" s="31"/>
      <c r="AA256" s="4"/>
      <c r="AB256" s="44"/>
      <c r="AC256" s="44"/>
      <c r="AD256" s="44"/>
    </row>
    <row r="257" spans="1:31" customFormat="1" hidden="1">
      <c r="A257" s="15" t="s">
        <v>740</v>
      </c>
      <c r="B257" s="15" t="s">
        <v>176</v>
      </c>
      <c r="C257" s="4" t="s">
        <v>61</v>
      </c>
      <c r="D257" s="4" t="s">
        <v>24</v>
      </c>
      <c r="E257" s="4" t="s">
        <v>25</v>
      </c>
      <c r="F257" s="4"/>
      <c r="G257" s="15">
        <v>0</v>
      </c>
      <c r="H257" s="4" t="s">
        <v>135</v>
      </c>
      <c r="I257" s="4" t="s">
        <v>741</v>
      </c>
      <c r="J257" s="15" t="s">
        <v>179</v>
      </c>
      <c r="K257" s="15"/>
      <c r="L257" s="45"/>
      <c r="M257" s="31"/>
      <c r="N257" s="15" t="s">
        <v>739</v>
      </c>
      <c r="O257" s="4" t="s">
        <v>61</v>
      </c>
      <c r="P257" s="4" t="s">
        <v>214</v>
      </c>
      <c r="Q257" s="16" t="s">
        <v>215</v>
      </c>
      <c r="R257" s="4" t="s">
        <v>183</v>
      </c>
      <c r="S257" s="4" t="s">
        <v>183</v>
      </c>
      <c r="T257" s="4" t="s">
        <v>183</v>
      </c>
      <c r="U257" s="4"/>
      <c r="V257" s="4"/>
      <c r="W257" s="4"/>
      <c r="X257" s="4"/>
      <c r="Y257" s="15"/>
      <c r="Z257" s="31"/>
      <c r="AA257" s="4"/>
      <c r="AB257" s="44"/>
      <c r="AC257" s="44"/>
      <c r="AD257" s="44"/>
    </row>
    <row r="258" spans="1:31" customFormat="1" hidden="1">
      <c r="A258" s="15" t="s">
        <v>742</v>
      </c>
      <c r="B258" s="15" t="s">
        <v>176</v>
      </c>
      <c r="C258" s="4" t="s">
        <v>61</v>
      </c>
      <c r="D258" s="4" t="s">
        <v>24</v>
      </c>
      <c r="E258" s="4" t="s">
        <v>25</v>
      </c>
      <c r="F258" s="4"/>
      <c r="G258" s="15">
        <v>0</v>
      </c>
      <c r="H258" s="4" t="s">
        <v>135</v>
      </c>
      <c r="I258" s="4" t="s">
        <v>738</v>
      </c>
      <c r="J258" s="15" t="s">
        <v>179</v>
      </c>
      <c r="K258" s="15" t="s">
        <v>186</v>
      </c>
      <c r="L258" s="45"/>
      <c r="M258" s="31"/>
      <c r="N258" s="15" t="s">
        <v>739</v>
      </c>
      <c r="O258" s="4" t="s">
        <v>61</v>
      </c>
      <c r="P258" s="4" t="s">
        <v>214</v>
      </c>
      <c r="Q258" s="16" t="s">
        <v>215</v>
      </c>
      <c r="R258" s="4" t="s">
        <v>183</v>
      </c>
      <c r="S258" s="4" t="s">
        <v>183</v>
      </c>
      <c r="T258" s="4" t="s">
        <v>183</v>
      </c>
      <c r="U258" s="4"/>
      <c r="V258" s="4"/>
      <c r="W258" s="4"/>
      <c r="X258" s="4"/>
      <c r="Y258" s="15"/>
      <c r="Z258" s="31"/>
      <c r="AA258" s="4"/>
      <c r="AB258" s="44"/>
      <c r="AC258" s="44"/>
      <c r="AD258" s="44"/>
    </row>
    <row r="259" spans="1:31" customFormat="1" hidden="1">
      <c r="A259" s="15" t="s">
        <v>743</v>
      </c>
      <c r="B259" s="15" t="s">
        <v>176</v>
      </c>
      <c r="C259" s="4" t="s">
        <v>61</v>
      </c>
      <c r="D259" s="4" t="s">
        <v>24</v>
      </c>
      <c r="E259" s="4" t="s">
        <v>25</v>
      </c>
      <c r="F259" s="4"/>
      <c r="G259" s="15">
        <v>0</v>
      </c>
      <c r="H259" s="4" t="s">
        <v>135</v>
      </c>
      <c r="I259" s="4" t="s">
        <v>741</v>
      </c>
      <c r="J259" s="15" t="s">
        <v>179</v>
      </c>
      <c r="K259" s="15"/>
      <c r="L259" s="45"/>
      <c r="M259" s="15"/>
      <c r="N259" s="15" t="s">
        <v>739</v>
      </c>
      <c r="O259" s="4" t="s">
        <v>61</v>
      </c>
      <c r="P259" s="4" t="s">
        <v>214</v>
      </c>
      <c r="Q259" s="16" t="s">
        <v>215</v>
      </c>
      <c r="R259" s="4" t="s">
        <v>183</v>
      </c>
      <c r="S259" s="4" t="s">
        <v>183</v>
      </c>
      <c r="T259" s="4" t="s">
        <v>183</v>
      </c>
      <c r="U259" s="4"/>
      <c r="V259" s="4"/>
      <c r="W259" s="4"/>
      <c r="X259" s="4"/>
      <c r="Y259" s="15"/>
      <c r="Z259" s="31"/>
      <c r="AA259" s="4"/>
      <c r="AB259" s="44"/>
      <c r="AC259" s="44"/>
      <c r="AD259" s="44"/>
    </row>
    <row r="260" spans="1:31" customFormat="1" hidden="1">
      <c r="A260" s="15" t="s">
        <v>744</v>
      </c>
      <c r="B260" s="15" t="s">
        <v>571</v>
      </c>
      <c r="C260" s="4" t="s">
        <v>61</v>
      </c>
      <c r="D260" s="4" t="s">
        <v>24</v>
      </c>
      <c r="E260" s="4" t="s">
        <v>25</v>
      </c>
      <c r="F260" s="4"/>
      <c r="G260" s="15">
        <v>0</v>
      </c>
      <c r="H260" s="4" t="s">
        <v>572</v>
      </c>
      <c r="I260" s="4" t="s">
        <v>745</v>
      </c>
      <c r="J260" s="15" t="s">
        <v>179</v>
      </c>
      <c r="K260" s="15"/>
      <c r="L260" s="45"/>
      <c r="M260" s="15"/>
      <c r="N260" s="15" t="s">
        <v>739</v>
      </c>
      <c r="O260" s="4" t="s">
        <v>61</v>
      </c>
      <c r="P260" s="4" t="s">
        <v>214</v>
      </c>
      <c r="Q260" s="16" t="s">
        <v>215</v>
      </c>
      <c r="R260" s="4" t="s">
        <v>183</v>
      </c>
      <c r="S260" s="4" t="s">
        <v>183</v>
      </c>
      <c r="T260" s="4" t="s">
        <v>183</v>
      </c>
      <c r="U260" s="4"/>
      <c r="V260" s="4"/>
      <c r="W260" s="4"/>
      <c r="X260" s="4"/>
      <c r="Y260" s="15"/>
      <c r="Z260" s="31"/>
      <c r="AA260" s="4"/>
      <c r="AB260" s="44"/>
      <c r="AC260" s="44"/>
      <c r="AD260" s="44"/>
    </row>
    <row r="261" spans="1:31" customFormat="1" hidden="1">
      <c r="A261" s="15" t="s">
        <v>746</v>
      </c>
      <c r="B261" s="15" t="s">
        <v>571</v>
      </c>
      <c r="C261" s="4" t="s">
        <v>61</v>
      </c>
      <c r="D261" s="4" t="s">
        <v>24</v>
      </c>
      <c r="E261" s="4" t="s">
        <v>25</v>
      </c>
      <c r="F261" s="4"/>
      <c r="G261" s="15">
        <v>0</v>
      </c>
      <c r="H261" s="4" t="s">
        <v>572</v>
      </c>
      <c r="I261" s="4" t="s">
        <v>745</v>
      </c>
      <c r="J261" s="15" t="s">
        <v>179</v>
      </c>
      <c r="K261" s="15"/>
      <c r="L261" s="45"/>
      <c r="M261" s="15"/>
      <c r="N261" s="15" t="s">
        <v>739</v>
      </c>
      <c r="O261" s="4" t="s">
        <v>61</v>
      </c>
      <c r="P261" s="4" t="s">
        <v>214</v>
      </c>
      <c r="Q261" s="16" t="s">
        <v>215</v>
      </c>
      <c r="R261" s="4" t="s">
        <v>183</v>
      </c>
      <c r="S261" s="4" t="s">
        <v>183</v>
      </c>
      <c r="T261" s="4" t="s">
        <v>183</v>
      </c>
      <c r="U261" s="4"/>
      <c r="V261" s="4"/>
      <c r="W261" s="4"/>
      <c r="X261" s="4"/>
      <c r="Y261" s="15"/>
      <c r="Z261" s="31"/>
      <c r="AA261" s="4"/>
      <c r="AB261" s="44"/>
      <c r="AC261" s="44"/>
      <c r="AD261" s="44"/>
    </row>
    <row r="262" spans="1:31" hidden="1">
      <c r="A262" s="15" t="s">
        <v>747</v>
      </c>
      <c r="B262" s="15" t="s">
        <v>176</v>
      </c>
      <c r="C262" s="4" t="s">
        <v>61</v>
      </c>
      <c r="D262" s="4" t="s">
        <v>24</v>
      </c>
      <c r="E262" s="4" t="s">
        <v>25</v>
      </c>
      <c r="G262" s="15">
        <v>0</v>
      </c>
      <c r="H262" s="4" t="s">
        <v>135</v>
      </c>
      <c r="I262" s="4" t="s">
        <v>748</v>
      </c>
      <c r="J262" s="15" t="s">
        <v>179</v>
      </c>
      <c r="K262" s="15"/>
      <c r="M262" s="15"/>
      <c r="N262" s="15" t="s">
        <v>739</v>
      </c>
      <c r="O262" s="4" t="s">
        <v>61</v>
      </c>
      <c r="P262" s="4" t="s">
        <v>214</v>
      </c>
      <c r="Q262" s="16" t="s">
        <v>215</v>
      </c>
      <c r="R262" s="4" t="s">
        <v>183</v>
      </c>
      <c r="S262" s="4" t="s">
        <v>183</v>
      </c>
      <c r="T262" s="4" t="s">
        <v>183</v>
      </c>
      <c r="U262" s="4"/>
      <c r="V262" s="4"/>
      <c r="W262" s="4"/>
      <c r="X262" s="4"/>
      <c r="Y262" s="15"/>
      <c r="Z262" s="15"/>
      <c r="AA262" s="4"/>
      <c r="AE262"/>
    </row>
    <row r="263" spans="1:31" hidden="1">
      <c r="A263" s="15" t="s">
        <v>749</v>
      </c>
      <c r="B263" s="15" t="s">
        <v>176</v>
      </c>
      <c r="C263" s="4" t="s">
        <v>75</v>
      </c>
      <c r="D263" s="4" t="s">
        <v>24</v>
      </c>
      <c r="E263" s="4" t="s">
        <v>25</v>
      </c>
      <c r="G263" s="15">
        <v>0</v>
      </c>
      <c r="H263" s="4" t="s">
        <v>750</v>
      </c>
      <c r="I263" s="4" t="s">
        <v>751</v>
      </c>
      <c r="J263" s="15" t="s">
        <v>185</v>
      </c>
      <c r="K263" s="15" t="s">
        <v>186</v>
      </c>
      <c r="M263" s="15"/>
      <c r="N263" s="15"/>
      <c r="O263" s="4" t="s">
        <v>75</v>
      </c>
      <c r="P263" s="4" t="s">
        <v>188</v>
      </c>
      <c r="Q263" s="16" t="s">
        <v>182</v>
      </c>
      <c r="R263" s="4"/>
      <c r="S263" s="4"/>
      <c r="T263" s="4"/>
      <c r="U263" s="4"/>
      <c r="V263" s="4"/>
      <c r="W263" s="4"/>
      <c r="X263" s="4"/>
      <c r="Y263" s="15"/>
      <c r="Z263" s="15"/>
      <c r="AA263" s="4"/>
      <c r="AE263"/>
    </row>
    <row r="264" spans="1:31" hidden="1">
      <c r="A264" s="15" t="s">
        <v>752</v>
      </c>
      <c r="B264" s="15" t="s">
        <v>176</v>
      </c>
      <c r="C264" s="4" t="s">
        <v>75</v>
      </c>
      <c r="D264" s="4" t="s">
        <v>24</v>
      </c>
      <c r="E264" s="4" t="s">
        <v>25</v>
      </c>
      <c r="G264" s="15">
        <v>0</v>
      </c>
      <c r="H264" s="4" t="s">
        <v>750</v>
      </c>
      <c r="I264" s="4" t="s">
        <v>751</v>
      </c>
      <c r="J264" s="15" t="s">
        <v>185</v>
      </c>
      <c r="K264" s="15" t="s">
        <v>186</v>
      </c>
      <c r="M264" s="15"/>
      <c r="N264" s="15"/>
      <c r="O264" s="4" t="s">
        <v>75</v>
      </c>
      <c r="P264" s="4" t="s">
        <v>188</v>
      </c>
      <c r="Q264" s="16" t="s">
        <v>182</v>
      </c>
      <c r="R264" s="4"/>
      <c r="S264" s="4"/>
      <c r="T264" s="4"/>
      <c r="U264" s="4"/>
      <c r="V264" s="4"/>
      <c r="W264" s="4"/>
      <c r="X264" s="4"/>
      <c r="Y264" s="15"/>
      <c r="Z264" s="15"/>
      <c r="AA264" s="4"/>
      <c r="AE264"/>
    </row>
    <row r="265" spans="1:31" customFormat="1" hidden="1">
      <c r="A265" s="15" t="s">
        <v>753</v>
      </c>
      <c r="B265" s="15" t="s">
        <v>326</v>
      </c>
      <c r="C265" s="4" t="s">
        <v>338</v>
      </c>
      <c r="D265" s="4" t="s">
        <v>138</v>
      </c>
      <c r="E265" s="4" t="s">
        <v>51</v>
      </c>
      <c r="F265" s="4"/>
      <c r="G265" s="15">
        <v>0</v>
      </c>
      <c r="H265" s="4" t="s">
        <v>754</v>
      </c>
      <c r="I265" s="4" t="s">
        <v>755</v>
      </c>
      <c r="J265" s="15" t="s">
        <v>185</v>
      </c>
      <c r="K265" s="15" t="s">
        <v>186</v>
      </c>
      <c r="L265" s="45"/>
      <c r="M265" s="15"/>
      <c r="N265" s="15" t="s">
        <v>721</v>
      </c>
      <c r="O265" s="4" t="s">
        <v>75</v>
      </c>
      <c r="P265" s="4" t="s">
        <v>188</v>
      </c>
      <c r="Q265" s="16" t="s">
        <v>182</v>
      </c>
      <c r="R265" s="4"/>
      <c r="S265" s="4"/>
      <c r="T265" s="4"/>
      <c r="U265" s="4"/>
      <c r="V265" s="4"/>
      <c r="W265" s="4"/>
      <c r="X265" s="4"/>
      <c r="Y265" s="15"/>
      <c r="Z265" s="15"/>
      <c r="AA265" s="4"/>
      <c r="AB265" s="44"/>
      <c r="AC265" s="44"/>
      <c r="AD265" s="44"/>
    </row>
    <row r="266" spans="1:31" customFormat="1" hidden="1">
      <c r="A266" s="15" t="s">
        <v>756</v>
      </c>
      <c r="B266" s="15" t="s">
        <v>176</v>
      </c>
      <c r="C266" s="4" t="s">
        <v>75</v>
      </c>
      <c r="D266" s="4" t="s">
        <v>24</v>
      </c>
      <c r="E266" s="4" t="s">
        <v>25</v>
      </c>
      <c r="F266" s="4"/>
      <c r="G266" s="15">
        <v>0</v>
      </c>
      <c r="H266" s="4" t="s">
        <v>471</v>
      </c>
      <c r="I266" s="4" t="s">
        <v>757</v>
      </c>
      <c r="J266" s="15" t="s">
        <v>185</v>
      </c>
      <c r="K266" s="15"/>
      <c r="L266" s="45"/>
      <c r="M266" s="15"/>
      <c r="N266" s="15" t="s">
        <v>721</v>
      </c>
      <c r="O266" s="4" t="s">
        <v>90</v>
      </c>
      <c r="P266" s="4" t="s">
        <v>189</v>
      </c>
      <c r="Q266" s="16" t="s">
        <v>473</v>
      </c>
      <c r="R266" s="4"/>
      <c r="S266" s="4"/>
      <c r="T266" s="4"/>
      <c r="U266" s="4" t="s">
        <v>90</v>
      </c>
      <c r="V266" s="4"/>
      <c r="W266" s="4"/>
      <c r="X266" s="4"/>
      <c r="Y266" s="15"/>
      <c r="Z266" s="15"/>
      <c r="AA266" s="4"/>
      <c r="AB266" s="44"/>
      <c r="AC266" s="44"/>
      <c r="AD266" s="44"/>
    </row>
    <row r="267" spans="1:31" hidden="1">
      <c r="A267" s="15" t="s">
        <v>758</v>
      </c>
      <c r="B267" s="15" t="s">
        <v>176</v>
      </c>
      <c r="C267" s="4" t="s">
        <v>75</v>
      </c>
      <c r="D267" s="4" t="s">
        <v>24</v>
      </c>
      <c r="E267" s="4" t="s">
        <v>25</v>
      </c>
      <c r="G267" s="15">
        <v>0</v>
      </c>
      <c r="H267" s="4" t="s">
        <v>471</v>
      </c>
      <c r="I267" s="4" t="s">
        <v>757</v>
      </c>
      <c r="J267" s="15" t="s">
        <v>185</v>
      </c>
      <c r="K267" s="15"/>
      <c r="M267" s="15"/>
      <c r="N267" s="15" t="s">
        <v>721</v>
      </c>
      <c r="O267" s="4" t="s">
        <v>90</v>
      </c>
      <c r="P267" s="4" t="s">
        <v>189</v>
      </c>
      <c r="Q267" s="16" t="s">
        <v>473</v>
      </c>
      <c r="R267" s="4"/>
      <c r="S267" s="4"/>
      <c r="T267" s="4"/>
      <c r="U267" s="4"/>
      <c r="V267" s="4"/>
      <c r="W267" s="4"/>
      <c r="X267" s="4"/>
      <c r="Y267" s="15"/>
      <c r="Z267" s="15"/>
      <c r="AA267" s="4"/>
      <c r="AE267"/>
    </row>
    <row r="268" spans="1:31" hidden="1">
      <c r="A268" s="15" t="s">
        <v>759</v>
      </c>
      <c r="B268" s="15" t="s">
        <v>176</v>
      </c>
      <c r="C268" s="4" t="s">
        <v>75</v>
      </c>
      <c r="D268" s="4" t="s">
        <v>24</v>
      </c>
      <c r="E268" s="4" t="s">
        <v>25</v>
      </c>
      <c r="G268" s="15">
        <v>0</v>
      </c>
      <c r="H268" s="4" t="s">
        <v>471</v>
      </c>
      <c r="I268" s="4" t="s">
        <v>760</v>
      </c>
      <c r="J268" s="15" t="s">
        <v>179</v>
      </c>
      <c r="K268" s="15" t="s">
        <v>186</v>
      </c>
      <c r="M268" s="15"/>
      <c r="N268" s="15"/>
      <c r="O268" s="4" t="s">
        <v>90</v>
      </c>
      <c r="P268" s="4" t="s">
        <v>189</v>
      </c>
      <c r="Q268" s="16" t="s">
        <v>473</v>
      </c>
      <c r="R268" s="4"/>
      <c r="S268" s="4"/>
      <c r="T268" s="4"/>
      <c r="U268" s="4"/>
      <c r="V268" s="4"/>
      <c r="W268" s="4"/>
      <c r="X268" s="4"/>
      <c r="Y268" s="15"/>
      <c r="Z268" s="15"/>
      <c r="AA268" s="4"/>
      <c r="AE268"/>
    </row>
    <row r="269" spans="1:31" hidden="1">
      <c r="A269" s="15" t="s">
        <v>761</v>
      </c>
      <c r="B269" s="15" t="s">
        <v>176</v>
      </c>
      <c r="C269" s="20" t="s">
        <v>211</v>
      </c>
      <c r="D269" s="4" t="s">
        <v>24</v>
      </c>
      <c r="E269" s="4" t="s">
        <v>25</v>
      </c>
      <c r="G269" s="15">
        <v>0</v>
      </c>
      <c r="H269" s="4" t="s">
        <v>471</v>
      </c>
      <c r="I269" s="4" t="s">
        <v>510</v>
      </c>
      <c r="J269" s="15" t="s">
        <v>185</v>
      </c>
      <c r="K269" s="15"/>
      <c r="M269" s="15"/>
      <c r="N269" s="15" t="s">
        <v>762</v>
      </c>
      <c r="O269" s="4" t="s">
        <v>90</v>
      </c>
      <c r="P269" s="4" t="s">
        <v>189</v>
      </c>
      <c r="Q269" s="16" t="s">
        <v>473</v>
      </c>
      <c r="R269" s="4"/>
      <c r="S269" s="4"/>
      <c r="T269" s="4"/>
      <c r="U269" s="4"/>
      <c r="V269" s="4"/>
      <c r="W269" s="4"/>
      <c r="X269" s="4"/>
      <c r="Y269" s="15"/>
      <c r="Z269" s="28"/>
      <c r="AA269" s="4"/>
      <c r="AE269"/>
    </row>
    <row r="270" spans="1:31" hidden="1">
      <c r="A270" s="15" t="s">
        <v>763</v>
      </c>
      <c r="B270" s="15" t="s">
        <v>176</v>
      </c>
      <c r="C270" s="20" t="s">
        <v>211</v>
      </c>
      <c r="D270" s="4" t="s">
        <v>24</v>
      </c>
      <c r="E270" s="4" t="s">
        <v>25</v>
      </c>
      <c r="G270" s="15">
        <v>0</v>
      </c>
      <c r="H270" s="4" t="s">
        <v>471</v>
      </c>
      <c r="I270" s="4" t="s">
        <v>510</v>
      </c>
      <c r="J270" s="15" t="s">
        <v>185</v>
      </c>
      <c r="K270" s="15"/>
      <c r="M270" s="15"/>
      <c r="N270" s="15" t="s">
        <v>762</v>
      </c>
      <c r="O270" s="4" t="s">
        <v>90</v>
      </c>
      <c r="P270" s="4" t="s">
        <v>189</v>
      </c>
      <c r="Q270" s="16" t="s">
        <v>473</v>
      </c>
      <c r="R270" s="4"/>
      <c r="S270" s="4"/>
      <c r="T270" s="4"/>
      <c r="U270" s="4"/>
      <c r="V270" s="4"/>
      <c r="W270" s="4"/>
      <c r="X270" s="4"/>
      <c r="Y270" s="15"/>
      <c r="Z270" s="28"/>
      <c r="AA270" s="4"/>
      <c r="AE270"/>
    </row>
    <row r="271" spans="1:31" hidden="1">
      <c r="A271" s="15" t="s">
        <v>764</v>
      </c>
      <c r="B271" s="15" t="s">
        <v>176</v>
      </c>
      <c r="C271" s="20" t="s">
        <v>211</v>
      </c>
      <c r="D271" s="4" t="s">
        <v>24</v>
      </c>
      <c r="E271" s="4" t="s">
        <v>25</v>
      </c>
      <c r="G271" s="15">
        <v>0</v>
      </c>
      <c r="H271" s="4" t="s">
        <v>471</v>
      </c>
      <c r="I271" s="4" t="s">
        <v>510</v>
      </c>
      <c r="J271" s="15" t="s">
        <v>185</v>
      </c>
      <c r="K271" s="15"/>
      <c r="M271" s="15"/>
      <c r="N271" s="15" t="s">
        <v>762</v>
      </c>
      <c r="O271" s="4" t="s">
        <v>90</v>
      </c>
      <c r="P271" s="4" t="s">
        <v>189</v>
      </c>
      <c r="Q271" s="16" t="s">
        <v>473</v>
      </c>
      <c r="R271" s="4"/>
      <c r="S271" s="4"/>
      <c r="T271" s="4"/>
      <c r="U271" s="4"/>
      <c r="V271" s="4"/>
      <c r="W271" s="4"/>
      <c r="X271" s="4"/>
      <c r="Y271" s="15"/>
      <c r="Z271" s="28"/>
      <c r="AA271" s="4"/>
      <c r="AE271"/>
    </row>
    <row r="272" spans="1:31" hidden="1">
      <c r="A272" s="15" t="s">
        <v>765</v>
      </c>
      <c r="B272" s="15" t="s">
        <v>176</v>
      </c>
      <c r="C272" s="20" t="s">
        <v>211</v>
      </c>
      <c r="D272" s="4" t="s">
        <v>24</v>
      </c>
      <c r="E272" s="4" t="s">
        <v>25</v>
      </c>
      <c r="G272" s="15">
        <v>0</v>
      </c>
      <c r="H272" s="4" t="s">
        <v>471</v>
      </c>
      <c r="I272" s="4" t="s">
        <v>510</v>
      </c>
      <c r="J272" s="15" t="s">
        <v>185</v>
      </c>
      <c r="K272" s="15"/>
      <c r="M272" s="15"/>
      <c r="N272" s="15" t="s">
        <v>762</v>
      </c>
      <c r="O272" s="4" t="s">
        <v>90</v>
      </c>
      <c r="P272" s="4" t="s">
        <v>189</v>
      </c>
      <c r="Q272" s="16" t="s">
        <v>473</v>
      </c>
      <c r="R272" s="4"/>
      <c r="S272" s="4"/>
      <c r="T272" s="4"/>
      <c r="U272" s="4"/>
      <c r="V272" s="4"/>
      <c r="W272" s="4"/>
      <c r="X272" s="4"/>
      <c r="Y272" s="15"/>
      <c r="Z272" s="28"/>
      <c r="AA272" s="4"/>
      <c r="AE272"/>
    </row>
    <row r="273" spans="1:31" hidden="1">
      <c r="A273" s="15" t="s">
        <v>766</v>
      </c>
      <c r="B273" s="15" t="s">
        <v>176</v>
      </c>
      <c r="C273" s="20" t="s">
        <v>177</v>
      </c>
      <c r="D273" s="4" t="s">
        <v>24</v>
      </c>
      <c r="E273" s="4" t="s">
        <v>25</v>
      </c>
      <c r="G273" s="15">
        <v>0</v>
      </c>
      <c r="H273" s="4" t="s">
        <v>471</v>
      </c>
      <c r="I273" s="4" t="s">
        <v>559</v>
      </c>
      <c r="J273" s="15" t="s">
        <v>179</v>
      </c>
      <c r="K273" s="15"/>
      <c r="M273" s="15"/>
      <c r="N273" s="15" t="s">
        <v>762</v>
      </c>
      <c r="O273" s="4" t="s">
        <v>90</v>
      </c>
      <c r="P273" s="4" t="s">
        <v>189</v>
      </c>
      <c r="Q273" s="16" t="s">
        <v>473</v>
      </c>
      <c r="R273" s="4"/>
      <c r="S273" s="4"/>
      <c r="T273" s="4"/>
      <c r="U273" s="4"/>
      <c r="V273" s="4"/>
      <c r="W273" s="4"/>
      <c r="X273" s="4"/>
      <c r="Y273" s="15"/>
      <c r="Z273" s="15"/>
      <c r="AA273" s="4"/>
      <c r="AE273"/>
    </row>
    <row r="274" spans="1:31" hidden="1">
      <c r="A274" s="15" t="s">
        <v>767</v>
      </c>
      <c r="B274" s="15" t="s">
        <v>176</v>
      </c>
      <c r="C274" s="20" t="s">
        <v>177</v>
      </c>
      <c r="D274" s="4" t="s">
        <v>24</v>
      </c>
      <c r="E274" s="4" t="s">
        <v>25</v>
      </c>
      <c r="G274" s="15">
        <v>0</v>
      </c>
      <c r="H274" s="4" t="s">
        <v>471</v>
      </c>
      <c r="I274" s="4" t="s">
        <v>559</v>
      </c>
      <c r="J274" s="15" t="s">
        <v>179</v>
      </c>
      <c r="K274" s="15"/>
      <c r="M274" s="15"/>
      <c r="N274" s="15" t="s">
        <v>762</v>
      </c>
      <c r="O274" s="4" t="s">
        <v>90</v>
      </c>
      <c r="P274" s="4" t="s">
        <v>189</v>
      </c>
      <c r="Q274" s="16" t="s">
        <v>473</v>
      </c>
      <c r="R274" s="4"/>
      <c r="S274" s="4"/>
      <c r="T274" s="4"/>
      <c r="U274" s="4"/>
      <c r="V274" s="4"/>
      <c r="W274" s="4"/>
      <c r="X274" s="4"/>
      <c r="Y274" s="15"/>
      <c r="Z274" s="15"/>
      <c r="AA274" s="4"/>
      <c r="AE274"/>
    </row>
    <row r="275" spans="1:31" customFormat="1" hidden="1">
      <c r="A275" s="15" t="s">
        <v>402</v>
      </c>
      <c r="B275" s="15" t="s">
        <v>201</v>
      </c>
      <c r="C275" s="4" t="s">
        <v>66</v>
      </c>
      <c r="D275" s="4" t="s">
        <v>68</v>
      </c>
      <c r="E275" s="4" t="s">
        <v>69</v>
      </c>
      <c r="F275" s="4"/>
      <c r="G275" s="15">
        <v>0</v>
      </c>
      <c r="H275" s="4" t="s">
        <v>237</v>
      </c>
      <c r="I275" s="4" t="s">
        <v>768</v>
      </c>
      <c r="J275" s="15" t="s">
        <v>179</v>
      </c>
      <c r="K275" s="15" t="s">
        <v>186</v>
      </c>
      <c r="L275" s="45"/>
      <c r="M275" s="15"/>
      <c r="N275" s="15"/>
      <c r="O275" s="4" t="s">
        <v>66</v>
      </c>
      <c r="P275" s="4" t="s">
        <v>189</v>
      </c>
      <c r="Q275" s="16" t="s">
        <v>240</v>
      </c>
      <c r="R275" s="4"/>
      <c r="S275" s="4"/>
      <c r="T275" s="4"/>
      <c r="U275" s="4"/>
      <c r="V275" s="4"/>
      <c r="W275" s="4"/>
      <c r="X275" s="4"/>
      <c r="Y275" s="15"/>
      <c r="Z275" s="15"/>
      <c r="AA275" s="4"/>
      <c r="AB275" s="44"/>
      <c r="AC275" s="44"/>
      <c r="AD275" s="44"/>
    </row>
    <row r="276" spans="1:31" customFormat="1" hidden="1">
      <c r="A276" s="15" t="s">
        <v>769</v>
      </c>
      <c r="B276" s="15" t="s">
        <v>201</v>
      </c>
      <c r="C276" s="4" t="s">
        <v>66</v>
      </c>
      <c r="D276" s="4" t="s">
        <v>68</v>
      </c>
      <c r="E276" s="4" t="s">
        <v>69</v>
      </c>
      <c r="F276" s="4"/>
      <c r="G276" s="15">
        <v>0</v>
      </c>
      <c r="H276" s="4" t="s">
        <v>274</v>
      </c>
      <c r="I276" s="4" t="s">
        <v>770</v>
      </c>
      <c r="J276" s="15" t="s">
        <v>185</v>
      </c>
      <c r="K276" s="15"/>
      <c r="L276" s="45"/>
      <c r="M276" s="15"/>
      <c r="N276" s="15" t="s">
        <v>771</v>
      </c>
      <c r="O276" s="4" t="s">
        <v>66</v>
      </c>
      <c r="P276" s="4" t="s">
        <v>189</v>
      </c>
      <c r="Q276" s="16" t="s">
        <v>240</v>
      </c>
      <c r="R276" s="4"/>
      <c r="S276" s="4"/>
      <c r="T276" s="4"/>
      <c r="U276" s="4"/>
      <c r="V276" s="4"/>
      <c r="W276" s="4"/>
      <c r="X276" s="4"/>
      <c r="Y276" s="15"/>
      <c r="Z276" s="15"/>
      <c r="AA276" s="4" t="s">
        <v>772</v>
      </c>
      <c r="AB276" s="44"/>
      <c r="AC276" s="44"/>
      <c r="AD276" s="44"/>
      <c r="AE276" s="1"/>
    </row>
    <row r="277" spans="1:31" customFormat="1" hidden="1">
      <c r="A277" s="15" t="s">
        <v>773</v>
      </c>
      <c r="B277" s="15" t="s">
        <v>201</v>
      </c>
      <c r="C277" s="4" t="s">
        <v>66</v>
      </c>
      <c r="D277" s="4" t="s">
        <v>68</v>
      </c>
      <c r="E277" s="4" t="s">
        <v>69</v>
      </c>
      <c r="F277" s="4"/>
      <c r="G277" s="15">
        <v>0</v>
      </c>
      <c r="H277" s="4" t="s">
        <v>274</v>
      </c>
      <c r="I277" s="4" t="s">
        <v>774</v>
      </c>
      <c r="J277" s="15" t="s">
        <v>185</v>
      </c>
      <c r="K277" s="15"/>
      <c r="L277" s="45"/>
      <c r="M277" s="15"/>
      <c r="N277" s="15" t="s">
        <v>771</v>
      </c>
      <c r="O277" s="4" t="s">
        <v>66</v>
      </c>
      <c r="P277" s="4" t="s">
        <v>189</v>
      </c>
      <c r="Q277" s="16" t="s">
        <v>240</v>
      </c>
      <c r="R277" s="4"/>
      <c r="S277" s="4"/>
      <c r="T277" s="4"/>
      <c r="U277" s="4"/>
      <c r="V277" s="4"/>
      <c r="W277" s="4"/>
      <c r="X277" s="4"/>
      <c r="Y277" s="15"/>
      <c r="Z277" s="15"/>
      <c r="AA277" s="4" t="s">
        <v>772</v>
      </c>
      <c r="AB277" s="44"/>
      <c r="AC277" s="44"/>
      <c r="AD277" s="44"/>
      <c r="AE277" s="1"/>
    </row>
    <row r="278" spans="1:31" customFormat="1" hidden="1">
      <c r="A278" s="15" t="s">
        <v>775</v>
      </c>
      <c r="B278" s="15" t="s">
        <v>201</v>
      </c>
      <c r="C278" s="4" t="s">
        <v>273</v>
      </c>
      <c r="D278" s="4" t="s">
        <v>68</v>
      </c>
      <c r="E278" s="4" t="s">
        <v>69</v>
      </c>
      <c r="F278" s="4"/>
      <c r="G278" s="15">
        <v>0</v>
      </c>
      <c r="H278" s="4" t="s">
        <v>274</v>
      </c>
      <c r="I278" s="4" t="s">
        <v>770</v>
      </c>
      <c r="J278" s="15" t="s">
        <v>185</v>
      </c>
      <c r="K278" s="15"/>
      <c r="L278" s="45"/>
      <c r="M278" s="15"/>
      <c r="N278" s="15" t="s">
        <v>771</v>
      </c>
      <c r="O278" s="4" t="s">
        <v>66</v>
      </c>
      <c r="P278" s="4" t="s">
        <v>189</v>
      </c>
      <c r="Q278" s="16" t="s">
        <v>240</v>
      </c>
      <c r="R278" s="4"/>
      <c r="S278" s="4"/>
      <c r="T278" s="4"/>
      <c r="U278" s="4"/>
      <c r="V278" s="4"/>
      <c r="W278" s="4"/>
      <c r="X278" s="4"/>
      <c r="Y278" s="15"/>
      <c r="Z278" s="15"/>
      <c r="AA278" s="4" t="s">
        <v>772</v>
      </c>
      <c r="AB278" s="44"/>
      <c r="AC278" s="44"/>
      <c r="AD278" s="44"/>
      <c r="AE278" s="1"/>
    </row>
    <row r="279" spans="1:31" customFormat="1" hidden="1">
      <c r="A279" s="15" t="s">
        <v>776</v>
      </c>
      <c r="B279" s="15" t="s">
        <v>201</v>
      </c>
      <c r="C279" s="4" t="s">
        <v>273</v>
      </c>
      <c r="D279" s="4" t="s">
        <v>68</v>
      </c>
      <c r="E279" s="4" t="s">
        <v>69</v>
      </c>
      <c r="F279" s="4"/>
      <c r="G279" s="15">
        <v>0</v>
      </c>
      <c r="H279" s="4" t="s">
        <v>274</v>
      </c>
      <c r="I279" s="4" t="s">
        <v>774</v>
      </c>
      <c r="J279" s="15" t="s">
        <v>185</v>
      </c>
      <c r="K279" s="15"/>
      <c r="L279" s="45"/>
      <c r="M279" s="15"/>
      <c r="N279" s="15" t="s">
        <v>771</v>
      </c>
      <c r="O279" s="4" t="s">
        <v>66</v>
      </c>
      <c r="P279" s="4" t="s">
        <v>189</v>
      </c>
      <c r="Q279" s="16" t="s">
        <v>240</v>
      </c>
      <c r="R279" s="4"/>
      <c r="S279" s="4"/>
      <c r="T279" s="4"/>
      <c r="U279" s="4"/>
      <c r="V279" s="4"/>
      <c r="W279" s="4"/>
      <c r="X279" s="4"/>
      <c r="Y279" s="15"/>
      <c r="Z279" s="15"/>
      <c r="AA279" s="4" t="s">
        <v>772</v>
      </c>
      <c r="AB279" s="44"/>
      <c r="AC279" s="44"/>
      <c r="AD279" s="44"/>
      <c r="AE279" s="1"/>
    </row>
    <row r="280" spans="1:31" customFormat="1" hidden="1">
      <c r="A280" s="15" t="s">
        <v>777</v>
      </c>
      <c r="B280" s="15" t="s">
        <v>201</v>
      </c>
      <c r="C280" s="4" t="s">
        <v>273</v>
      </c>
      <c r="D280" s="4" t="s">
        <v>68</v>
      </c>
      <c r="E280" s="4" t="s">
        <v>69</v>
      </c>
      <c r="F280" s="4"/>
      <c r="G280" s="15">
        <v>0</v>
      </c>
      <c r="H280" s="4" t="s">
        <v>662</v>
      </c>
      <c r="I280" s="4" t="s">
        <v>778</v>
      </c>
      <c r="J280" s="15" t="s">
        <v>367</v>
      </c>
      <c r="K280" s="15"/>
      <c r="L280" s="45"/>
      <c r="M280" s="15"/>
      <c r="N280" s="15" t="s">
        <v>779</v>
      </c>
      <c r="O280" s="4" t="s">
        <v>66</v>
      </c>
      <c r="P280" s="4" t="s">
        <v>189</v>
      </c>
      <c r="Q280" s="16" t="s">
        <v>240</v>
      </c>
      <c r="R280" s="4"/>
      <c r="S280" s="4"/>
      <c r="T280" s="4"/>
      <c r="U280" s="4" t="s">
        <v>61</v>
      </c>
      <c r="V280" s="4"/>
      <c r="W280" s="4"/>
      <c r="X280" s="4"/>
      <c r="Y280" s="15"/>
      <c r="Z280" s="15"/>
      <c r="AA280" s="4" t="s">
        <v>780</v>
      </c>
      <c r="AB280" s="44"/>
      <c r="AC280" s="44"/>
      <c r="AD280" s="44"/>
      <c r="AE280" s="1"/>
    </row>
    <row r="281" spans="1:31" customFormat="1" hidden="1">
      <c r="A281" s="15" t="s">
        <v>781</v>
      </c>
      <c r="B281" s="15" t="s">
        <v>201</v>
      </c>
      <c r="C281" s="4" t="s">
        <v>273</v>
      </c>
      <c r="D281" s="4" t="s">
        <v>68</v>
      </c>
      <c r="E281" s="4" t="s">
        <v>69</v>
      </c>
      <c r="F281" s="4"/>
      <c r="G281" s="15">
        <v>0</v>
      </c>
      <c r="H281" s="4" t="s">
        <v>662</v>
      </c>
      <c r="I281" s="11" t="s">
        <v>782</v>
      </c>
      <c r="J281" s="15" t="s">
        <v>179</v>
      </c>
      <c r="K281" s="15"/>
      <c r="L281" s="45"/>
      <c r="M281" s="15"/>
      <c r="N281" s="15" t="s">
        <v>783</v>
      </c>
      <c r="O281" s="4" t="s">
        <v>66</v>
      </c>
      <c r="P281" s="4" t="s">
        <v>189</v>
      </c>
      <c r="Q281" s="16" t="s">
        <v>240</v>
      </c>
      <c r="R281" s="4"/>
      <c r="S281" s="4"/>
      <c r="T281" s="4"/>
      <c r="U281" s="4"/>
      <c r="V281" s="4"/>
      <c r="W281" s="4"/>
      <c r="X281" s="4"/>
      <c r="Y281" s="15"/>
      <c r="Z281" s="15"/>
      <c r="AA281" s="4"/>
      <c r="AB281" s="44"/>
      <c r="AC281" s="44"/>
      <c r="AD281" s="44"/>
    </row>
    <row r="282" spans="1:31" customFormat="1" hidden="1">
      <c r="A282" s="15" t="s">
        <v>784</v>
      </c>
      <c r="B282" s="15" t="s">
        <v>201</v>
      </c>
      <c r="C282" s="4" t="s">
        <v>273</v>
      </c>
      <c r="D282" s="4" t="s">
        <v>68</v>
      </c>
      <c r="E282" s="4" t="s">
        <v>69</v>
      </c>
      <c r="F282" s="4"/>
      <c r="G282" s="15">
        <v>0</v>
      </c>
      <c r="H282" s="4" t="s">
        <v>662</v>
      </c>
      <c r="I282" s="4" t="s">
        <v>778</v>
      </c>
      <c r="J282" s="15" t="s">
        <v>367</v>
      </c>
      <c r="K282" s="15"/>
      <c r="L282" s="45"/>
      <c r="M282" s="15"/>
      <c r="N282" s="15" t="s">
        <v>779</v>
      </c>
      <c r="O282" s="4" t="s">
        <v>66</v>
      </c>
      <c r="P282" s="4" t="s">
        <v>189</v>
      </c>
      <c r="Q282" s="16" t="s">
        <v>240</v>
      </c>
      <c r="R282" s="4"/>
      <c r="S282" s="4"/>
      <c r="T282" s="4"/>
      <c r="U282" s="4" t="s">
        <v>61</v>
      </c>
      <c r="V282" s="4"/>
      <c r="W282" s="4"/>
      <c r="X282" s="4"/>
      <c r="Y282" s="15"/>
      <c r="Z282" s="15"/>
      <c r="AA282" s="4" t="s">
        <v>780</v>
      </c>
      <c r="AB282" s="44"/>
      <c r="AC282" s="44"/>
      <c r="AD282" s="44"/>
      <c r="AE282" s="1"/>
    </row>
    <row r="283" spans="1:31" customFormat="1" hidden="1">
      <c r="A283" s="15" t="s">
        <v>785</v>
      </c>
      <c r="B283" s="15" t="s">
        <v>201</v>
      </c>
      <c r="C283" s="4" t="s">
        <v>273</v>
      </c>
      <c r="D283" s="4" t="s">
        <v>68</v>
      </c>
      <c r="E283" s="4" t="s">
        <v>69</v>
      </c>
      <c r="F283" s="4"/>
      <c r="G283" s="15">
        <v>0</v>
      </c>
      <c r="H283" s="4" t="s">
        <v>662</v>
      </c>
      <c r="I283" s="11" t="s">
        <v>782</v>
      </c>
      <c r="J283" s="15" t="s">
        <v>179</v>
      </c>
      <c r="K283" s="15"/>
      <c r="L283" s="45"/>
      <c r="M283" s="15"/>
      <c r="N283" s="15" t="s">
        <v>783</v>
      </c>
      <c r="O283" s="4" t="s">
        <v>66</v>
      </c>
      <c r="P283" s="4" t="s">
        <v>189</v>
      </c>
      <c r="Q283" s="16" t="s">
        <v>240</v>
      </c>
      <c r="R283" s="4"/>
      <c r="S283" s="4"/>
      <c r="T283" s="4"/>
      <c r="U283" s="4"/>
      <c r="V283" s="4"/>
      <c r="W283" s="4"/>
      <c r="X283" s="4"/>
      <c r="Y283" s="15"/>
      <c r="Z283" s="15"/>
      <c r="AA283" s="4"/>
      <c r="AB283" s="44"/>
      <c r="AC283" s="44"/>
      <c r="AD283" s="44"/>
    </row>
    <row r="284" spans="1:31" customFormat="1" hidden="1">
      <c r="A284" s="15" t="s">
        <v>786</v>
      </c>
      <c r="B284" s="15" t="s">
        <v>201</v>
      </c>
      <c r="C284" s="4" t="s">
        <v>273</v>
      </c>
      <c r="D284" s="4" t="s">
        <v>68</v>
      </c>
      <c r="E284" s="4" t="s">
        <v>69</v>
      </c>
      <c r="F284" s="4"/>
      <c r="G284" s="15">
        <v>0</v>
      </c>
      <c r="H284" s="4" t="s">
        <v>662</v>
      </c>
      <c r="I284" s="4" t="s">
        <v>778</v>
      </c>
      <c r="J284" s="15" t="s">
        <v>367</v>
      </c>
      <c r="K284" s="15"/>
      <c r="L284" s="45"/>
      <c r="M284" s="15"/>
      <c r="N284" s="15" t="s">
        <v>779</v>
      </c>
      <c r="O284" s="4" t="s">
        <v>66</v>
      </c>
      <c r="P284" s="4" t="s">
        <v>189</v>
      </c>
      <c r="Q284" s="16" t="s">
        <v>240</v>
      </c>
      <c r="R284" s="4"/>
      <c r="S284" s="4"/>
      <c r="T284" s="4"/>
      <c r="U284" s="4" t="s">
        <v>61</v>
      </c>
      <c r="V284" s="4"/>
      <c r="W284" s="4"/>
      <c r="X284" s="4"/>
      <c r="Y284" s="15"/>
      <c r="Z284" s="15"/>
      <c r="AA284" s="4" t="s">
        <v>780</v>
      </c>
      <c r="AB284" s="44"/>
      <c r="AC284" s="44"/>
      <c r="AD284" s="44"/>
      <c r="AE284" s="1"/>
    </row>
    <row r="285" spans="1:31" customFormat="1" hidden="1">
      <c r="A285" s="15" t="s">
        <v>787</v>
      </c>
      <c r="B285" s="15" t="s">
        <v>201</v>
      </c>
      <c r="C285" s="4" t="s">
        <v>273</v>
      </c>
      <c r="D285" s="4" t="s">
        <v>68</v>
      </c>
      <c r="E285" s="4" t="s">
        <v>69</v>
      </c>
      <c r="F285" s="4"/>
      <c r="G285" s="15">
        <v>0</v>
      </c>
      <c r="H285" s="4" t="s">
        <v>662</v>
      </c>
      <c r="I285" s="11" t="s">
        <v>782</v>
      </c>
      <c r="J285" s="15" t="s">
        <v>179</v>
      </c>
      <c r="K285" s="15"/>
      <c r="L285" s="45"/>
      <c r="M285" s="15"/>
      <c r="N285" s="15" t="s">
        <v>783</v>
      </c>
      <c r="O285" s="4" t="s">
        <v>66</v>
      </c>
      <c r="P285" s="4" t="s">
        <v>189</v>
      </c>
      <c r="Q285" s="16" t="s">
        <v>240</v>
      </c>
      <c r="R285" s="4"/>
      <c r="S285" s="4"/>
      <c r="T285" s="4"/>
      <c r="U285" s="4"/>
      <c r="V285" s="4"/>
      <c r="W285" s="4"/>
      <c r="X285" s="4"/>
      <c r="Y285" s="15"/>
      <c r="Z285" s="15"/>
      <c r="AA285" s="4"/>
      <c r="AB285" s="44"/>
      <c r="AC285" s="44"/>
      <c r="AD285" s="44"/>
    </row>
    <row r="286" spans="1:31" customFormat="1" hidden="1">
      <c r="A286" s="15" t="s">
        <v>788</v>
      </c>
      <c r="B286" s="15" t="s">
        <v>302</v>
      </c>
      <c r="C286" s="4" t="s">
        <v>84</v>
      </c>
      <c r="D286" s="4" t="s">
        <v>86</v>
      </c>
      <c r="E286" s="4" t="s">
        <v>47</v>
      </c>
      <c r="F286" s="4"/>
      <c r="G286" s="15">
        <v>0</v>
      </c>
      <c r="H286" s="4" t="s">
        <v>126</v>
      </c>
      <c r="I286" s="4"/>
      <c r="J286" s="15" t="s">
        <v>185</v>
      </c>
      <c r="K286" s="15"/>
      <c r="L286" s="45"/>
      <c r="M286" s="15"/>
      <c r="N286" s="15" t="s">
        <v>762</v>
      </c>
      <c r="O286" s="4" t="s">
        <v>84</v>
      </c>
      <c r="P286" s="44" t="s">
        <v>189</v>
      </c>
      <c r="Q286" s="46" t="s">
        <v>304</v>
      </c>
      <c r="R286" s="44" t="s">
        <v>183</v>
      </c>
      <c r="S286" s="44"/>
      <c r="T286" s="44"/>
      <c r="U286" s="44"/>
      <c r="V286" s="44"/>
      <c r="W286" s="44"/>
      <c r="X286" s="44"/>
      <c r="Y286" s="45"/>
      <c r="Z286" s="45"/>
      <c r="AA286" s="4"/>
      <c r="AB286" s="44"/>
      <c r="AC286" s="44"/>
      <c r="AD286" s="44"/>
    </row>
    <row r="287" spans="1:31" customFormat="1" hidden="1">
      <c r="A287" s="15" t="s">
        <v>789</v>
      </c>
      <c r="B287" s="15" t="s">
        <v>302</v>
      </c>
      <c r="C287" s="4" t="s">
        <v>84</v>
      </c>
      <c r="D287" s="4" t="s">
        <v>86</v>
      </c>
      <c r="E287" s="4" t="s">
        <v>47</v>
      </c>
      <c r="F287" s="4"/>
      <c r="G287" s="15">
        <v>0</v>
      </c>
      <c r="H287" s="4" t="s">
        <v>126</v>
      </c>
      <c r="I287" s="4"/>
      <c r="J287" s="15" t="s">
        <v>185</v>
      </c>
      <c r="K287" s="15"/>
      <c r="L287" s="45"/>
      <c r="M287" s="15"/>
      <c r="N287" s="15"/>
      <c r="O287" s="4" t="s">
        <v>84</v>
      </c>
      <c r="P287" s="44" t="s">
        <v>189</v>
      </c>
      <c r="Q287" s="46" t="s">
        <v>304</v>
      </c>
      <c r="R287" s="44" t="s">
        <v>183</v>
      </c>
      <c r="S287" s="44"/>
      <c r="T287" s="44"/>
      <c r="U287" s="44"/>
      <c r="V287" s="44"/>
      <c r="W287" s="44"/>
      <c r="X287" s="44"/>
      <c r="Y287" s="45"/>
      <c r="Z287" s="45"/>
      <c r="AA287" s="4"/>
      <c r="AB287" s="44"/>
      <c r="AC287" s="44"/>
      <c r="AD287" s="44"/>
    </row>
    <row r="288" spans="1:31" customFormat="1" hidden="1">
      <c r="A288" s="15" t="s">
        <v>790</v>
      </c>
      <c r="B288" s="15" t="s">
        <v>302</v>
      </c>
      <c r="C288" s="4" t="s">
        <v>84</v>
      </c>
      <c r="D288" s="4" t="s">
        <v>86</v>
      </c>
      <c r="E288" s="4" t="s">
        <v>47</v>
      </c>
      <c r="F288" s="4"/>
      <c r="G288" s="15">
        <v>0</v>
      </c>
      <c r="H288" s="4" t="s">
        <v>126</v>
      </c>
      <c r="I288" s="4"/>
      <c r="J288" s="15" t="s">
        <v>185</v>
      </c>
      <c r="K288" s="15"/>
      <c r="L288" s="45"/>
      <c r="M288" s="15"/>
      <c r="N288" s="15"/>
      <c r="O288" s="4" t="s">
        <v>84</v>
      </c>
      <c r="P288" s="44" t="s">
        <v>189</v>
      </c>
      <c r="Q288" s="46" t="s">
        <v>304</v>
      </c>
      <c r="R288" s="44" t="s">
        <v>183</v>
      </c>
      <c r="S288" s="44"/>
      <c r="T288" s="44"/>
      <c r="U288" s="44"/>
      <c r="V288" s="44"/>
      <c r="W288" s="44"/>
      <c r="X288" s="44"/>
      <c r="Y288" s="45"/>
      <c r="Z288" s="45"/>
      <c r="AA288" s="4"/>
      <c r="AB288" s="44"/>
      <c r="AC288" s="44"/>
      <c r="AD288" s="44"/>
    </row>
    <row r="289" spans="1:31" customFormat="1" hidden="1">
      <c r="A289" s="15" t="s">
        <v>791</v>
      </c>
      <c r="B289" s="15" t="s">
        <v>302</v>
      </c>
      <c r="C289" s="4" t="s">
        <v>84</v>
      </c>
      <c r="D289" s="4" t="s">
        <v>86</v>
      </c>
      <c r="E289" s="4" t="s">
        <v>47</v>
      </c>
      <c r="F289" s="4"/>
      <c r="G289" s="15">
        <v>0</v>
      </c>
      <c r="H289" s="4" t="s">
        <v>126</v>
      </c>
      <c r="I289" s="4"/>
      <c r="J289" s="15" t="s">
        <v>185</v>
      </c>
      <c r="K289" s="15"/>
      <c r="L289" s="45"/>
      <c r="M289" s="15"/>
      <c r="N289" s="15"/>
      <c r="O289" s="4" t="s">
        <v>84</v>
      </c>
      <c r="P289" s="4" t="s">
        <v>189</v>
      </c>
      <c r="Q289" s="16" t="s">
        <v>304</v>
      </c>
      <c r="R289" s="4" t="s">
        <v>183</v>
      </c>
      <c r="S289" s="4"/>
      <c r="T289" s="4"/>
      <c r="U289" s="4"/>
      <c r="V289" s="4"/>
      <c r="W289" s="4"/>
      <c r="X289" s="4"/>
      <c r="Y289" s="15"/>
      <c r="Z289" s="15"/>
      <c r="AA289" s="4"/>
      <c r="AB289" s="44"/>
      <c r="AC289" s="44"/>
      <c r="AD289" s="44"/>
    </row>
    <row r="290" spans="1:31" customFormat="1" hidden="1">
      <c r="A290" s="15" t="s">
        <v>792</v>
      </c>
      <c r="B290" s="15" t="s">
        <v>302</v>
      </c>
      <c r="C290" s="4" t="s">
        <v>84</v>
      </c>
      <c r="D290" s="4" t="s">
        <v>86</v>
      </c>
      <c r="E290" s="4" t="s">
        <v>47</v>
      </c>
      <c r="F290" s="4"/>
      <c r="G290" s="15">
        <v>0</v>
      </c>
      <c r="H290" s="4" t="s">
        <v>126</v>
      </c>
      <c r="I290" s="4"/>
      <c r="J290" s="15" t="s">
        <v>185</v>
      </c>
      <c r="K290" s="15"/>
      <c r="L290" s="45"/>
      <c r="M290" s="15"/>
      <c r="N290" s="15"/>
      <c r="O290" s="4" t="s">
        <v>84</v>
      </c>
      <c r="P290" s="4" t="s">
        <v>189</v>
      </c>
      <c r="Q290" s="16" t="s">
        <v>304</v>
      </c>
      <c r="R290" s="4" t="s">
        <v>183</v>
      </c>
      <c r="S290" s="4"/>
      <c r="T290" s="4"/>
      <c r="U290" s="4"/>
      <c r="V290" s="4"/>
      <c r="W290" s="4"/>
      <c r="X290" s="4"/>
      <c r="Y290" s="15"/>
      <c r="Z290" s="15"/>
      <c r="AA290" s="4"/>
      <c r="AB290" s="44"/>
      <c r="AC290" s="44"/>
      <c r="AD290" s="44"/>
    </row>
    <row r="291" spans="1:31" customFormat="1" hidden="1">
      <c r="A291" s="15" t="s">
        <v>793</v>
      </c>
      <c r="B291" s="15" t="s">
        <v>302</v>
      </c>
      <c r="C291" s="4" t="s">
        <v>84</v>
      </c>
      <c r="D291" s="4" t="s">
        <v>86</v>
      </c>
      <c r="E291" s="4" t="s">
        <v>47</v>
      </c>
      <c r="F291" s="4"/>
      <c r="G291" s="15">
        <v>0</v>
      </c>
      <c r="H291" s="4" t="s">
        <v>126</v>
      </c>
      <c r="I291" s="4"/>
      <c r="J291" s="15" t="s">
        <v>185</v>
      </c>
      <c r="K291" s="15"/>
      <c r="L291" s="45"/>
      <c r="M291" s="15"/>
      <c r="N291" s="15"/>
      <c r="O291" s="4" t="s">
        <v>84</v>
      </c>
      <c r="P291" s="4" t="s">
        <v>189</v>
      </c>
      <c r="Q291" s="16" t="s">
        <v>304</v>
      </c>
      <c r="R291" s="4" t="s">
        <v>183</v>
      </c>
      <c r="S291" s="4"/>
      <c r="T291" s="4"/>
      <c r="U291" s="4"/>
      <c r="V291" s="4"/>
      <c r="W291" s="4"/>
      <c r="X291" s="4"/>
      <c r="Y291" s="15"/>
      <c r="Z291" s="15"/>
      <c r="AA291" s="4"/>
      <c r="AB291" s="44"/>
      <c r="AC291" s="44"/>
      <c r="AD291" s="44"/>
    </row>
    <row r="292" spans="1:31" customFormat="1" hidden="1">
      <c r="A292" s="15" t="s">
        <v>794</v>
      </c>
      <c r="B292" s="15" t="s">
        <v>302</v>
      </c>
      <c r="C292" s="4" t="s">
        <v>84</v>
      </c>
      <c r="D292" s="4" t="s">
        <v>86</v>
      </c>
      <c r="E292" s="4" t="s">
        <v>47</v>
      </c>
      <c r="F292" s="4"/>
      <c r="G292" s="15">
        <v>0</v>
      </c>
      <c r="H292" s="4" t="s">
        <v>126</v>
      </c>
      <c r="I292" s="4"/>
      <c r="J292" s="15" t="s">
        <v>185</v>
      </c>
      <c r="K292" s="15"/>
      <c r="L292" s="45"/>
      <c r="M292" s="15"/>
      <c r="N292" s="15"/>
      <c r="O292" s="4" t="s">
        <v>84</v>
      </c>
      <c r="P292" s="4" t="s">
        <v>189</v>
      </c>
      <c r="Q292" s="16" t="s">
        <v>304</v>
      </c>
      <c r="R292" s="4" t="s">
        <v>183</v>
      </c>
      <c r="S292" s="4"/>
      <c r="T292" s="4"/>
      <c r="U292" s="4"/>
      <c r="V292" s="4"/>
      <c r="W292" s="4"/>
      <c r="X292" s="4"/>
      <c r="Y292" s="15"/>
      <c r="Z292" s="15"/>
      <c r="AA292" s="4"/>
      <c r="AB292" s="44"/>
      <c r="AC292" s="44"/>
      <c r="AD292" s="44"/>
    </row>
    <row r="293" spans="1:31" customFormat="1" hidden="1">
      <c r="A293" s="15" t="s">
        <v>795</v>
      </c>
      <c r="B293" s="15" t="s">
        <v>302</v>
      </c>
      <c r="C293" s="4" t="s">
        <v>84</v>
      </c>
      <c r="D293" s="4" t="s">
        <v>86</v>
      </c>
      <c r="E293" s="4" t="s">
        <v>47</v>
      </c>
      <c r="F293" s="4"/>
      <c r="G293" s="15">
        <v>0</v>
      </c>
      <c r="H293" s="4" t="s">
        <v>126</v>
      </c>
      <c r="I293" s="4"/>
      <c r="J293" s="15" t="s">
        <v>185</v>
      </c>
      <c r="K293" s="15"/>
      <c r="L293" s="45"/>
      <c r="M293" s="15"/>
      <c r="N293" s="15"/>
      <c r="O293" s="4" t="s">
        <v>84</v>
      </c>
      <c r="P293" s="4" t="s">
        <v>189</v>
      </c>
      <c r="Q293" s="16" t="s">
        <v>304</v>
      </c>
      <c r="R293" s="4" t="s">
        <v>183</v>
      </c>
      <c r="S293" s="4"/>
      <c r="T293" s="4"/>
      <c r="U293" s="4"/>
      <c r="V293" s="4"/>
      <c r="W293" s="4"/>
      <c r="X293" s="4"/>
      <c r="Y293" s="15"/>
      <c r="Z293" s="15"/>
      <c r="AA293" s="4"/>
      <c r="AB293" s="44"/>
      <c r="AC293" s="44"/>
      <c r="AD293" s="44"/>
    </row>
    <row r="294" spans="1:31" hidden="1">
      <c r="A294" s="15" t="s">
        <v>796</v>
      </c>
      <c r="B294" s="15" t="s">
        <v>302</v>
      </c>
      <c r="C294" s="4" t="s">
        <v>84</v>
      </c>
      <c r="D294" s="4" t="s">
        <v>86</v>
      </c>
      <c r="E294" s="4" t="s">
        <v>47</v>
      </c>
      <c r="G294" s="15">
        <v>0</v>
      </c>
      <c r="H294" s="4" t="s">
        <v>126</v>
      </c>
      <c r="J294" s="15" t="s">
        <v>185</v>
      </c>
      <c r="K294" s="15"/>
      <c r="M294" s="15"/>
      <c r="N294" s="15"/>
      <c r="O294" s="4" t="s">
        <v>84</v>
      </c>
      <c r="P294" s="4" t="s">
        <v>189</v>
      </c>
      <c r="Q294" s="16" t="s">
        <v>304</v>
      </c>
      <c r="R294" s="4" t="s">
        <v>183</v>
      </c>
      <c r="S294" s="4"/>
      <c r="T294" s="4"/>
      <c r="U294" s="4"/>
      <c r="V294" s="4"/>
      <c r="W294" s="4"/>
      <c r="X294" s="4"/>
      <c r="Y294" s="15"/>
      <c r="Z294" s="15"/>
      <c r="AA294" s="4"/>
      <c r="AE294"/>
    </row>
    <row r="295" spans="1:31" hidden="1">
      <c r="A295" s="15" t="s">
        <v>797</v>
      </c>
      <c r="B295" s="15" t="s">
        <v>302</v>
      </c>
      <c r="C295" s="4" t="s">
        <v>84</v>
      </c>
      <c r="D295" s="4" t="s">
        <v>86</v>
      </c>
      <c r="E295" s="4" t="s">
        <v>47</v>
      </c>
      <c r="G295" s="15">
        <v>0</v>
      </c>
      <c r="H295" s="4" t="s">
        <v>126</v>
      </c>
      <c r="J295" s="15" t="s">
        <v>185</v>
      </c>
      <c r="K295" s="15"/>
      <c r="M295" s="15"/>
      <c r="N295" s="15"/>
      <c r="O295" s="4" t="s">
        <v>84</v>
      </c>
      <c r="P295" s="4" t="s">
        <v>189</v>
      </c>
      <c r="Q295" s="16" t="s">
        <v>304</v>
      </c>
      <c r="R295" s="4" t="s">
        <v>183</v>
      </c>
      <c r="S295" s="4"/>
      <c r="T295" s="4"/>
      <c r="U295" s="4"/>
      <c r="V295" s="4"/>
      <c r="W295" s="4"/>
      <c r="X295" s="4"/>
      <c r="Y295" s="15"/>
      <c r="Z295" s="15"/>
      <c r="AA295" s="4"/>
      <c r="AE295"/>
    </row>
    <row r="296" spans="1:31" hidden="1">
      <c r="A296" s="15" t="s">
        <v>798</v>
      </c>
      <c r="B296" s="15" t="s">
        <v>302</v>
      </c>
      <c r="C296" s="4" t="s">
        <v>84</v>
      </c>
      <c r="D296" s="4" t="s">
        <v>86</v>
      </c>
      <c r="E296" s="4" t="s">
        <v>47</v>
      </c>
      <c r="G296" s="15">
        <v>0</v>
      </c>
      <c r="H296" s="4" t="s">
        <v>126</v>
      </c>
      <c r="J296" s="15" t="s">
        <v>185</v>
      </c>
      <c r="K296" s="15"/>
      <c r="M296" s="15"/>
      <c r="N296" s="15"/>
      <c r="O296" s="4" t="s">
        <v>84</v>
      </c>
      <c r="P296" s="4" t="s">
        <v>189</v>
      </c>
      <c r="Q296" s="16" t="s">
        <v>304</v>
      </c>
      <c r="R296" s="4" t="s">
        <v>183</v>
      </c>
      <c r="S296" s="4"/>
      <c r="T296" s="4"/>
      <c r="U296" s="4"/>
      <c r="V296" s="4"/>
      <c r="W296" s="4"/>
      <c r="X296" s="4"/>
      <c r="Y296" s="15"/>
      <c r="Z296" s="15"/>
      <c r="AA296" s="4"/>
      <c r="AE296"/>
    </row>
    <row r="297" spans="1:31" hidden="1">
      <c r="A297" s="15" t="s">
        <v>799</v>
      </c>
      <c r="B297" s="15" t="s">
        <v>302</v>
      </c>
      <c r="C297" s="4" t="s">
        <v>84</v>
      </c>
      <c r="D297" s="4" t="s">
        <v>86</v>
      </c>
      <c r="E297" s="4" t="s">
        <v>47</v>
      </c>
      <c r="G297" s="15">
        <v>0</v>
      </c>
      <c r="H297" s="4" t="s">
        <v>126</v>
      </c>
      <c r="J297" s="15" t="s">
        <v>185</v>
      </c>
      <c r="K297" s="15"/>
      <c r="M297" s="15"/>
      <c r="N297" s="15"/>
      <c r="O297" s="4" t="s">
        <v>84</v>
      </c>
      <c r="P297" s="4" t="s">
        <v>189</v>
      </c>
      <c r="Q297" s="16" t="s">
        <v>304</v>
      </c>
      <c r="R297" s="4" t="s">
        <v>183</v>
      </c>
      <c r="S297" s="4"/>
      <c r="T297" s="4"/>
      <c r="U297" s="4"/>
      <c r="V297" s="4"/>
      <c r="W297" s="4"/>
      <c r="X297" s="4"/>
      <c r="Y297" s="15"/>
      <c r="Z297" s="15"/>
      <c r="AA297" s="4"/>
      <c r="AE297"/>
    </row>
    <row r="298" spans="1:31" hidden="1">
      <c r="A298" s="15" t="s">
        <v>711</v>
      </c>
      <c r="B298" s="15" t="s">
        <v>707</v>
      </c>
      <c r="C298" s="4" t="s">
        <v>84</v>
      </c>
      <c r="D298" s="4" t="s">
        <v>708</v>
      </c>
      <c r="G298" s="15">
        <v>0</v>
      </c>
      <c r="H298" s="4" t="s">
        <v>709</v>
      </c>
      <c r="J298" s="15" t="s">
        <v>367</v>
      </c>
      <c r="K298" s="15"/>
      <c r="M298" s="15"/>
      <c r="N298" s="15"/>
      <c r="O298" s="4" t="s">
        <v>84</v>
      </c>
      <c r="P298" s="4" t="s">
        <v>189</v>
      </c>
      <c r="Q298" s="16" t="s">
        <v>304</v>
      </c>
      <c r="R298" s="4" t="s">
        <v>183</v>
      </c>
      <c r="S298" s="4"/>
      <c r="T298" s="4"/>
      <c r="U298" s="4"/>
      <c r="V298" s="4"/>
      <c r="W298" s="4"/>
      <c r="X298" s="4"/>
      <c r="Y298" s="15"/>
      <c r="Z298" s="15"/>
      <c r="AA298" s="4"/>
    </row>
    <row r="299" spans="1:31" hidden="1">
      <c r="A299" s="15" t="s">
        <v>713</v>
      </c>
      <c r="B299" s="15" t="s">
        <v>707</v>
      </c>
      <c r="C299" s="4" t="s">
        <v>84</v>
      </c>
      <c r="D299" s="4" t="s">
        <v>708</v>
      </c>
      <c r="G299" s="15">
        <v>0</v>
      </c>
      <c r="H299" s="4" t="s">
        <v>709</v>
      </c>
      <c r="J299" s="15" t="s">
        <v>367</v>
      </c>
      <c r="K299" s="15"/>
      <c r="M299" s="15"/>
      <c r="N299" s="15"/>
      <c r="O299" s="4" t="s">
        <v>84</v>
      </c>
      <c r="P299" s="4" t="s">
        <v>189</v>
      </c>
      <c r="Q299" s="16" t="s">
        <v>304</v>
      </c>
      <c r="R299" s="4" t="s">
        <v>183</v>
      </c>
      <c r="S299" s="4"/>
      <c r="T299" s="4"/>
      <c r="U299" s="4"/>
      <c r="V299" s="4"/>
      <c r="W299" s="4"/>
      <c r="X299" s="4"/>
      <c r="Y299" s="15"/>
      <c r="Z299" s="15"/>
      <c r="AA299" s="4"/>
    </row>
    <row r="300" spans="1:31" hidden="1">
      <c r="A300" s="15" t="s">
        <v>800</v>
      </c>
      <c r="B300" s="15" t="s">
        <v>295</v>
      </c>
      <c r="C300" s="4" t="s">
        <v>22</v>
      </c>
      <c r="D300" s="4" t="s">
        <v>37</v>
      </c>
      <c r="E300" s="4" t="s">
        <v>38</v>
      </c>
      <c r="G300" s="15">
        <v>0</v>
      </c>
      <c r="H300" s="4" t="s">
        <v>320</v>
      </c>
      <c r="I300" s="4" t="s">
        <v>321</v>
      </c>
      <c r="J300" s="15" t="s">
        <v>185</v>
      </c>
      <c r="K300" s="15"/>
      <c r="M300" s="15"/>
      <c r="N300" s="15" t="s">
        <v>721</v>
      </c>
      <c r="O300" s="4" t="s">
        <v>22</v>
      </c>
      <c r="P300" s="4" t="s">
        <v>189</v>
      </c>
      <c r="Q300" s="16" t="s">
        <v>240</v>
      </c>
      <c r="R300" s="4" t="s">
        <v>189</v>
      </c>
      <c r="S300" s="4"/>
      <c r="T300" s="4"/>
      <c r="U300" s="4"/>
      <c r="V300" s="4"/>
      <c r="W300" s="4"/>
      <c r="X300" s="4"/>
      <c r="Y300" s="15"/>
      <c r="Z300" s="15"/>
      <c r="AA300" s="28" t="s">
        <v>801</v>
      </c>
      <c r="AE300"/>
    </row>
    <row r="301" spans="1:31" hidden="1">
      <c r="A301" s="15" t="s">
        <v>802</v>
      </c>
      <c r="C301" s="4" t="s">
        <v>75</v>
      </c>
      <c r="G301" s="15">
        <v>0</v>
      </c>
      <c r="I301" s="4" t="s">
        <v>803</v>
      </c>
      <c r="J301" s="15" t="s">
        <v>185</v>
      </c>
      <c r="K301" s="15"/>
      <c r="M301" s="15"/>
      <c r="N301" s="15" t="s">
        <v>804</v>
      </c>
      <c r="O301" s="4" t="s">
        <v>805</v>
      </c>
      <c r="P301" s="4"/>
      <c r="Q301" s="4"/>
      <c r="R301" s="4"/>
      <c r="S301" s="4"/>
      <c r="T301" s="4"/>
      <c r="U301" s="4"/>
      <c r="V301" s="4"/>
      <c r="W301" s="4"/>
      <c r="X301" s="4"/>
      <c r="Y301" s="15"/>
      <c r="Z301" s="15"/>
      <c r="AA301" s="4"/>
      <c r="AE301"/>
    </row>
    <row r="302" spans="1:31" hidden="1">
      <c r="A302" s="15" t="s">
        <v>806</v>
      </c>
      <c r="C302" s="4" t="s">
        <v>75</v>
      </c>
      <c r="G302" s="15">
        <v>0</v>
      </c>
      <c r="I302" s="4" t="s">
        <v>803</v>
      </c>
      <c r="J302" s="15" t="s">
        <v>185</v>
      </c>
      <c r="K302" s="15"/>
      <c r="M302" s="15"/>
      <c r="N302" s="15" t="s">
        <v>804</v>
      </c>
      <c r="O302" s="4" t="s">
        <v>805</v>
      </c>
      <c r="P302" s="4"/>
      <c r="Q302" s="4"/>
      <c r="R302" s="4"/>
      <c r="S302" s="4"/>
      <c r="T302" s="4"/>
      <c r="U302" s="4"/>
      <c r="V302" s="4"/>
      <c r="W302" s="4"/>
      <c r="X302" s="4"/>
      <c r="Y302" s="15"/>
      <c r="Z302" s="15"/>
      <c r="AA302" s="4"/>
      <c r="AE302"/>
    </row>
    <row r="303" spans="1:31" hidden="1">
      <c r="A303" s="15" t="s">
        <v>807</v>
      </c>
      <c r="C303" s="4" t="s">
        <v>75</v>
      </c>
      <c r="D303" s="4" t="s">
        <v>24</v>
      </c>
      <c r="G303" s="15">
        <v>0</v>
      </c>
      <c r="H303" s="4" t="s">
        <v>808</v>
      </c>
      <c r="I303" s="4" t="s">
        <v>809</v>
      </c>
      <c r="J303" s="15" t="s">
        <v>185</v>
      </c>
      <c r="K303" s="15"/>
      <c r="M303" s="15"/>
      <c r="N303" s="15" t="s">
        <v>804</v>
      </c>
      <c r="O303" s="4" t="s">
        <v>90</v>
      </c>
      <c r="P303" s="4"/>
      <c r="Q303" s="4"/>
      <c r="R303" s="4"/>
      <c r="S303" s="4"/>
      <c r="T303" s="4"/>
      <c r="U303" s="4" t="s">
        <v>90</v>
      </c>
      <c r="V303" s="4"/>
      <c r="W303" s="4"/>
      <c r="X303" s="4"/>
      <c r="Y303" s="15"/>
      <c r="Z303" s="15"/>
      <c r="AA303" s="4"/>
      <c r="AE303"/>
    </row>
    <row r="304" spans="1:31" hidden="1">
      <c r="A304" s="15" t="s">
        <v>810</v>
      </c>
      <c r="C304" s="4" t="s">
        <v>75</v>
      </c>
      <c r="D304" s="4" t="s">
        <v>24</v>
      </c>
      <c r="G304" s="15">
        <v>0</v>
      </c>
      <c r="H304" s="4" t="s">
        <v>808</v>
      </c>
      <c r="I304" s="4" t="s">
        <v>809</v>
      </c>
      <c r="J304" s="15" t="s">
        <v>185</v>
      </c>
      <c r="K304" s="15"/>
      <c r="M304" s="15"/>
      <c r="N304" s="15" t="s">
        <v>804</v>
      </c>
      <c r="O304" s="4" t="s">
        <v>90</v>
      </c>
      <c r="P304" s="4"/>
      <c r="Q304" s="4"/>
      <c r="R304" s="4"/>
      <c r="S304" s="4"/>
      <c r="T304" s="4"/>
      <c r="U304" s="4" t="s">
        <v>90</v>
      </c>
      <c r="V304" s="4"/>
      <c r="W304" s="4"/>
      <c r="X304" s="4"/>
      <c r="Y304" s="15"/>
      <c r="Z304" s="15"/>
      <c r="AA304" s="4"/>
      <c r="AE304"/>
    </row>
    <row r="305" spans="1:31" hidden="1">
      <c r="A305" s="15" t="s">
        <v>811</v>
      </c>
      <c r="C305" s="4" t="s">
        <v>90</v>
      </c>
      <c r="D305" s="4" t="s">
        <v>24</v>
      </c>
      <c r="G305" s="15">
        <v>0</v>
      </c>
      <c r="H305" s="4" t="s">
        <v>808</v>
      </c>
      <c r="I305" s="4" t="s">
        <v>812</v>
      </c>
      <c r="J305" s="15" t="s">
        <v>185</v>
      </c>
      <c r="K305" s="15"/>
      <c r="M305" s="15"/>
      <c r="N305" s="15" t="s">
        <v>804</v>
      </c>
      <c r="O305" s="4" t="s">
        <v>90</v>
      </c>
      <c r="P305" s="4"/>
      <c r="Q305" s="4"/>
      <c r="R305" s="4"/>
      <c r="S305" s="4"/>
      <c r="T305" s="4"/>
      <c r="U305" s="4"/>
      <c r="V305" s="4"/>
      <c r="W305" s="4"/>
      <c r="X305" s="4"/>
      <c r="Y305" s="15"/>
      <c r="Z305" s="15"/>
      <c r="AA305" s="4"/>
      <c r="AE305"/>
    </row>
    <row r="306" spans="1:31" hidden="1">
      <c r="A306" s="15" t="s">
        <v>813</v>
      </c>
      <c r="C306" s="4" t="s">
        <v>90</v>
      </c>
      <c r="D306" s="4" t="s">
        <v>24</v>
      </c>
      <c r="G306" s="15">
        <v>0</v>
      </c>
      <c r="H306" s="4" t="s">
        <v>808</v>
      </c>
      <c r="I306" s="4" t="s">
        <v>812</v>
      </c>
      <c r="J306" s="15" t="s">
        <v>185</v>
      </c>
      <c r="K306" s="15"/>
      <c r="M306" s="15"/>
      <c r="N306" s="15" t="s">
        <v>804</v>
      </c>
      <c r="O306" s="4" t="s">
        <v>90</v>
      </c>
      <c r="P306" s="4"/>
      <c r="Q306" s="4"/>
      <c r="R306" s="4"/>
      <c r="S306" s="4"/>
      <c r="T306" s="4"/>
      <c r="U306" s="4"/>
      <c r="V306" s="4"/>
      <c r="W306" s="4"/>
      <c r="X306" s="4"/>
      <c r="Y306" s="15"/>
      <c r="Z306" s="15"/>
      <c r="AA306" s="4"/>
      <c r="AE306"/>
    </row>
    <row r="307" spans="1:31" hidden="1">
      <c r="A307" s="15" t="s">
        <v>814</v>
      </c>
      <c r="C307" s="4" t="s">
        <v>90</v>
      </c>
      <c r="D307" s="4" t="s">
        <v>24</v>
      </c>
      <c r="G307" s="15">
        <v>0</v>
      </c>
      <c r="I307" s="4" t="s">
        <v>815</v>
      </c>
      <c r="J307" s="15" t="s">
        <v>185</v>
      </c>
      <c r="K307" s="15"/>
      <c r="M307" s="15"/>
      <c r="N307" s="15" t="s">
        <v>804</v>
      </c>
      <c r="O307" s="4" t="s">
        <v>90</v>
      </c>
      <c r="P307" s="4"/>
      <c r="Q307" s="4"/>
      <c r="R307" s="4"/>
      <c r="S307" s="4"/>
      <c r="T307" s="4"/>
      <c r="U307" s="4"/>
      <c r="V307" s="4"/>
      <c r="W307" s="4"/>
      <c r="X307" s="4"/>
      <c r="Y307" s="15"/>
      <c r="Z307" s="15"/>
      <c r="AA307" s="4"/>
      <c r="AE307"/>
    </row>
    <row r="308" spans="1:31" hidden="1">
      <c r="A308" s="15" t="s">
        <v>816</v>
      </c>
      <c r="C308" s="4" t="s">
        <v>90</v>
      </c>
      <c r="D308" s="4" t="s">
        <v>24</v>
      </c>
      <c r="G308" s="15">
        <v>0</v>
      </c>
      <c r="I308" s="4" t="s">
        <v>815</v>
      </c>
      <c r="J308" s="15" t="s">
        <v>185</v>
      </c>
      <c r="K308" s="15"/>
      <c r="M308" s="15"/>
      <c r="N308" s="15" t="s">
        <v>804</v>
      </c>
      <c r="O308" s="4" t="s">
        <v>90</v>
      </c>
      <c r="P308" s="4"/>
      <c r="Q308" s="4"/>
      <c r="R308" s="4"/>
      <c r="S308" s="4"/>
      <c r="T308" s="4"/>
      <c r="U308" s="4"/>
      <c r="V308" s="4"/>
      <c r="W308" s="4"/>
      <c r="X308" s="4"/>
      <c r="Y308" s="15"/>
      <c r="Z308" s="15"/>
      <c r="AA308" s="4"/>
      <c r="AE308"/>
    </row>
    <row r="309" spans="1:31" hidden="1">
      <c r="A309" s="15" t="s">
        <v>817</v>
      </c>
      <c r="B309" s="15" t="s">
        <v>176</v>
      </c>
      <c r="C309" s="4" t="s">
        <v>283</v>
      </c>
      <c r="D309" s="4" t="s">
        <v>24</v>
      </c>
      <c r="E309" s="4" t="s">
        <v>25</v>
      </c>
      <c r="G309" s="15">
        <v>0</v>
      </c>
      <c r="H309" s="4" t="s">
        <v>284</v>
      </c>
      <c r="I309" s="4" t="s">
        <v>818</v>
      </c>
      <c r="J309" s="15" t="s">
        <v>185</v>
      </c>
      <c r="K309" s="15"/>
      <c r="M309" s="15"/>
      <c r="N309" s="15" t="s">
        <v>819</v>
      </c>
      <c r="O309" s="4" t="s">
        <v>22</v>
      </c>
      <c r="P309" s="4" t="s">
        <v>189</v>
      </c>
      <c r="Q309" s="16" t="s">
        <v>240</v>
      </c>
      <c r="R309" s="1"/>
      <c r="S309" s="1"/>
      <c r="T309" s="1"/>
      <c r="U309" s="4"/>
      <c r="V309" s="4"/>
      <c r="W309" s="1"/>
      <c r="X309" s="1"/>
      <c r="Y309" s="3"/>
      <c r="Z309" s="3"/>
    </row>
    <row r="310" spans="1:31" hidden="1">
      <c r="A310" s="15" t="s">
        <v>820</v>
      </c>
      <c r="B310" s="15" t="s">
        <v>176</v>
      </c>
      <c r="C310" s="4" t="s">
        <v>283</v>
      </c>
      <c r="D310" s="4" t="s">
        <v>24</v>
      </c>
      <c r="E310" s="4" t="s">
        <v>25</v>
      </c>
      <c r="G310" s="15">
        <v>0</v>
      </c>
      <c r="H310" s="4" t="s">
        <v>284</v>
      </c>
      <c r="I310" s="4" t="s">
        <v>818</v>
      </c>
      <c r="J310" s="15" t="s">
        <v>185</v>
      </c>
      <c r="K310" s="15"/>
      <c r="M310" s="15"/>
      <c r="N310" s="15" t="s">
        <v>819</v>
      </c>
      <c r="O310" s="4" t="s">
        <v>22</v>
      </c>
      <c r="P310" s="4" t="s">
        <v>189</v>
      </c>
      <c r="Q310" s="16" t="s">
        <v>240</v>
      </c>
      <c r="R310" s="1"/>
      <c r="S310" s="1"/>
      <c r="T310" s="1"/>
      <c r="U310" s="4"/>
      <c r="V310" s="4"/>
      <c r="W310" s="1"/>
      <c r="X310" s="1"/>
      <c r="Y310" s="3"/>
      <c r="Z310" s="3"/>
    </row>
    <row r="311" spans="1:31" hidden="1">
      <c r="AE311"/>
    </row>
    <row r="312" spans="1:31" hidden="1">
      <c r="AE312"/>
    </row>
    <row r="319" spans="1:31">
      <c r="F319" s="15" t="s">
        <v>821</v>
      </c>
      <c r="G319" s="15">
        <f>COUNTIF(G2:G301,1)</f>
        <v>237</v>
      </c>
    </row>
  </sheetData>
  <autoFilter ref="A1:AE312" xr:uid="{00000000-0001-0000-0000-000000000000}">
    <filterColumn colId="2">
      <filters>
        <filter val="Han"/>
      </filters>
    </filterColumn>
    <filterColumn colId="6">
      <filters>
        <filter val="1"/>
      </filters>
    </filterColumn>
  </autoFilter>
  <phoneticPr fontId="3" type="noConversion"/>
  <hyperlinks>
    <hyperlink ref="Q213" r:id="rId1" xr:uid="{E8EF906C-D956-41FB-A09D-B88042DC1196}"/>
    <hyperlink ref="Q214" r:id="rId2" xr:uid="{E4863A82-3D4F-4D38-B8F0-99F381CBAC82}"/>
    <hyperlink ref="Q215" r:id="rId3" xr:uid="{DF35A61D-E993-4931-9AC4-A87219A30F1A}"/>
    <hyperlink ref="Q216" r:id="rId4" xr:uid="{0764D236-D151-4317-A139-3E2070A84EC9}"/>
    <hyperlink ref="Q217" r:id="rId5" xr:uid="{48276A29-58A9-4938-885C-A09DE4F85BCC}"/>
    <hyperlink ref="Q218" r:id="rId6" xr:uid="{0888E72D-76E2-45BD-8870-9E0F44668BD4}"/>
    <hyperlink ref="Q220" r:id="rId7" xr:uid="{B4679A6A-BA59-48AC-9875-26C4C5EE9646}"/>
    <hyperlink ref="Q219" r:id="rId8" xr:uid="{E30BAFAB-591B-4579-A039-E8A44EAD447B}"/>
    <hyperlink ref="Q221" r:id="rId9" xr:uid="{3D397778-E98F-4322-9EBF-3670120ADC92}"/>
    <hyperlink ref="Q222" r:id="rId10" xr:uid="{76AE616D-BE87-4996-BDB1-DFB50091B557}"/>
    <hyperlink ref="Q79:Q92" r:id="rId11" display="LINK" xr:uid="{CAB66022-5B7C-47F7-909B-5B24CAFA922E}"/>
    <hyperlink ref="Q93:Q94" r:id="rId12" display="LINK" xr:uid="{2BA4C864-267B-4B61-B525-C61A2351E827}"/>
    <hyperlink ref="Q3" r:id="rId13" xr:uid="{C2A566D3-5E73-4DC3-86EB-9732946D7330}"/>
    <hyperlink ref="Q96:Q104" r:id="rId14" display="LINK" xr:uid="{E7DD6407-AB26-47BA-8CA2-F57A164DBAA7}"/>
    <hyperlink ref="Q34" r:id="rId15" xr:uid="{333A45BE-A2E4-4512-B230-F03C3B23093D}"/>
    <hyperlink ref="Q219:Q220" r:id="rId16" display="Spec" xr:uid="{9D4F40E5-80D5-49A2-914D-7F2FCB40F6C7}"/>
    <hyperlink ref="Q37" r:id="rId17" xr:uid="{509075D5-4468-436D-AF57-49024A7ED052}"/>
    <hyperlink ref="Q38" r:id="rId18" display="https://intel.sharepoint.com/:x:/r/sites/p1281device/Shared Documents/Testchip/X81Z_X81A/2_TSDR/MOL/ViaT_ViaG_KLV/1281 MOL KLV (VT_VG)%E2%80%8B_rev0.xlsx?d=w5e23da1bd1bb4afdb1a1ae24e3ff31f7&amp;csf=1&amp;web=1&amp;e=5l1ceZ" xr:uid="{187A4FC3-6902-4108-81A1-395E1FF3734F}"/>
    <hyperlink ref="Q118" r:id="rId19" xr:uid="{4FF6CC92-5FB8-4DAA-9971-FE60E9FAD2B2}"/>
    <hyperlink ref="Q106:Q114" r:id="rId20" display="Link" xr:uid="{03FC14B7-D3ED-478E-AE67-CCF179B27C60}"/>
    <hyperlink ref="Q129" r:id="rId21" xr:uid="{121706DA-C7AA-4AA4-A3B8-8F8FE495BD4E}"/>
    <hyperlink ref="Q137" r:id="rId22" xr:uid="{022185CE-ABF1-49AF-BF64-69A16D040D8A}"/>
    <hyperlink ref="Q272" r:id="rId23" xr:uid="{99F67822-DEF8-4365-812F-55840D10C6BD}"/>
    <hyperlink ref="Q153" r:id="rId24" xr:uid="{C16760BB-BF35-4548-9965-01B7DF79997C}"/>
    <hyperlink ref="Q161" r:id="rId25" xr:uid="{7C0EBE5E-F135-4DE9-A712-8ED95F2CDEBF}"/>
    <hyperlink ref="Q171" r:id="rId26" xr:uid="{4065D39E-42E8-4142-994E-D431CEF717C7}"/>
    <hyperlink ref="Q116:Q124" r:id="rId27" display="Link" xr:uid="{8F952EC3-B9F6-4D9B-A7A1-7E734F3AD2F2}"/>
    <hyperlink ref="Q126:Q134" r:id="rId28" display="Link" xr:uid="{50DC814B-88FB-4B5E-B3EF-D1905302A145}"/>
    <hyperlink ref="Q136:Q144" r:id="rId29" display="Link" xr:uid="{DB58F888-D903-4CDF-A297-63B27EF1C366}"/>
    <hyperlink ref="Q146:Q154" r:id="rId30" display="Link" xr:uid="{B60FB068-3D13-4CAE-97DC-F8BC55730E08}"/>
    <hyperlink ref="Q156:Q164" r:id="rId31" display="Link" xr:uid="{CC6CE1B5-4BB4-43BB-9D39-371C7310B997}"/>
    <hyperlink ref="Q166:Q174" r:id="rId32" display="Link" xr:uid="{20A11790-3BB1-4A9C-9E7D-11B07E4F8CE4}"/>
    <hyperlink ref="Q90" r:id="rId33" xr:uid="{89B67769-3923-45A5-8479-5A9C219CB448}"/>
    <hyperlink ref="Q91" r:id="rId34" xr:uid="{0E076F19-2941-4EE2-B641-80524174E68B}"/>
    <hyperlink ref="Q286" r:id="rId35" xr:uid="{6762DBF3-3783-46E1-8C17-1409F169C2FE}"/>
    <hyperlink ref="Q92" r:id="rId36" xr:uid="{83DC009F-5E1E-4CF7-98C6-48EFF017CA61}"/>
    <hyperlink ref="Q93" r:id="rId37" xr:uid="{DD230056-0BCF-4F95-93A1-9A163EB2F0A5}"/>
    <hyperlink ref="Q39" r:id="rId38" xr:uid="{607B8401-08AD-4A72-8A1C-C315A5325A4B}"/>
    <hyperlink ref="Q94" r:id="rId39" xr:uid="{4AA53ADE-62FC-48BC-82EC-34C9826177E1}"/>
    <hyperlink ref="Q40" r:id="rId40" xr:uid="{BFAA6883-D034-4764-A7DD-E22426931C39}"/>
    <hyperlink ref="Q41" r:id="rId41" xr:uid="{97E1EBC0-9AC6-4972-B10D-56526D6A57C3}"/>
    <hyperlink ref="Q42" r:id="rId42" xr:uid="{6D48EF54-0941-4564-B21A-152F8F60B6DD}"/>
    <hyperlink ref="Q287" r:id="rId43" xr:uid="{AA74784D-E51D-403B-8689-6432C61B607A}"/>
    <hyperlink ref="Q288" r:id="rId44" xr:uid="{93F5AC62-AC73-4D8F-B3C4-46214F2B1AFC}"/>
    <hyperlink ref="Q43" r:id="rId45" xr:uid="{A4D34353-B083-46B4-9A86-D4710CE50453}"/>
    <hyperlink ref="Q44" r:id="rId46" xr:uid="{0041F143-F423-45CE-BD38-673D1FB11C1A}"/>
    <hyperlink ref="Q95" r:id="rId47" xr:uid="{9A4A8F6F-DBFA-47C6-A009-7197F2F9C524}"/>
    <hyperlink ref="Q258:Q282" r:id="rId48" display="SPEC" xr:uid="{E041CD85-B43F-44AF-BD1B-0CD05B5DB9A6}"/>
    <hyperlink ref="Q242" r:id="rId49" xr:uid="{D64E0445-8C11-4D4E-AF59-9BB17C855F58}"/>
    <hyperlink ref="Q243" r:id="rId50" xr:uid="{2796084D-9365-4244-91E4-FE2AD9600516}"/>
    <hyperlink ref="Q298" r:id="rId51" xr:uid="{DB7CBD04-B308-4624-9715-9511B3B8067B}"/>
    <hyperlink ref="Q299" r:id="rId52" xr:uid="{6AFD5536-1536-4230-A778-C445F53A17D6}"/>
    <hyperlink ref="Q244" r:id="rId53" xr:uid="{AF813594-2B92-4C12-A41A-543B33E53842}"/>
    <hyperlink ref="Q245" r:id="rId54" xr:uid="{3E57BB4F-9EFF-4C64-8EAB-47E6B644790F}"/>
    <hyperlink ref="Q246" r:id="rId55" xr:uid="{6735C9C5-DC17-4A92-AA9D-469BB8AB2063}"/>
    <hyperlink ref="Q247" r:id="rId56" xr:uid="{779078B9-41D0-408E-96E7-336319EC5579}"/>
    <hyperlink ref="Q19" r:id="rId57" xr:uid="{2402C4FE-5A98-4670-8F60-49DF2A801941}"/>
    <hyperlink ref="Q20" r:id="rId58" xr:uid="{E6A807B9-E902-4194-A975-F431E60FF112}"/>
    <hyperlink ref="Q178:Q181" r:id="rId59" display="Spec" xr:uid="{CC456E96-2FC1-4013-8523-93D322E19E49}"/>
    <hyperlink ref="Q182:Q217" r:id="rId60" display="Spec" xr:uid="{E139DF87-56B6-4E13-90B2-371D239085F1}"/>
    <hyperlink ref="Q11" r:id="rId61" xr:uid="{ECFDEC0B-3154-44AB-9217-1CEF96B3BBF7}"/>
    <hyperlink ref="Q17:Q66" r:id="rId62" display="link" xr:uid="{87206B56-C102-47FF-8EF2-EACA514BE854}"/>
    <hyperlink ref="Q223" r:id="rId63" xr:uid="{701BA1F5-E666-42FF-930A-DECDC767BF77}"/>
    <hyperlink ref="Q224" r:id="rId64" xr:uid="{4180C02A-7B3A-448F-BABB-1EB1312B6F73}"/>
    <hyperlink ref="Q45" r:id="rId65" xr:uid="{162CE27A-033C-4CB8-A9AD-61C70E869073}"/>
    <hyperlink ref="Q46" r:id="rId66" xr:uid="{75B29C75-E2D7-458A-A32C-405146D58336}"/>
    <hyperlink ref="Q300" r:id="rId67" xr:uid="{C2EFA8E3-7806-46E7-96D8-C9BBFD7FA7DC}"/>
    <hyperlink ref="Q105" r:id="rId68" xr:uid="{C026267A-6254-4642-AA61-E67DBF0E105F}"/>
    <hyperlink ref="Q102" r:id="rId69" xr:uid="{4AF6ED79-3928-46D3-B407-F93AD98B0E86}"/>
    <hyperlink ref="Q271:Q274" r:id="rId70" display="SPEC" xr:uid="{99FE278E-0827-4196-B277-D0BAE8C50C8A}"/>
    <hyperlink ref="Q106" r:id="rId71" xr:uid="{BBD1279A-BAFE-4CB5-99C7-97A04ED8625E}"/>
    <hyperlink ref="Q111" r:id="rId72" xr:uid="{138F064A-BDC1-4D33-957A-D87E7D4DFEF4}"/>
    <hyperlink ref="Q107" r:id="rId73" xr:uid="{B0277DCC-11F5-4AF3-9332-FA1F8E2529FF}"/>
    <hyperlink ref="Q107" r:id="rId74" xr:uid="{EBBF4CE6-2EC3-44AE-B79D-39C41F14488E}"/>
    <hyperlink ref="Q107" r:id="rId75" display="https://intel.sharepoint.com/:x:/r/sites/p1281device/Shared Documents/Testchip/X81Z_X81A/2_TSDR/ISO_FE/x81Z-A ISO-FE Content Revised.xlsb?d=wf4da0adcb01d438483319cf1061ac63f&amp;csf=1&amp;web=1&amp;e=nzaZPR" xr:uid="{7041639D-EFAD-4F45-9F70-4837D7784872}"/>
    <hyperlink ref="Q115" r:id="rId76" xr:uid="{68B5065F-6D76-48B7-8212-02C3CEF06625}"/>
    <hyperlink ref="Q116" r:id="rId77" xr:uid="{C7033066-AA4F-4A91-9A4B-16DC997D0608}"/>
    <hyperlink ref="Q117" r:id="rId78" xr:uid="{ABC54754-D401-48FC-AB63-36E538F432D8}"/>
    <hyperlink ref="Q289" r:id="rId79" xr:uid="{AE0B623E-6435-4F98-9B80-8BFDE2B274BF}"/>
    <hyperlink ref="Q290" r:id="rId80" xr:uid="{A5FEE21E-AD39-4F53-84C3-59D848CD4722}"/>
    <hyperlink ref="Q291" r:id="rId81" xr:uid="{3148C22C-CCC9-4FEB-99A9-01CB0EFA0A52}"/>
    <hyperlink ref="Q292" r:id="rId82" xr:uid="{8B79337D-C1A2-4C70-B764-D84BDA98AD4E}"/>
    <hyperlink ref="Q293" r:id="rId83" xr:uid="{942DBB7E-83A8-438C-AFD5-B45D90FE7A01}"/>
    <hyperlink ref="Q294" r:id="rId84" xr:uid="{C3435E44-D60A-47DD-9C60-16DC10318DA9}"/>
    <hyperlink ref="Q295" r:id="rId85" xr:uid="{29FC01C0-BD71-4D57-A362-810560F1CCF8}"/>
    <hyperlink ref="Q296" r:id="rId86" xr:uid="{FBE4820B-13DA-4EE8-A986-A680B2D143B1}"/>
    <hyperlink ref="Q297" r:id="rId87" xr:uid="{57F86C51-1227-4EFB-9DB4-A3E02B934909}"/>
    <hyperlink ref="Q294:Q295" r:id="rId88" display="Spec" xr:uid="{CA673917-CDB6-458D-8110-F4761147DDDC}"/>
    <hyperlink ref="Q174" r:id="rId89" xr:uid="{CFFC2DD2-A57C-47A9-9BA9-BA50BC80756D}"/>
    <hyperlink ref="Z50" r:id="rId90" xr:uid="{5CB7028B-C9AE-4E22-936D-879E183A8BF3}"/>
    <hyperlink ref="Z106" r:id="rId91" xr:uid="{2418D7FB-9F87-4D2C-9ADE-AABCBE7DD25C}"/>
    <hyperlink ref="Z107" r:id="rId92" xr:uid="{5F7C0018-B10C-47B5-9568-F9016155151A}"/>
    <hyperlink ref="Z116" r:id="rId93" xr:uid="{231645FE-BF8B-4694-8A22-5D4B0E84B81B}"/>
    <hyperlink ref="Q6" r:id="rId94" xr:uid="{E2693E4F-3E4D-4992-B2C3-00748A1BB0D7}"/>
    <hyperlink ref="Q9" r:id="rId95" xr:uid="{12513814-6F11-4EB7-97B0-21CBD85C7DE8}"/>
    <hyperlink ref="Z51" r:id="rId96" xr:uid="{650C8765-CB69-4EA6-AC09-B6789A1CA725}"/>
    <hyperlink ref="Z52" r:id="rId97" xr:uid="{522BE172-CB6B-417E-87D5-765FE6083B21}"/>
    <hyperlink ref="Z114" r:id="rId98" xr:uid="{4D779DC3-F616-4074-82DD-DEC085A40BD1}"/>
    <hyperlink ref="Z115" r:id="rId99" xr:uid="{C798CE0B-1BE6-4D85-BA33-AA5904A19F26}"/>
    <hyperlink ref="Z32" r:id="rId100" xr:uid="{04AE5FA9-DAB7-4DFF-8606-7A2AC8502395}"/>
    <hyperlink ref="Z31" r:id="rId101" xr:uid="{F7E71715-3D0D-4CDE-9592-899AFC762EE2}"/>
    <hyperlink ref="Z89" r:id="rId102" xr:uid="{BC8DC7B6-7F47-4FDF-B7E0-52922B836467}"/>
    <hyperlink ref="Z33" r:id="rId103" xr:uid="{27D85939-8163-4817-8836-520EB99914FC}"/>
    <hyperlink ref="Z3" r:id="rId104" display="https://jira.devtools.intel.com/browse/TSDR1282-433" xr:uid="{1DE9955F-0292-469F-A476-7597B3513EC0}"/>
    <hyperlink ref="Z96:Z99" r:id="rId105" display="https://jira.devtools.intel.com/browse/TSDR1282-433" xr:uid="{48DDE0DD-EAD0-458F-BCF7-C507163317C5}"/>
    <hyperlink ref="Z129" r:id="rId106" display="https://jira.devtools.intel.com/browse/TSDR1282-433" xr:uid="{A71E49C2-EC56-4CF9-BAF4-8026EFEE06FB}"/>
    <hyperlink ref="Q98" r:id="rId107" xr:uid="{45BB4A39-7CCD-49ED-9561-FFBF4F5A1A12}"/>
  </hyperlinks>
  <pageMargins left="0.7" right="0.7" top="0.75" bottom="0.75" header="0.3" footer="0.3"/>
  <pageSetup orientation="portrait" r:id="rId108"/>
  <legacyDrawing r:id="rId10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7A8D-FE07-4C79-9680-2FEADD948831}">
  <sheetPr filterMode="1"/>
  <dimension ref="A1:Y14"/>
  <sheetViews>
    <sheetView workbookViewId="0">
      <selection activeCell="I25" sqref="I25"/>
    </sheetView>
  </sheetViews>
  <sheetFormatPr defaultRowHeight="14.45"/>
  <cols>
    <col min="1" max="1" width="17.140625" customWidth="1"/>
    <col min="2" max="2" width="22.140625" customWidth="1"/>
    <col min="3" max="3" width="14.5703125" bestFit="1" customWidth="1"/>
    <col min="4" max="4" width="12.42578125" bestFit="1" customWidth="1"/>
    <col min="5" max="5" width="14.85546875" bestFit="1" customWidth="1"/>
    <col min="6" max="6" width="16.42578125" bestFit="1" customWidth="1"/>
    <col min="7" max="7" width="4.5703125" bestFit="1" customWidth="1"/>
    <col min="8" max="8" width="18.5703125" bestFit="1" customWidth="1"/>
    <col min="9" max="9" width="34.140625" bestFit="1" customWidth="1"/>
    <col min="10" max="10" width="4.42578125" bestFit="1" customWidth="1"/>
    <col min="11" max="11" width="8.42578125" bestFit="1" customWidth="1"/>
    <col min="12" max="12" width="15.42578125" bestFit="1" customWidth="1"/>
    <col min="13" max="13" width="18.42578125" bestFit="1" customWidth="1"/>
    <col min="14" max="14" width="10.5703125" bestFit="1" customWidth="1"/>
    <col min="15" max="15" width="8.42578125" bestFit="1" customWidth="1"/>
    <col min="16" max="16" width="15.85546875" bestFit="1" customWidth="1"/>
    <col min="17" max="17" width="13.42578125" bestFit="1" customWidth="1"/>
    <col min="18" max="18" width="9.42578125" bestFit="1" customWidth="1"/>
    <col min="19" max="19" width="17.85546875" bestFit="1" customWidth="1"/>
    <col min="20" max="20" width="15.42578125" bestFit="1" customWidth="1"/>
    <col min="21" max="21" width="12.42578125" bestFit="1" customWidth="1"/>
    <col min="22" max="22" width="10.5703125" bestFit="1" customWidth="1"/>
    <col min="23" max="23" width="11.42578125" bestFit="1" customWidth="1"/>
    <col min="24" max="24" width="9.5703125" bestFit="1" customWidth="1"/>
    <col min="25" max="25" width="61.140625" bestFit="1" customWidth="1"/>
  </cols>
  <sheetData>
    <row r="1" spans="1:25">
      <c r="A1" s="14" t="s">
        <v>144</v>
      </c>
      <c r="B1" s="14" t="s">
        <v>145</v>
      </c>
      <c r="C1" s="12" t="s">
        <v>146</v>
      </c>
      <c r="D1" s="12" t="s">
        <v>147</v>
      </c>
      <c r="E1" s="12" t="s">
        <v>148</v>
      </c>
      <c r="F1" s="12" t="s">
        <v>149</v>
      </c>
      <c r="G1" s="14" t="s">
        <v>150</v>
      </c>
      <c r="H1" s="12" t="s">
        <v>151</v>
      </c>
      <c r="I1" s="12" t="s">
        <v>152</v>
      </c>
      <c r="J1" s="14" t="s">
        <v>153</v>
      </c>
      <c r="K1" s="29" t="s">
        <v>154</v>
      </c>
      <c r="L1" s="29" t="s">
        <v>822</v>
      </c>
      <c r="M1" s="36" t="s">
        <v>158</v>
      </c>
      <c r="N1" s="30" t="s">
        <v>159</v>
      </c>
      <c r="O1" s="30" t="s">
        <v>160</v>
      </c>
      <c r="P1" s="30" t="s">
        <v>161</v>
      </c>
      <c r="Q1" s="30" t="s">
        <v>162</v>
      </c>
      <c r="R1" s="30" t="s">
        <v>163</v>
      </c>
      <c r="S1" s="12" t="s">
        <v>164</v>
      </c>
      <c r="T1" s="12" t="s">
        <v>165</v>
      </c>
      <c r="U1" s="30" t="s">
        <v>166</v>
      </c>
      <c r="V1" s="30" t="s">
        <v>167</v>
      </c>
      <c r="W1" s="29" t="s">
        <v>168</v>
      </c>
      <c r="X1" s="34" t="s">
        <v>169</v>
      </c>
      <c r="Y1" s="30" t="s">
        <v>170</v>
      </c>
    </row>
    <row r="2" spans="1:25">
      <c r="A2" s="37" t="s">
        <v>823</v>
      </c>
      <c r="B2" s="37" t="s">
        <v>824</v>
      </c>
      <c r="C2" s="4" t="s">
        <v>825</v>
      </c>
      <c r="D2" s="4"/>
      <c r="E2" s="4"/>
      <c r="F2" s="4" t="s">
        <v>826</v>
      </c>
      <c r="G2" s="15">
        <v>1</v>
      </c>
      <c r="H2" s="4" t="s">
        <v>126</v>
      </c>
      <c r="I2" s="4" t="s">
        <v>827</v>
      </c>
      <c r="J2" s="15"/>
      <c r="K2" s="15"/>
      <c r="L2" s="15"/>
      <c r="M2" s="4" t="s">
        <v>84</v>
      </c>
      <c r="N2" s="4" t="s">
        <v>189</v>
      </c>
      <c r="O2" s="4"/>
      <c r="P2" t="s">
        <v>189</v>
      </c>
      <c r="Q2" t="s">
        <v>189</v>
      </c>
      <c r="R2" s="4"/>
      <c r="S2" s="4" t="s">
        <v>825</v>
      </c>
      <c r="T2" s="4"/>
      <c r="U2" s="4"/>
      <c r="V2" s="4"/>
      <c r="W2" s="15"/>
      <c r="X2" s="15"/>
      <c r="Y2" s="4"/>
    </row>
    <row r="3" spans="1:25" hidden="1">
      <c r="A3" s="37" t="s">
        <v>828</v>
      </c>
      <c r="B3" s="37" t="s">
        <v>824</v>
      </c>
      <c r="C3" s="4" t="s">
        <v>825</v>
      </c>
      <c r="D3" s="4"/>
      <c r="E3" s="4"/>
      <c r="F3" s="4" t="s">
        <v>826</v>
      </c>
      <c r="G3" s="15">
        <v>0</v>
      </c>
      <c r="H3" s="4" t="s">
        <v>126</v>
      </c>
      <c r="I3" s="4" t="s">
        <v>829</v>
      </c>
      <c r="J3" s="15"/>
      <c r="K3" s="15"/>
      <c r="L3" s="15"/>
      <c r="M3" s="4" t="s">
        <v>84</v>
      </c>
      <c r="N3" s="4" t="s">
        <v>189</v>
      </c>
      <c r="O3" s="4"/>
      <c r="P3" t="s">
        <v>189</v>
      </c>
      <c r="Q3" t="s">
        <v>189</v>
      </c>
      <c r="R3" s="4"/>
      <c r="S3" s="4" t="s">
        <v>825</v>
      </c>
      <c r="T3" s="4"/>
      <c r="U3" s="4"/>
      <c r="V3" s="4"/>
      <c r="W3" s="15"/>
      <c r="X3" s="15"/>
      <c r="Y3" s="4"/>
    </row>
    <row r="4" spans="1:25" hidden="1">
      <c r="A4" s="37" t="s">
        <v>830</v>
      </c>
      <c r="B4" s="37" t="s">
        <v>824</v>
      </c>
      <c r="C4" s="4" t="s">
        <v>825</v>
      </c>
      <c r="D4" s="4"/>
      <c r="E4" s="4"/>
      <c r="F4" s="4" t="s">
        <v>826</v>
      </c>
      <c r="G4" s="15">
        <v>0</v>
      </c>
      <c r="H4" s="4" t="s">
        <v>126</v>
      </c>
      <c r="I4" s="4" t="s">
        <v>829</v>
      </c>
      <c r="J4" s="15"/>
      <c r="K4" s="15"/>
      <c r="L4" s="15"/>
      <c r="M4" s="4" t="s">
        <v>84</v>
      </c>
      <c r="N4" s="4" t="s">
        <v>189</v>
      </c>
      <c r="O4" s="4"/>
      <c r="P4" t="s">
        <v>189</v>
      </c>
      <c r="Q4" t="s">
        <v>189</v>
      </c>
      <c r="R4" s="4"/>
      <c r="S4" s="4" t="s">
        <v>825</v>
      </c>
      <c r="T4" s="4"/>
      <c r="U4" s="4"/>
      <c r="V4" s="4"/>
      <c r="W4" s="15"/>
      <c r="X4" s="15"/>
      <c r="Y4" s="4"/>
    </row>
    <row r="5" spans="1:25">
      <c r="A5" s="38" t="s">
        <v>831</v>
      </c>
      <c r="B5" s="37" t="s">
        <v>824</v>
      </c>
      <c r="C5" s="4" t="s">
        <v>825</v>
      </c>
      <c r="F5" s="4" t="s">
        <v>826</v>
      </c>
      <c r="G5" s="15">
        <v>1</v>
      </c>
      <c r="H5" s="4" t="s">
        <v>832</v>
      </c>
      <c r="I5" s="4" t="s">
        <v>833</v>
      </c>
      <c r="M5" s="4" t="s">
        <v>99</v>
      </c>
      <c r="N5" s="4" t="s">
        <v>189</v>
      </c>
      <c r="O5" s="4"/>
      <c r="P5" t="s">
        <v>189</v>
      </c>
      <c r="Q5" t="s">
        <v>189</v>
      </c>
      <c r="S5" s="4" t="s">
        <v>825</v>
      </c>
    </row>
    <row r="6" spans="1:25" hidden="1">
      <c r="A6" s="38" t="s">
        <v>834</v>
      </c>
      <c r="B6" s="37" t="s">
        <v>824</v>
      </c>
      <c r="C6" s="4" t="s">
        <v>825</v>
      </c>
      <c r="F6" s="4" t="s">
        <v>826</v>
      </c>
      <c r="G6" s="15">
        <v>0</v>
      </c>
      <c r="H6" t="s">
        <v>832</v>
      </c>
      <c r="I6" s="4" t="s">
        <v>835</v>
      </c>
      <c r="M6" t="s">
        <v>99</v>
      </c>
      <c r="N6" s="4" t="s">
        <v>189</v>
      </c>
      <c r="O6" s="4"/>
      <c r="P6" t="s">
        <v>189</v>
      </c>
      <c r="Q6" t="s">
        <v>189</v>
      </c>
      <c r="S6" s="4" t="s">
        <v>825</v>
      </c>
    </row>
    <row r="7" spans="1:25" hidden="1">
      <c r="A7" s="38" t="s">
        <v>836</v>
      </c>
      <c r="B7" s="37" t="s">
        <v>824</v>
      </c>
      <c r="C7" s="4" t="s">
        <v>825</v>
      </c>
      <c r="F7" s="4" t="s">
        <v>826</v>
      </c>
      <c r="G7" s="15">
        <v>0</v>
      </c>
      <c r="H7" t="s">
        <v>832</v>
      </c>
      <c r="I7" t="s">
        <v>837</v>
      </c>
      <c r="M7" t="s">
        <v>99</v>
      </c>
      <c r="N7" s="4" t="s">
        <v>189</v>
      </c>
      <c r="O7" s="4"/>
      <c r="P7" s="4" t="s">
        <v>189</v>
      </c>
      <c r="Q7" t="s">
        <v>189</v>
      </c>
      <c r="S7" s="4" t="s">
        <v>825</v>
      </c>
    </row>
    <row r="8" spans="1:25">
      <c r="A8" s="38" t="s">
        <v>838</v>
      </c>
      <c r="B8" s="37" t="s">
        <v>824</v>
      </c>
      <c r="C8" s="4" t="s">
        <v>825</v>
      </c>
      <c r="F8" t="s">
        <v>826</v>
      </c>
      <c r="G8" s="15">
        <v>1</v>
      </c>
      <c r="H8" s="4" t="s">
        <v>131</v>
      </c>
      <c r="I8" s="4" t="s">
        <v>839</v>
      </c>
      <c r="M8" t="s">
        <v>75</v>
      </c>
      <c r="N8" s="4" t="s">
        <v>189</v>
      </c>
      <c r="O8" s="4"/>
      <c r="P8" s="4" t="s">
        <v>189</v>
      </c>
      <c r="Q8" t="s">
        <v>189</v>
      </c>
      <c r="S8" s="4" t="s">
        <v>825</v>
      </c>
    </row>
    <row r="9" spans="1:25">
      <c r="A9" s="38" t="s">
        <v>840</v>
      </c>
      <c r="B9" s="37" t="s">
        <v>824</v>
      </c>
      <c r="C9" s="4" t="s">
        <v>825</v>
      </c>
      <c r="G9" s="15">
        <v>1</v>
      </c>
      <c r="H9" s="4" t="s">
        <v>841</v>
      </c>
      <c r="I9" s="4" t="s">
        <v>842</v>
      </c>
      <c r="M9" s="4" t="s">
        <v>843</v>
      </c>
      <c r="N9" s="4" t="s">
        <v>189</v>
      </c>
      <c r="O9" s="4"/>
      <c r="P9" s="4" t="s">
        <v>189</v>
      </c>
      <c r="Q9" t="s">
        <v>189</v>
      </c>
      <c r="S9" s="4" t="s">
        <v>825</v>
      </c>
    </row>
    <row r="10" spans="1:25">
      <c r="A10" s="38" t="s">
        <v>844</v>
      </c>
      <c r="B10" s="37" t="s">
        <v>824</v>
      </c>
      <c r="C10" s="4" t="s">
        <v>825</v>
      </c>
      <c r="G10" s="15">
        <v>1</v>
      </c>
      <c r="H10" s="4" t="s">
        <v>845</v>
      </c>
      <c r="I10" s="4" t="s">
        <v>846</v>
      </c>
      <c r="M10" s="4" t="s">
        <v>847</v>
      </c>
      <c r="N10" s="4" t="s">
        <v>189</v>
      </c>
      <c r="O10" s="4"/>
      <c r="P10" s="4" t="s">
        <v>189</v>
      </c>
      <c r="Q10" t="s">
        <v>189</v>
      </c>
      <c r="S10" s="4" t="s">
        <v>825</v>
      </c>
    </row>
    <row r="11" spans="1:25">
      <c r="A11" s="38" t="s">
        <v>848</v>
      </c>
      <c r="B11" s="37" t="s">
        <v>824</v>
      </c>
      <c r="C11" s="4" t="s">
        <v>825</v>
      </c>
      <c r="G11" s="15">
        <v>1</v>
      </c>
      <c r="H11" t="s">
        <v>849</v>
      </c>
      <c r="I11" t="s">
        <v>849</v>
      </c>
      <c r="M11" t="s">
        <v>850</v>
      </c>
      <c r="N11" s="4" t="s">
        <v>189</v>
      </c>
      <c r="P11" s="4" t="s">
        <v>189</v>
      </c>
      <c r="Q11" t="s">
        <v>189</v>
      </c>
      <c r="S11" s="4" t="s">
        <v>825</v>
      </c>
    </row>
    <row r="12" spans="1:25">
      <c r="A12" s="38" t="s">
        <v>851</v>
      </c>
      <c r="B12" s="37" t="s">
        <v>824</v>
      </c>
      <c r="C12" s="4" t="s">
        <v>825</v>
      </c>
      <c r="G12" s="15">
        <v>1</v>
      </c>
      <c r="H12" t="s">
        <v>852</v>
      </c>
      <c r="I12" t="s">
        <v>852</v>
      </c>
      <c r="M12" t="s">
        <v>853</v>
      </c>
      <c r="N12" s="4" t="s">
        <v>189</v>
      </c>
      <c r="P12" s="4" t="s">
        <v>189</v>
      </c>
      <c r="Q12" t="s">
        <v>189</v>
      </c>
      <c r="S12" s="4" t="s">
        <v>825</v>
      </c>
    </row>
    <row r="13" spans="1:25">
      <c r="A13" s="38" t="s">
        <v>854</v>
      </c>
      <c r="B13" s="37" t="s">
        <v>824</v>
      </c>
      <c r="C13" s="4" t="s">
        <v>825</v>
      </c>
      <c r="G13" s="15">
        <v>1</v>
      </c>
      <c r="H13" t="s">
        <v>852</v>
      </c>
      <c r="I13" t="s">
        <v>852</v>
      </c>
      <c r="M13" t="s">
        <v>853</v>
      </c>
      <c r="N13" s="4" t="s">
        <v>189</v>
      </c>
      <c r="P13" s="4" t="s">
        <v>189</v>
      </c>
      <c r="Q13" t="s">
        <v>189</v>
      </c>
      <c r="S13" s="4" t="s">
        <v>825</v>
      </c>
    </row>
    <row r="14" spans="1:25" hidden="1">
      <c r="Q14" t="s">
        <v>189</v>
      </c>
      <c r="S14" s="4" t="s">
        <v>825</v>
      </c>
    </row>
  </sheetData>
  <autoFilter ref="A1:Y14" xr:uid="{FA267A8D-FE07-4C79-9680-2FEADD948831}">
    <filterColumn colId="6">
      <filters>
        <filter val="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E24C-A209-4E17-A9D5-83A66B35387A}">
  <sheetPr codeName="Sheet3"/>
  <dimension ref="C2:T5"/>
  <sheetViews>
    <sheetView zoomScale="80" zoomScaleNormal="80" workbookViewId="0">
      <selection activeCell="T55" sqref="T55"/>
    </sheetView>
  </sheetViews>
  <sheetFormatPr defaultRowHeight="14.45"/>
  <sheetData>
    <row r="2" spans="3:20">
      <c r="C2" s="2"/>
    </row>
    <row r="5" spans="3:20">
      <c r="T5" s="3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81DE-53E9-4852-B0AF-4233AA68F106}">
  <sheetPr codeName="Sheet4"/>
  <dimension ref="B1:K26"/>
  <sheetViews>
    <sheetView zoomScale="110" zoomScaleNormal="110" workbookViewId="0">
      <selection activeCell="H9" sqref="H9"/>
    </sheetView>
  </sheetViews>
  <sheetFormatPr defaultRowHeight="14.45"/>
  <cols>
    <col min="2" max="2" width="13.42578125" bestFit="1" customWidth="1"/>
    <col min="3" max="3" width="16.42578125" bestFit="1" customWidth="1"/>
    <col min="4" max="5" width="15.140625" bestFit="1" customWidth="1"/>
    <col min="6" max="6" width="13.5703125" bestFit="1" customWidth="1"/>
    <col min="7" max="7" width="11.42578125" bestFit="1" customWidth="1"/>
    <col min="8" max="8" width="11.42578125" customWidth="1"/>
    <col min="10" max="10" width="15.5703125" customWidth="1"/>
    <col min="11" max="11" width="15.85546875" hidden="1" customWidth="1"/>
  </cols>
  <sheetData>
    <row r="1" spans="2:8">
      <c r="B1" s="8"/>
    </row>
    <row r="2" spans="2:8">
      <c r="B2" s="6" t="s">
        <v>855</v>
      </c>
      <c r="C2" s="6" t="s">
        <v>856</v>
      </c>
      <c r="D2" s="5"/>
      <c r="E2" s="5"/>
      <c r="F2" s="5"/>
      <c r="G2" s="5"/>
    </row>
    <row r="3" spans="2:8">
      <c r="B3" s="6" t="s">
        <v>857</v>
      </c>
      <c r="C3" s="8" t="s">
        <v>858</v>
      </c>
      <c r="D3" s="5" t="s">
        <v>859</v>
      </c>
      <c r="E3" s="5" t="s">
        <v>860</v>
      </c>
      <c r="F3" s="5" t="s">
        <v>861</v>
      </c>
      <c r="G3" s="5" t="s">
        <v>862</v>
      </c>
      <c r="H3" s="54" t="s">
        <v>863</v>
      </c>
    </row>
    <row r="4" spans="2:8">
      <c r="B4" s="7" t="s">
        <v>54</v>
      </c>
      <c r="C4" s="5">
        <v>3</v>
      </c>
      <c r="D4" s="5"/>
      <c r="E4" s="114">
        <v>2</v>
      </c>
      <c r="F4" s="114">
        <v>4</v>
      </c>
      <c r="G4" s="5">
        <v>9</v>
      </c>
      <c r="H4" s="55"/>
    </row>
    <row r="5" spans="2:8">
      <c r="B5" s="7" t="s">
        <v>211</v>
      </c>
      <c r="C5" s="5">
        <v>12</v>
      </c>
      <c r="D5" s="114">
        <v>7</v>
      </c>
      <c r="E5" s="114">
        <v>4</v>
      </c>
      <c r="F5" s="114">
        <v>4</v>
      </c>
      <c r="G5" s="5">
        <v>27</v>
      </c>
      <c r="H5" s="56"/>
    </row>
    <row r="6" spans="2:8">
      <c r="B6" s="57" t="s">
        <v>24</v>
      </c>
      <c r="C6" s="5">
        <v>12</v>
      </c>
      <c r="D6" s="5">
        <v>7</v>
      </c>
      <c r="E6" s="5">
        <v>4</v>
      </c>
      <c r="F6" s="5">
        <v>4</v>
      </c>
      <c r="G6" s="5">
        <v>27</v>
      </c>
    </row>
    <row r="7" spans="2:8">
      <c r="B7" s="7" t="s">
        <v>66</v>
      </c>
      <c r="C7" s="5">
        <v>6</v>
      </c>
      <c r="D7" s="114"/>
      <c r="E7" s="114">
        <v>5</v>
      </c>
      <c r="F7" s="114">
        <v>7</v>
      </c>
      <c r="G7" s="5">
        <v>18</v>
      </c>
      <c r="H7" s="56"/>
    </row>
    <row r="8" spans="2:8">
      <c r="B8" s="7" t="s">
        <v>177</v>
      </c>
      <c r="C8" s="5">
        <v>14</v>
      </c>
      <c r="D8" s="114"/>
      <c r="E8" s="114">
        <v>10</v>
      </c>
      <c r="F8" s="114">
        <v>11</v>
      </c>
      <c r="G8" s="5">
        <v>35</v>
      </c>
      <c r="H8" s="55"/>
    </row>
    <row r="9" spans="2:8">
      <c r="B9" s="7" t="s">
        <v>99</v>
      </c>
      <c r="C9" s="5"/>
      <c r="D9" s="114"/>
      <c r="E9" s="114">
        <v>4</v>
      </c>
      <c r="F9" s="114">
        <v>3</v>
      </c>
      <c r="G9" s="5">
        <v>7</v>
      </c>
      <c r="H9" s="55"/>
    </row>
    <row r="10" spans="2:8">
      <c r="B10" s="7" t="s">
        <v>22</v>
      </c>
      <c r="C10" s="5"/>
      <c r="D10" s="114"/>
      <c r="E10" s="5"/>
      <c r="F10" s="114">
        <v>2</v>
      </c>
      <c r="G10" s="5">
        <v>2</v>
      </c>
      <c r="H10" s="56"/>
    </row>
    <row r="11" spans="2:8">
      <c r="B11" s="7" t="s">
        <v>338</v>
      </c>
      <c r="C11" s="5">
        <v>3</v>
      </c>
      <c r="D11" s="114">
        <v>1</v>
      </c>
      <c r="E11" s="114">
        <v>2</v>
      </c>
      <c r="F11" s="114">
        <v>2</v>
      </c>
      <c r="G11" s="5">
        <v>8</v>
      </c>
      <c r="H11" s="56"/>
    </row>
    <row r="12" spans="2:8">
      <c r="B12" s="7" t="s">
        <v>283</v>
      </c>
      <c r="C12" s="5">
        <v>6</v>
      </c>
      <c r="D12" s="114"/>
      <c r="E12" s="114">
        <v>1</v>
      </c>
      <c r="F12" s="114">
        <v>9</v>
      </c>
      <c r="G12" s="5">
        <v>16</v>
      </c>
      <c r="H12" s="56"/>
    </row>
    <row r="13" spans="2:8">
      <c r="B13" s="7" t="s">
        <v>90</v>
      </c>
      <c r="C13" s="5">
        <v>6</v>
      </c>
      <c r="D13" s="114">
        <v>11</v>
      </c>
      <c r="E13" s="114"/>
      <c r="F13" s="114">
        <v>6</v>
      </c>
      <c r="G13" s="5">
        <v>23</v>
      </c>
      <c r="H13" s="55"/>
    </row>
    <row r="14" spans="2:8">
      <c r="B14" s="57" t="s">
        <v>24</v>
      </c>
      <c r="C14" s="5">
        <v>6</v>
      </c>
      <c r="D14" s="5">
        <v>11</v>
      </c>
      <c r="E14" s="5"/>
      <c r="F14" s="5">
        <v>6</v>
      </c>
      <c r="G14" s="5">
        <v>23</v>
      </c>
    </row>
    <row r="15" spans="2:8">
      <c r="B15" s="7" t="s">
        <v>84</v>
      </c>
      <c r="C15" s="5"/>
      <c r="D15" s="114">
        <v>2</v>
      </c>
      <c r="E15" s="114"/>
      <c r="F15" s="114">
        <v>13</v>
      </c>
      <c r="G15" s="5">
        <v>15</v>
      </c>
    </row>
    <row r="16" spans="2:8">
      <c r="B16" s="7" t="s">
        <v>273</v>
      </c>
      <c r="C16" s="5">
        <v>8</v>
      </c>
      <c r="D16" s="114">
        <v>0</v>
      </c>
      <c r="E16" s="114">
        <v>5</v>
      </c>
      <c r="F16" s="114">
        <v>4</v>
      </c>
      <c r="G16" s="5">
        <v>17</v>
      </c>
      <c r="H16" s="56"/>
    </row>
    <row r="17" spans="2:8">
      <c r="B17" s="7" t="s">
        <v>75</v>
      </c>
      <c r="C17" s="5">
        <v>5</v>
      </c>
      <c r="D17" s="114">
        <v>8</v>
      </c>
      <c r="E17" s="114">
        <v>1</v>
      </c>
      <c r="F17" s="114">
        <v>5</v>
      </c>
      <c r="G17" s="5">
        <v>19</v>
      </c>
      <c r="H17" s="56"/>
    </row>
    <row r="18" spans="2:8">
      <c r="B18" s="7" t="s">
        <v>61</v>
      </c>
      <c r="C18" s="5">
        <v>10</v>
      </c>
      <c r="D18" s="114">
        <v>10</v>
      </c>
      <c r="E18" s="114">
        <v>1</v>
      </c>
      <c r="F18" s="114"/>
      <c r="G18" s="5">
        <v>21</v>
      </c>
      <c r="H18" s="55"/>
    </row>
    <row r="19" spans="2:8">
      <c r="B19" s="57" t="s">
        <v>24</v>
      </c>
      <c r="C19" s="5">
        <v>10</v>
      </c>
      <c r="D19" s="5">
        <v>10</v>
      </c>
      <c r="E19" s="5">
        <v>1</v>
      </c>
      <c r="F19" s="5"/>
      <c r="G19" s="5">
        <v>21</v>
      </c>
      <c r="H19" s="56"/>
    </row>
    <row r="20" spans="2:8">
      <c r="B20" s="7" t="s">
        <v>330</v>
      </c>
      <c r="C20" s="5">
        <v>1</v>
      </c>
      <c r="D20" s="114">
        <v>2</v>
      </c>
      <c r="E20" s="114">
        <v>3</v>
      </c>
      <c r="F20" s="114"/>
      <c r="G20" s="5">
        <v>6</v>
      </c>
      <c r="H20" s="56"/>
    </row>
    <row r="21" spans="2:8">
      <c r="B21" s="57" t="s">
        <v>138</v>
      </c>
      <c r="C21" s="5">
        <v>1</v>
      </c>
      <c r="D21" s="5">
        <v>2</v>
      </c>
      <c r="E21" s="5">
        <v>3</v>
      </c>
      <c r="F21" s="5"/>
      <c r="G21" s="5">
        <v>6</v>
      </c>
    </row>
    <row r="22" spans="2:8">
      <c r="B22" s="7" t="s">
        <v>862</v>
      </c>
      <c r="C22" s="114">
        <v>74</v>
      </c>
      <c r="D22" s="114">
        <v>41</v>
      </c>
      <c r="E22" s="5">
        <v>38</v>
      </c>
      <c r="F22" s="5">
        <v>70</v>
      </c>
      <c r="G22" s="5">
        <v>223</v>
      </c>
    </row>
    <row r="23" spans="2:8">
      <c r="H23" s="32">
        <f>SUM(H4:H22)</f>
        <v>0</v>
      </c>
    </row>
    <row r="25" spans="2:8">
      <c r="B25" s="9" t="s">
        <v>864</v>
      </c>
      <c r="C25" s="9">
        <v>73</v>
      </c>
      <c r="D25" s="9">
        <v>73</v>
      </c>
      <c r="E25" s="9">
        <v>72</v>
      </c>
      <c r="F25" s="9">
        <v>72</v>
      </c>
    </row>
    <row r="26" spans="2:8">
      <c r="B26" s="10" t="s">
        <v>865</v>
      </c>
      <c r="C26" s="10">
        <f>GETPIVOTDATA("Area",$B$2,"Seat","DBC1 (WW28)")-C25</f>
        <v>1</v>
      </c>
      <c r="D26" s="10" t="e">
        <f>GETPIVOTDATA("Area",$B$2,"Seat","DBC2 (WW30)")-D25</f>
        <v>#REF!</v>
      </c>
      <c r="E26" s="10" t="e">
        <f>GETPIVOTDATA("Area",$B$2,"Seat","DBC3 (WW31)")-E25</f>
        <v>#REF!</v>
      </c>
      <c r="F26" s="10" t="e">
        <f>GETPIVOTDATA("Area",$B$2,"Seat","DBC4 (WW32)")-F25</f>
        <v>#REF!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1FFB-4C83-4C74-AE5A-CF03ED84EFC3}">
  <dimension ref="E2:H16"/>
  <sheetViews>
    <sheetView workbookViewId="0">
      <selection activeCell="J18" sqref="J18"/>
    </sheetView>
  </sheetViews>
  <sheetFormatPr defaultColWidth="8.5703125" defaultRowHeight="14.45"/>
  <cols>
    <col min="1" max="5" width="8.5703125" style="22"/>
    <col min="6" max="6" width="14.85546875" style="22" customWidth="1"/>
    <col min="7" max="7" width="11.85546875" style="22" hidden="1" customWidth="1"/>
    <col min="8" max="8" width="93" style="22" customWidth="1"/>
    <col min="9" max="16384" width="8.5703125" style="22"/>
  </cols>
  <sheetData>
    <row r="2" spans="5:8" ht="17.100000000000001" customHeight="1">
      <c r="E2" s="23" t="s">
        <v>866</v>
      </c>
      <c r="F2" s="24" t="s">
        <v>867</v>
      </c>
      <c r="G2" s="24" t="s">
        <v>868</v>
      </c>
      <c r="H2" s="24" t="s">
        <v>869</v>
      </c>
    </row>
    <row r="3" spans="5:8" ht="17.100000000000001" customHeight="1">
      <c r="E3" s="142" t="s">
        <v>870</v>
      </c>
      <c r="F3" s="24" t="s">
        <v>871</v>
      </c>
      <c r="G3" s="39">
        <v>59</v>
      </c>
      <c r="H3" s="24" t="s">
        <v>872</v>
      </c>
    </row>
    <row r="4" spans="5:8" ht="17.100000000000001" customHeight="1">
      <c r="E4" s="143"/>
      <c r="F4" s="24" t="s">
        <v>873</v>
      </c>
      <c r="G4" s="39">
        <v>0</v>
      </c>
      <c r="H4" s="40" t="s">
        <v>874</v>
      </c>
    </row>
    <row r="5" spans="5:8" ht="17.100000000000001" customHeight="1">
      <c r="E5" s="143"/>
      <c r="F5" s="24" t="s">
        <v>128</v>
      </c>
      <c r="G5" s="39">
        <v>73</v>
      </c>
      <c r="H5" s="24" t="s">
        <v>875</v>
      </c>
    </row>
    <row r="6" spans="5:8" ht="17.100000000000001" customHeight="1">
      <c r="E6" s="143"/>
      <c r="F6" s="24" t="s">
        <v>876</v>
      </c>
      <c r="G6" s="39">
        <v>30</v>
      </c>
      <c r="H6" s="39" t="s">
        <v>877</v>
      </c>
    </row>
    <row r="7" spans="5:8" ht="17.100000000000001" customHeight="1">
      <c r="E7" s="143"/>
      <c r="F7" s="24" t="s">
        <v>878</v>
      </c>
      <c r="G7" s="39">
        <v>7</v>
      </c>
      <c r="H7" s="24" t="s">
        <v>879</v>
      </c>
    </row>
    <row r="8" spans="5:8" ht="17.100000000000001" customHeight="1">
      <c r="E8" s="143"/>
      <c r="F8" s="24" t="s">
        <v>880</v>
      </c>
      <c r="G8" s="39">
        <v>22</v>
      </c>
      <c r="H8" s="24" t="s">
        <v>881</v>
      </c>
    </row>
    <row r="9" spans="5:8" ht="17.100000000000001" customHeight="1">
      <c r="E9" s="143"/>
      <c r="F9" s="24" t="s">
        <v>882</v>
      </c>
      <c r="G9" s="39">
        <v>8</v>
      </c>
      <c r="H9" s="24" t="s">
        <v>883</v>
      </c>
    </row>
    <row r="10" spans="5:8" ht="17.100000000000001" customHeight="1">
      <c r="E10" s="143"/>
      <c r="F10" s="24" t="s">
        <v>884</v>
      </c>
      <c r="G10" s="39"/>
      <c r="H10" s="24" t="s">
        <v>885</v>
      </c>
    </row>
    <row r="11" spans="5:8" ht="17.100000000000001" customHeight="1">
      <c r="E11" s="143"/>
      <c r="F11" s="24" t="s">
        <v>126</v>
      </c>
      <c r="G11" s="39">
        <v>9</v>
      </c>
      <c r="H11" s="40" t="s">
        <v>886</v>
      </c>
    </row>
    <row r="12" spans="5:8" ht="17.100000000000001" customHeight="1">
      <c r="E12" s="144"/>
      <c r="F12" s="24" t="s">
        <v>121</v>
      </c>
      <c r="G12" s="39">
        <v>1</v>
      </c>
      <c r="H12" s="24" t="s">
        <v>887</v>
      </c>
    </row>
    <row r="13" spans="5:8" ht="17.100000000000001" customHeight="1">
      <c r="E13" s="23" t="s">
        <v>685</v>
      </c>
      <c r="F13" s="24" t="s">
        <v>888</v>
      </c>
      <c r="G13" s="39">
        <v>6</v>
      </c>
      <c r="H13" s="39" t="s">
        <v>889</v>
      </c>
    </row>
    <row r="14" spans="5:8" ht="17.100000000000001" customHeight="1">
      <c r="E14" s="23" t="s">
        <v>709</v>
      </c>
      <c r="F14" s="24" t="s">
        <v>890</v>
      </c>
      <c r="G14" s="39">
        <v>6</v>
      </c>
      <c r="H14" s="24" t="s">
        <v>891</v>
      </c>
    </row>
    <row r="16" spans="5:8">
      <c r="G16" s="22">
        <f>SUM(G3:G14)</f>
        <v>221</v>
      </c>
    </row>
  </sheetData>
  <mergeCells count="1">
    <mergeCell ref="E3:E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1A5B-E84B-442F-BE12-30B120E751BE}">
  <sheetPr codeName="Sheet5"/>
  <dimension ref="C5:F21"/>
  <sheetViews>
    <sheetView workbookViewId="0">
      <selection activeCell="D18" sqref="D18"/>
    </sheetView>
  </sheetViews>
  <sheetFormatPr defaultColWidth="9.140625" defaultRowHeight="14.45"/>
  <cols>
    <col min="1" max="2" width="9.140625" style="22"/>
    <col min="3" max="3" width="27.85546875" style="22" customWidth="1"/>
    <col min="4" max="6" width="20.5703125" style="22" customWidth="1"/>
    <col min="7" max="16384" width="9.140625" style="22"/>
  </cols>
  <sheetData>
    <row r="5" spans="3:6">
      <c r="E5" s="145" t="s">
        <v>892</v>
      </c>
      <c r="F5" s="146"/>
    </row>
    <row r="6" spans="3:6">
      <c r="C6" s="26" t="s">
        <v>893</v>
      </c>
      <c r="D6" s="26" t="s">
        <v>894</v>
      </c>
      <c r="E6" s="26" t="s">
        <v>895</v>
      </c>
      <c r="F6" s="26" t="s">
        <v>896</v>
      </c>
    </row>
    <row r="7" spans="3:6">
      <c r="C7" s="24" t="s">
        <v>897</v>
      </c>
      <c r="D7" s="23" t="s">
        <v>898</v>
      </c>
      <c r="E7" s="23" t="s">
        <v>693</v>
      </c>
      <c r="F7" s="23" t="s">
        <v>693</v>
      </c>
    </row>
    <row r="8" spans="3:6">
      <c r="C8" s="24" t="s">
        <v>899</v>
      </c>
      <c r="D8" s="23" t="s">
        <v>898</v>
      </c>
      <c r="E8" s="23" t="s">
        <v>693</v>
      </c>
      <c r="F8" s="23" t="s">
        <v>693</v>
      </c>
    </row>
    <row r="9" spans="3:6">
      <c r="C9" s="24" t="s">
        <v>900</v>
      </c>
      <c r="D9" s="23" t="s">
        <v>901</v>
      </c>
      <c r="E9" s="23" t="s">
        <v>693</v>
      </c>
      <c r="F9" s="23" t="s">
        <v>693</v>
      </c>
    </row>
    <row r="10" spans="3:6">
      <c r="C10" s="24" t="s">
        <v>902</v>
      </c>
      <c r="D10" s="23" t="s">
        <v>903</v>
      </c>
      <c r="E10" s="23" t="s">
        <v>693</v>
      </c>
      <c r="F10" s="23" t="s">
        <v>693</v>
      </c>
    </row>
    <row r="11" spans="3:6">
      <c r="C11" s="24" t="s">
        <v>550</v>
      </c>
      <c r="D11" s="23" t="s">
        <v>903</v>
      </c>
      <c r="E11" s="23" t="s">
        <v>693</v>
      </c>
      <c r="F11" s="23" t="s">
        <v>693</v>
      </c>
    </row>
    <row r="12" spans="3:6">
      <c r="C12" s="24" t="s">
        <v>904</v>
      </c>
      <c r="D12" s="23" t="s">
        <v>905</v>
      </c>
      <c r="E12" s="23" t="s">
        <v>693</v>
      </c>
      <c r="F12" s="23" t="s">
        <v>906</v>
      </c>
    </row>
    <row r="13" spans="3:6">
      <c r="C13" s="24" t="s">
        <v>907</v>
      </c>
      <c r="D13" s="23" t="s">
        <v>908</v>
      </c>
      <c r="E13" s="23" t="s">
        <v>693</v>
      </c>
      <c r="F13" s="23" t="s">
        <v>693</v>
      </c>
    </row>
    <row r="14" spans="3:6">
      <c r="C14" s="24" t="s">
        <v>909</v>
      </c>
      <c r="D14" s="23" t="s">
        <v>910</v>
      </c>
      <c r="E14" s="23" t="s">
        <v>693</v>
      </c>
      <c r="F14" s="23" t="s">
        <v>693</v>
      </c>
    </row>
    <row r="15" spans="3:6">
      <c r="C15" s="24" t="s">
        <v>911</v>
      </c>
      <c r="D15" s="23" t="s">
        <v>910</v>
      </c>
      <c r="E15" s="23" t="s">
        <v>693</v>
      </c>
      <c r="F15" s="23" t="s">
        <v>693</v>
      </c>
    </row>
    <row r="16" spans="3:6">
      <c r="C16" s="24" t="s">
        <v>912</v>
      </c>
      <c r="D16" s="23" t="s">
        <v>913</v>
      </c>
      <c r="E16" s="23" t="s">
        <v>693</v>
      </c>
      <c r="F16" s="23" t="s">
        <v>693</v>
      </c>
    </row>
    <row r="17" spans="3:6">
      <c r="C17" s="24" t="s">
        <v>914</v>
      </c>
      <c r="D17" s="23" t="s">
        <v>915</v>
      </c>
      <c r="E17" s="23" t="s">
        <v>693</v>
      </c>
      <c r="F17" s="23" t="s">
        <v>693</v>
      </c>
    </row>
    <row r="18" spans="3:6">
      <c r="C18" s="24" t="s">
        <v>916</v>
      </c>
      <c r="D18" s="23" t="s">
        <v>915</v>
      </c>
      <c r="E18" s="25" t="s">
        <v>917</v>
      </c>
      <c r="F18" s="23" t="s">
        <v>693</v>
      </c>
    </row>
    <row r="19" spans="3:6">
      <c r="C19" s="24" t="s">
        <v>918</v>
      </c>
      <c r="D19" s="23" t="s">
        <v>369</v>
      </c>
      <c r="E19" s="25" t="s">
        <v>917</v>
      </c>
      <c r="F19" s="23" t="s">
        <v>693</v>
      </c>
    </row>
    <row r="20" spans="3:6">
      <c r="C20" s="24" t="s">
        <v>919</v>
      </c>
      <c r="D20" s="23" t="s">
        <v>369</v>
      </c>
      <c r="E20" s="25" t="s">
        <v>917</v>
      </c>
      <c r="F20" s="23" t="s">
        <v>693</v>
      </c>
    </row>
    <row r="21" spans="3:6">
      <c r="C21" s="24" t="s">
        <v>920</v>
      </c>
      <c r="D21" s="23"/>
      <c r="E21" s="25" t="s">
        <v>917</v>
      </c>
      <c r="F21" s="23" t="s">
        <v>921</v>
      </c>
    </row>
  </sheetData>
  <mergeCells count="1">
    <mergeCell ref="E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2C58-85D6-438E-8E28-4AAC5089F838}">
  <sheetPr codeName="Sheet2"/>
  <dimension ref="A1"/>
  <sheetViews>
    <sheetView workbookViewId="0">
      <selection activeCell="N18" sqref="N18"/>
    </sheetView>
  </sheetViews>
  <sheetFormatPr defaultRowHeight="14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8D03-6B78-4DA0-A1EC-4ED0764A6112}">
  <dimension ref="B2:B67"/>
  <sheetViews>
    <sheetView workbookViewId="0">
      <selection activeCell="H35" sqref="H35"/>
    </sheetView>
  </sheetViews>
  <sheetFormatPr defaultRowHeight="14.45"/>
  <cols>
    <col min="2" max="2" width="120.140625" customWidth="1"/>
  </cols>
  <sheetData>
    <row r="2" spans="2:2">
      <c r="B2" s="42" t="s">
        <v>922</v>
      </c>
    </row>
    <row r="3" spans="2:2">
      <c r="B3" s="42" t="s">
        <v>923</v>
      </c>
    </row>
    <row r="4" spans="2:2">
      <c r="B4" s="42" t="s">
        <v>924</v>
      </c>
    </row>
    <row r="5" spans="2:2">
      <c r="B5" s="42" t="s">
        <v>925</v>
      </c>
    </row>
    <row r="6" spans="2:2">
      <c r="B6" s="42" t="s">
        <v>926</v>
      </c>
    </row>
    <row r="7" spans="2:2">
      <c r="B7" s="42" t="s">
        <v>927</v>
      </c>
    </row>
    <row r="8" spans="2:2">
      <c r="B8" s="42" t="s">
        <v>928</v>
      </c>
    </row>
    <row r="9" spans="2:2">
      <c r="B9" s="42" t="s">
        <v>929</v>
      </c>
    </row>
    <row r="10" spans="2:2">
      <c r="B10" s="42" t="s">
        <v>930</v>
      </c>
    </row>
    <row r="11" spans="2:2">
      <c r="B11" s="42" t="s">
        <v>931</v>
      </c>
    </row>
    <row r="12" spans="2:2">
      <c r="B12" s="42" t="s">
        <v>932</v>
      </c>
    </row>
    <row r="13" spans="2:2">
      <c r="B13" s="42" t="s">
        <v>933</v>
      </c>
    </row>
    <row r="14" spans="2:2">
      <c r="B14" s="42" t="s">
        <v>934</v>
      </c>
    </row>
    <row r="15" spans="2:2">
      <c r="B15" s="42" t="s">
        <v>935</v>
      </c>
    </row>
    <row r="16" spans="2:2">
      <c r="B16" s="42" t="s">
        <v>936</v>
      </c>
    </row>
    <row r="17" spans="2:2">
      <c r="B17" s="42" t="s">
        <v>937</v>
      </c>
    </row>
    <row r="18" spans="2:2">
      <c r="B18" s="42" t="s">
        <v>938</v>
      </c>
    </row>
    <row r="19" spans="2:2">
      <c r="B19" s="42" t="s">
        <v>939</v>
      </c>
    </row>
    <row r="20" spans="2:2">
      <c r="B20" s="42" t="s">
        <v>940</v>
      </c>
    </row>
    <row r="21" spans="2:2">
      <c r="B21" s="42" t="s">
        <v>941</v>
      </c>
    </row>
    <row r="22" spans="2:2">
      <c r="B22" s="42" t="s">
        <v>942</v>
      </c>
    </row>
    <row r="23" spans="2:2">
      <c r="B23" s="42" t="s">
        <v>943</v>
      </c>
    </row>
    <row r="24" spans="2:2">
      <c r="B24" s="42" t="s">
        <v>944</v>
      </c>
    </row>
    <row r="25" spans="2:2">
      <c r="B25" s="42" t="s">
        <v>945</v>
      </c>
    </row>
    <row r="26" spans="2:2">
      <c r="B26" s="42" t="s">
        <v>946</v>
      </c>
    </row>
    <row r="27" spans="2:2">
      <c r="B27" s="42" t="s">
        <v>947</v>
      </c>
    </row>
    <row r="28" spans="2:2">
      <c r="B28" s="42" t="s">
        <v>948</v>
      </c>
    </row>
    <row r="29" spans="2:2">
      <c r="B29" s="42" t="s">
        <v>949</v>
      </c>
    </row>
    <row r="30" spans="2:2">
      <c r="B30" s="42" t="s">
        <v>950</v>
      </c>
    </row>
    <row r="31" spans="2:2">
      <c r="B31" s="42" t="s">
        <v>951</v>
      </c>
    </row>
    <row r="32" spans="2:2">
      <c r="B32" s="42" t="s">
        <v>952</v>
      </c>
    </row>
    <row r="33" spans="2:2">
      <c r="B33" s="42" t="s">
        <v>953</v>
      </c>
    </row>
    <row r="34" spans="2:2">
      <c r="B34" s="42" t="s">
        <v>954</v>
      </c>
    </row>
    <row r="35" spans="2:2">
      <c r="B35" s="42" t="s">
        <v>955</v>
      </c>
    </row>
    <row r="36" spans="2:2">
      <c r="B36" s="42" t="s">
        <v>956</v>
      </c>
    </row>
    <row r="37" spans="2:2">
      <c r="B37" s="42" t="s">
        <v>957</v>
      </c>
    </row>
    <row r="38" spans="2:2">
      <c r="B38" s="42" t="s">
        <v>958</v>
      </c>
    </row>
    <row r="39" spans="2:2">
      <c r="B39" s="42" t="s">
        <v>959</v>
      </c>
    </row>
    <row r="40" spans="2:2">
      <c r="B40" s="42" t="s">
        <v>960</v>
      </c>
    </row>
    <row r="41" spans="2:2">
      <c r="B41" s="42" t="s">
        <v>961</v>
      </c>
    </row>
    <row r="42" spans="2:2">
      <c r="B42" s="42" t="s">
        <v>962</v>
      </c>
    </row>
    <row r="43" spans="2:2">
      <c r="B43" s="42" t="s">
        <v>963</v>
      </c>
    </row>
    <row r="44" spans="2:2">
      <c r="B44" s="42" t="s">
        <v>964</v>
      </c>
    </row>
    <row r="45" spans="2:2">
      <c r="B45" s="42" t="s">
        <v>965</v>
      </c>
    </row>
    <row r="46" spans="2:2">
      <c r="B46" s="42" t="s">
        <v>966</v>
      </c>
    </row>
    <row r="47" spans="2:2">
      <c r="B47" s="42" t="s">
        <v>967</v>
      </c>
    </row>
    <row r="48" spans="2:2">
      <c r="B48" s="42" t="s">
        <v>968</v>
      </c>
    </row>
    <row r="49" spans="2:2">
      <c r="B49" s="42" t="s">
        <v>969</v>
      </c>
    </row>
    <row r="50" spans="2:2">
      <c r="B50" s="42" t="s">
        <v>970</v>
      </c>
    </row>
    <row r="51" spans="2:2">
      <c r="B51" s="42" t="s">
        <v>971</v>
      </c>
    </row>
    <row r="52" spans="2:2">
      <c r="B52" s="42" t="s">
        <v>972</v>
      </c>
    </row>
    <row r="53" spans="2:2">
      <c r="B53" s="42" t="s">
        <v>973</v>
      </c>
    </row>
    <row r="54" spans="2:2">
      <c r="B54" s="42" t="s">
        <v>974</v>
      </c>
    </row>
    <row r="55" spans="2:2">
      <c r="B55" s="42" t="s">
        <v>975</v>
      </c>
    </row>
    <row r="56" spans="2:2">
      <c r="B56" s="42" t="s">
        <v>976</v>
      </c>
    </row>
    <row r="57" spans="2:2">
      <c r="B57" s="42" t="s">
        <v>977</v>
      </c>
    </row>
    <row r="58" spans="2:2">
      <c r="B58" s="42" t="s">
        <v>978</v>
      </c>
    </row>
    <row r="59" spans="2:2">
      <c r="B59" s="42" t="s">
        <v>979</v>
      </c>
    </row>
    <row r="60" spans="2:2">
      <c r="B60" s="42" t="s">
        <v>980</v>
      </c>
    </row>
    <row r="61" spans="2:2">
      <c r="B61" s="42" t="s">
        <v>981</v>
      </c>
    </row>
    <row r="62" spans="2:2">
      <c r="B62" s="42" t="s">
        <v>982</v>
      </c>
    </row>
    <row r="63" spans="2:2">
      <c r="B63" s="42" t="s">
        <v>983</v>
      </c>
    </row>
    <row r="64" spans="2:2">
      <c r="B64" s="42" t="s">
        <v>984</v>
      </c>
    </row>
    <row r="65" spans="2:2">
      <c r="B65" s="42" t="s">
        <v>985</v>
      </c>
    </row>
    <row r="66" spans="2:2">
      <c r="B66" s="42" t="s">
        <v>986</v>
      </c>
    </row>
    <row r="67" spans="2:2">
      <c r="B67" s="42" t="s">
        <v>987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8c5c7c43-7776-4be4-9b66-f0e598a006f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A87B4EF6DD84787A84E450FC83619" ma:contentTypeVersion="9" ma:contentTypeDescription="Create a new document." ma:contentTypeScope="" ma:versionID="9655d4f725996bdb79f090c9adcfadf4">
  <xsd:schema xmlns:xsd="http://www.w3.org/2001/XMLSchema" xmlns:xs="http://www.w3.org/2001/XMLSchema" xmlns:p="http://schemas.microsoft.com/office/2006/metadata/properties" xmlns:ns2="8c5c7c43-7776-4be4-9b66-f0e598a006f2" targetNamespace="http://schemas.microsoft.com/office/2006/metadata/properties" ma:root="true" ma:fieldsID="5e7f22aa02e8ff6ad58c10ac94e8f8c8" ns2:_="">
    <xsd:import namespace="8c5c7c43-7776-4be4-9b66-f0e598a006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Comment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c7c43-7776-4be4-9b66-f0e598a00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" ma:index="1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E45E59-B50F-4CA1-8A10-83C8AACA1A67}"/>
</file>

<file path=customXml/itemProps2.xml><?xml version="1.0" encoding="utf-8"?>
<ds:datastoreItem xmlns:ds="http://schemas.openxmlformats.org/officeDocument/2006/customXml" ds:itemID="{F1C884A9-68FC-4783-8EE9-294E8AF8F831}"/>
</file>

<file path=customXml/itemProps3.xml><?xml version="1.0" encoding="utf-8"?>
<ds:datastoreItem xmlns:ds="http://schemas.openxmlformats.org/officeDocument/2006/customXml" ds:itemID="{52BA06AD-37EA-43AC-9575-2D7E59401AB2}"/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Sreenivasan, Divya Kollegala</dc:creator>
  <cp:keywords/>
  <dc:description/>
  <cp:lastModifiedBy/>
  <cp:revision/>
  <dcterms:created xsi:type="dcterms:W3CDTF">2015-06-05T18:17:20Z</dcterms:created>
  <dcterms:modified xsi:type="dcterms:W3CDTF">2026-10-21T17:13:31Z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0x010100DF5A87B4EF6DD84787A84E450FC83619</vt:lpwstr>
  </property>
</Properties>
</file>