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p1281device/Shared Documents/Etest/X81Z/Config File/"/>
    </mc:Choice>
  </mc:AlternateContent>
  <xr:revisionPtr revIDLastSave="0" documentId="8_{FAAE1688-A19B-40A8-9FD7-942A86640628}" xr6:coauthVersionLast="47" xr6:coauthVersionMax="47" xr10:uidLastSave="{00000000-0000-0000-0000-000000000000}"/>
  <bookViews>
    <workbookView xWindow="-108" yWindow="-108" windowWidth="30936" windowHeight="16776" tabRatio="652" xr2:uid="{00000000-000D-0000-FFFF-FFFF00000000}"/>
  </bookViews>
  <sheets>
    <sheet name="Test Types" sheetId="21" r:id="rId1"/>
    <sheet name="Revised Test Types" sheetId="27" r:id="rId2"/>
    <sheet name="MOS Test Config (CNODE float)" sheetId="14" state="hidden" r:id="rId3"/>
    <sheet name="MOS Test Config (PRE-TTR)" sheetId="10" state="hidden" r:id="rId4"/>
    <sheet name="MAT Test Config (pre-TTR)" sheetId="15" state="hidden" r:id="rId5"/>
    <sheet name="X80A Test Types" sheetId="31" r:id="rId6"/>
    <sheet name="X80-1A_2A Test Types" sheetId="32" r:id="rId7"/>
    <sheet name="MOS Test Config" sheetId="30" r:id="rId8"/>
    <sheet name="Extra Tests" sheetId="26" r:id="rId9"/>
    <sheet name="Comparison_MOS" sheetId="29" r:id="rId10"/>
    <sheet name="MAT Test Config" sheetId="23" r:id="rId11"/>
    <sheet name="Comparison_MAT" sheetId="28" r:id="rId12"/>
    <sheet name="MLR Test Config" sheetId="13" r:id="rId13"/>
    <sheet name="AUTOBIAS TARGETS X80Y" sheetId="11" r:id="rId14"/>
    <sheet name="AUTOBIAS TARGETS X80Z" sheetId="25" r:id="rId15"/>
    <sheet name="Future Test Types" sheetId="24" r:id="rId16"/>
  </sheets>
  <definedNames>
    <definedName name="_xlnm._FilterDatabase" localSheetId="14" hidden="1">'AUTOBIAS TARGETS X80Z'!$A$1:$W$21</definedName>
    <definedName name="_xlnm._FilterDatabase" localSheetId="11" hidden="1">Comparison_MAT!$A$1:$C$70</definedName>
    <definedName name="_xlnm._FilterDatabase" localSheetId="10" hidden="1">'MAT Test Config'!$A$1:$N$55</definedName>
    <definedName name="_xlnm._FilterDatabase" localSheetId="7" hidden="1">'MOS Test Config'!$A$1:$Q$1</definedName>
    <definedName name="_xlnm._FilterDatabase" localSheetId="2" hidden="1">'MOS Test Config (CNODE float)'!$A$1:$N$284</definedName>
    <definedName name="_xlnm._FilterDatabase" localSheetId="3" hidden="1">'MOS Test Config (PRE-TTR)'!$A$1:$N$315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30" l="1"/>
  <c r="F419" i="30"/>
  <c r="F418" i="30"/>
  <c r="F416" i="30"/>
  <c r="F415" i="30"/>
  <c r="F278" i="30"/>
  <c r="F277" i="30"/>
  <c r="F276" i="30"/>
  <c r="F275" i="30"/>
  <c r="F274" i="30"/>
  <c r="F273" i="30"/>
  <c r="F272" i="30"/>
  <c r="F218" i="30"/>
  <c r="G201" i="30"/>
  <c r="G161" i="30"/>
  <c r="G158" i="30"/>
  <c r="G155" i="30"/>
  <c r="F142" i="30"/>
  <c r="G142" i="30" s="1"/>
  <c r="F90" i="30"/>
  <c r="G90" i="30" s="1"/>
  <c r="F34" i="30"/>
  <c r="F9" i="30"/>
  <c r="G9" i="30" s="1"/>
  <c r="S21" i="25" l="1"/>
  <c r="S20" i="25"/>
  <c r="S19" i="25"/>
  <c r="S18" i="25"/>
  <c r="S17" i="25"/>
  <c r="S16" i="25"/>
  <c r="S15" i="25"/>
  <c r="S14" i="25"/>
  <c r="S13" i="25"/>
  <c r="S12" i="25"/>
  <c r="S11" i="25"/>
  <c r="S10" i="25"/>
  <c r="S9" i="25"/>
  <c r="S8" i="25"/>
  <c r="S7" i="25"/>
  <c r="S6" i="25"/>
  <c r="S5" i="25"/>
  <c r="S4" i="25"/>
  <c r="S3" i="25"/>
  <c r="S2" i="25"/>
  <c r="I7" i="11" l="1"/>
  <c r="I8" i="11"/>
  <c r="I6" i="11"/>
  <c r="I4" i="11"/>
  <c r="I5" i="11"/>
  <c r="I3" i="11"/>
  <c r="O35" i="14" l="1"/>
  <c r="P35" i="14"/>
  <c r="Q35" i="14" s="1"/>
  <c r="R35" i="14" s="1"/>
  <c r="F301" i="14"/>
  <c r="F140" i="14"/>
  <c r="F139" i="14"/>
  <c r="F138" i="14"/>
  <c r="F137" i="14"/>
  <c r="F136" i="14"/>
  <c r="F135" i="14"/>
  <c r="F134" i="14"/>
  <c r="F256" i="14"/>
  <c r="F130" i="14"/>
  <c r="F104" i="14"/>
  <c r="F5" i="14"/>
  <c r="F4" i="14"/>
  <c r="F3" i="14"/>
  <c r="F2" i="14"/>
  <c r="S42" i="14" l="1"/>
  <c r="F206" i="10"/>
  <c r="F205" i="10"/>
  <c r="F204" i="10"/>
  <c r="F203" i="10"/>
  <c r="F202" i="10"/>
  <c r="F201" i="10"/>
  <c r="F200" i="10"/>
  <c r="F196" i="10"/>
  <c r="F181" i="10"/>
  <c r="F138" i="10"/>
  <c r="F134" i="10"/>
  <c r="F108" i="10"/>
  <c r="F5" i="10"/>
  <c r="F4" i="10"/>
  <c r="F3" i="10"/>
  <c r="F2" i="10"/>
</calcChain>
</file>

<file path=xl/sharedStrings.xml><?xml version="1.0" encoding="utf-8"?>
<sst xmlns="http://schemas.openxmlformats.org/spreadsheetml/2006/main" count="11509" uniqueCount="1299">
  <si>
    <t>Test Type</t>
  </si>
  <si>
    <t>Test Config</t>
  </si>
  <si>
    <t>Test Name Output</t>
  </si>
  <si>
    <t>Terminal</t>
  </si>
  <si>
    <t>G</t>
  </si>
  <si>
    <t>DF</t>
  </si>
  <si>
    <t>DS</t>
  </si>
  <si>
    <t>SF / SF_BS</t>
  </si>
  <si>
    <t>SS / SS_BS</t>
  </si>
  <si>
    <t>KEY_LOGIC_SUITE</t>
  </si>
  <si>
    <t>KEY_LOGIC_DEFECT</t>
  </si>
  <si>
    <t>KEY_LOGIC_LINEAR</t>
  </si>
  <si>
    <t>KEY_LOGIC_0.5V</t>
  </si>
  <si>
    <t>KEY_LOGIC_0.65V</t>
  </si>
  <si>
    <t>KEY_LOGIC_1.1V</t>
  </si>
  <si>
    <t>KEY_LOGIC_ID_VGOD</t>
  </si>
  <si>
    <t>KEY_LOGIC_BETA</t>
  </si>
  <si>
    <t>KEY_LOGIC_GM_RO</t>
  </si>
  <si>
    <t>AUTOBIAS</t>
  </si>
  <si>
    <t>AUTOBIAS_VGNA</t>
  </si>
  <si>
    <t>AUTOBIAS_0.5V</t>
  </si>
  <si>
    <t>AUTOBIAS_0.65V</t>
  </si>
  <si>
    <t>AUTOBIAS_1.1V</t>
  </si>
  <si>
    <t>KEY_LOGIC_TOPEX</t>
  </si>
  <si>
    <t>G1F/G2</t>
  </si>
  <si>
    <t>DF/SF_BS</t>
  </si>
  <si>
    <t>MLR_CAP_2PT</t>
  </si>
  <si>
    <t>COV_2PT</t>
  </si>
  <si>
    <t>COV_0.5G</t>
  </si>
  <si>
    <t>CMH</t>
  </si>
  <si>
    <t>CML</t>
  </si>
  <si>
    <t>CGT_2PT</t>
  </si>
  <si>
    <t>CGT_&lt;FORCE&gt;G</t>
  </si>
  <si>
    <t>MLR_CAP_NOCOV_2PT</t>
  </si>
  <si>
    <t>MLR_LKG_2PT</t>
  </si>
  <si>
    <t>IG_D</t>
  </si>
  <si>
    <t>IG_D_&lt;FORCE&gt;G</t>
  </si>
  <si>
    <t>VFIM=&lt;FORCE&gt;</t>
  </si>
  <si>
    <t>VF=0V</t>
  </si>
  <si>
    <t>LD_G</t>
  </si>
  <si>
    <t>LD_G_&lt;FORCE&gt;D</t>
  </si>
  <si>
    <t>IG_PRE_2PT</t>
  </si>
  <si>
    <t>IG_&lt;FORCE&gt;G_PRE</t>
  </si>
  <si>
    <t>VFIM=1.5V</t>
  </si>
  <si>
    <t>VBD_2PT</t>
  </si>
  <si>
    <t>VBD</t>
  </si>
  <si>
    <t>VFIM=1.5V .. 10V</t>
  </si>
  <si>
    <t>IG_POST_2PT</t>
  </si>
  <si>
    <t>IG_&lt;FORCE&gt;G_POST</t>
  </si>
  <si>
    <t>MLR_WF_2PT</t>
  </si>
  <si>
    <t>varactor algorithm stakeholder</t>
  </si>
  <si>
    <t>SF_BS</t>
  </si>
  <si>
    <t>MLR_CAP_3PT</t>
  </si>
  <si>
    <t>COV_3PT</t>
  </si>
  <si>
    <t>CGT_3PT</t>
  </si>
  <si>
    <t>COV_FD</t>
  </si>
  <si>
    <t>COV_GD_&lt;FORCE&gt;G</t>
  </si>
  <si>
    <t>Float</t>
  </si>
  <si>
    <t>New</t>
  </si>
  <si>
    <t>COV_FS</t>
  </si>
  <si>
    <t>COV_GS_&lt;FORCE&gt;G</t>
  </si>
  <si>
    <t>COV_GD</t>
  </si>
  <si>
    <t>GND</t>
  </si>
  <si>
    <t>COV_GS</t>
  </si>
  <si>
    <t>MLR_CAP_NOCOV_3PT</t>
  </si>
  <si>
    <t>MLR_LKG_3PT</t>
  </si>
  <si>
    <t>IG_DS_3PT</t>
  </si>
  <si>
    <t>IG_DS_&lt;FORCE&gt;G</t>
  </si>
  <si>
    <t>IG_D_2PT</t>
  </si>
  <si>
    <t>IG_S_2PT</t>
  </si>
  <si>
    <t>IG_S_&lt;FORCE&gt;G</t>
  </si>
  <si>
    <t>LD_G_3PT</t>
  </si>
  <si>
    <t>LD_&lt;FORCE&gt;D
LS_&lt;FORCE&gt;D
LG_&lt;FORCE&gt;D</t>
  </si>
  <si>
    <t>VFIM=0V</t>
  </si>
  <si>
    <t>IG_PRE_3PT</t>
  </si>
  <si>
    <t>VBD_3PT</t>
  </si>
  <si>
    <t>IG_POST_3PT</t>
  </si>
  <si>
    <t>HI/HI2/combHI/combHI_BS/ogdHIK</t>
  </si>
  <si>
    <t xml:space="preserve">LO/LO2/combLO/combLO_BS/ogdLO </t>
  </si>
  <si>
    <t>R2</t>
  </si>
  <si>
    <t>R2_&lt;FORCE&gt;V</t>
  </si>
  <si>
    <t>HI/HI2/pgdLO/ogdLOK</t>
  </si>
  <si>
    <t>LO/LO2/ogdLO</t>
  </si>
  <si>
    <t>IHI/IHI2/pgdHI/ogdHIK</t>
  </si>
  <si>
    <t>ILO/ILO2/ogdHI</t>
  </si>
  <si>
    <t>R4</t>
  </si>
  <si>
    <t>R4_&lt;ABS(FORCE)&gt;A</t>
  </si>
  <si>
    <t>HIZ (Hi)</t>
  </si>
  <si>
    <t>HIZ (Lo)</t>
  </si>
  <si>
    <t>IFVM=&lt;FORCE&gt;</t>
  </si>
  <si>
    <t>ogdLO</t>
  </si>
  <si>
    <t>ogdHI</t>
  </si>
  <si>
    <t>pgdLO</t>
  </si>
  <si>
    <t>pgdHI</t>
  </si>
  <si>
    <t>ogdHIK</t>
  </si>
  <si>
    <t>ogdLOK</t>
  </si>
  <si>
    <t>R6_R2</t>
  </si>
  <si>
    <t>R2_TV</t>
  </si>
  <si>
    <t>R2_TV_&lt;FORCE&gt;V</t>
  </si>
  <si>
    <t>R2_BV</t>
  </si>
  <si>
    <t>R2_BV_&lt;FORCE&gt;V</t>
  </si>
  <si>
    <t>R2_TM</t>
  </si>
  <si>
    <t>R2_TM_&lt;FORCE&gt;V</t>
  </si>
  <si>
    <t>R2_RM</t>
  </si>
  <si>
    <t>R2_RM_&lt;FORCE&gt;V</t>
  </si>
  <si>
    <t>R2_BM</t>
  </si>
  <si>
    <t>R2_BM_&lt;FORCE&gt;V</t>
  </si>
  <si>
    <t>R6_R4</t>
  </si>
  <si>
    <t>R4_TV</t>
  </si>
  <si>
    <t>R4_TV_&lt;ABS(FORCE)&gt;A</t>
  </si>
  <si>
    <t>R4_BV</t>
  </si>
  <si>
    <t>R4_BV_&lt;ABS(FORCE)&gt;A</t>
  </si>
  <si>
    <t>HI</t>
  </si>
  <si>
    <t>LO</t>
  </si>
  <si>
    <t>GT</t>
  </si>
  <si>
    <t>R2_GATE</t>
  </si>
  <si>
    <t>R2_&lt;FORCE&gt;V/0.65G</t>
  </si>
  <si>
    <t>VF=-0.65V</t>
  </si>
  <si>
    <t xml:space="preserve">HI/combHI/combHI_BS </t>
  </si>
  <si>
    <t xml:space="preserve">LO/combLO/combLO_BS </t>
  </si>
  <si>
    <t>I2</t>
  </si>
  <si>
    <t>I2_&lt;FORCE&gt;V</t>
  </si>
  <si>
    <t>CMBHI</t>
  </si>
  <si>
    <t>CMBLO</t>
  </si>
  <si>
    <t>TOP</t>
  </si>
  <si>
    <t>BOT</t>
  </si>
  <si>
    <t>SRP_CAP</t>
  </si>
  <si>
    <t>C_ALL</t>
  </si>
  <si>
    <t>C_ALL_&lt;ABS(FORCE)&gt;V</t>
  </si>
  <si>
    <t>C_BOT</t>
  </si>
  <si>
    <t>C_BOT_&lt;ABS(FORCE)&gt;V</t>
  </si>
  <si>
    <t>C_COMB</t>
  </si>
  <si>
    <t>C_COMB_&lt;ABS(FORCE)&gt;V</t>
  </si>
  <si>
    <t>C_COMBHI</t>
  </si>
  <si>
    <t>C_COMBHI_&lt;ABS(FORCE)&gt;V</t>
  </si>
  <si>
    <t>C_COMBLO</t>
  </si>
  <si>
    <t>C_COMBLO_&lt;ABS(FORCE)&gt;V</t>
  </si>
  <si>
    <t>C_TOP</t>
  </si>
  <si>
    <t>C_TOP_&lt;ABS(FORCE)&gt;V</t>
  </si>
  <si>
    <t>SRP_LKG</t>
  </si>
  <si>
    <t>I2_ALL</t>
  </si>
  <si>
    <t>I2_ALL_&lt;ABS(FORCE)&gt;V</t>
  </si>
  <si>
    <t>I2_BOT</t>
  </si>
  <si>
    <t>I2_BOT_&lt;ABS(FORCE)&gt;V</t>
  </si>
  <si>
    <t>I2_COMB</t>
  </si>
  <si>
    <t>I2_COMB_&lt;ABS(FORCE)&gt;V</t>
  </si>
  <si>
    <t>I2_COMBHI</t>
  </si>
  <si>
    <t>I2_COMBHI_&lt;ABS(FORCE)&gt;V</t>
  </si>
  <si>
    <t>I2_COMBLO</t>
  </si>
  <si>
    <t>I2_COMBLO_&lt;ABS(FORCE)&gt;V</t>
  </si>
  <si>
    <t>I2_TOP</t>
  </si>
  <si>
    <t>I2_TOP_&lt;ABS(FORCE)&gt;V</t>
  </si>
  <si>
    <t>I2_TOP_BOT</t>
  </si>
  <si>
    <t>I2_TOP_BOT_&lt;ABS(FORCE)&gt;V</t>
  </si>
  <si>
    <t>SRP_RES</t>
  </si>
  <si>
    <t>SS/SS_BS</t>
  </si>
  <si>
    <t>SF/SF_BS</t>
  </si>
  <si>
    <t>GATE</t>
  </si>
  <si>
    <t>KTCN_0.65V</t>
  </si>
  <si>
    <t>R_&lt;FORCE&gt;A_0.65V</t>
  </si>
  <si>
    <t>IFVM=0A</t>
  </si>
  <si>
    <t>IFVM=&lt;FORCE&gt;A</t>
  </si>
  <si>
    <t>VF=0.65V</t>
  </si>
  <si>
    <t>KTCN_1.1V</t>
  </si>
  <si>
    <t>R_&lt;FORCE&gt;A_1.1V</t>
  </si>
  <si>
    <t>VF=1.1V</t>
  </si>
  <si>
    <t>KEY_LOGIC_WORKING</t>
  </si>
  <si>
    <t>KEY_LOGIC_PERFORMANCE</t>
  </si>
  <si>
    <t>Combo Type</t>
  </si>
  <si>
    <t>Test Name</t>
  </si>
  <si>
    <t>Algorithm</t>
  </si>
  <si>
    <t>INSTANCE</t>
  </si>
  <si>
    <t>Sweep Points</t>
  </si>
  <si>
    <t>TTA (ms)</t>
  </si>
  <si>
    <t>GNAC</t>
  </si>
  <si>
    <t>SWEEP1_SML</t>
  </si>
  <si>
    <t>smlsweep</t>
  </si>
  <si>
    <t>1V .. 0V x 0.05V</t>
  </si>
  <si>
    <t>0.05V</t>
  </si>
  <si>
    <t>HIZ</t>
  </si>
  <si>
    <t>0V</t>
  </si>
  <si>
    <t>SWEEP2_SML</t>
  </si>
  <si>
    <t>1V .. 0V x 0.1V</t>
  </si>
  <si>
    <t>0.3V</t>
  </si>
  <si>
    <t>SWEEP3_SML</t>
  </si>
  <si>
    <t>0.65V</t>
  </si>
  <si>
    <t>SWEEP4_SML</t>
  </si>
  <si>
    <t>1.1V</t>
  </si>
  <si>
    <t>KEY_LOGIC_VTGM</t>
  </si>
  <si>
    <t>VTGM_SWEEP</t>
  </si>
  <si>
    <t>VTGM4_0.05D</t>
  </si>
  <si>
    <t>vtgm_sml</t>
  </si>
  <si>
    <t>R2_DRAIN</t>
  </si>
  <si>
    <t>forcemeas</t>
  </si>
  <si>
    <t>R2_SOURCE</t>
  </si>
  <si>
    <t>IGSO2_1.1G/0S</t>
  </si>
  <si>
    <t>IGDO2_1.1G/0D</t>
  </si>
  <si>
    <t>IS2_1.1D/0G</t>
  </si>
  <si>
    <t>LDSO2_1.1D/0B</t>
  </si>
  <si>
    <t>ET_DEFECT</t>
  </si>
  <si>
    <t>checklimit</t>
  </si>
  <si>
    <t>IS4_1_CONTACT_SML</t>
  </si>
  <si>
    <t>IS4_0D/1.1G</t>
  </si>
  <si>
    <t>idatvg_sml</t>
  </si>
  <si>
    <t>IS4_2_CONTACT_SML</t>
  </si>
  <si>
    <t>0.15V</t>
  </si>
  <si>
    <t>IS4_0.15D/1.1G</t>
  </si>
  <si>
    <t>IS4_3_CONTACT_SML</t>
  </si>
  <si>
    <t>IS4_0.3D/1.1G</t>
  </si>
  <si>
    <t>IS4_4_CONTACT_SML</t>
  </si>
  <si>
    <t>0.45V</t>
  </si>
  <si>
    <t>IS4_0.45D/1.1G</t>
  </si>
  <si>
    <t>ISLIN4_SML</t>
  </si>
  <si>
    <t>IS4_0.05D/1.1G</t>
  </si>
  <si>
    <t>ISON2_SML</t>
  </si>
  <si>
    <t>IS2_0D/1.1G</t>
  </si>
  <si>
    <t>SSLIN4_SML</t>
  </si>
  <si>
    <t>0.65V .. -0.4V x 0.01V</t>
  </si>
  <si>
    <t>SS4_0.05D</t>
  </si>
  <si>
    <t>sub_vt_swing_sml</t>
  </si>
  <si>
    <t>VG_SS_0.05D</t>
  </si>
  <si>
    <t>IS4_SS_0.05D</t>
  </si>
  <si>
    <t>ID4_SS_0.05D</t>
  </si>
  <si>
    <t>ET_WORKING</t>
  </si>
  <si>
    <t>IS4_0.05D/VT+0.65G_SML</t>
  </si>
  <si>
    <t>VTGM4_0.05D + 0.65</t>
  </si>
  <si>
    <t>IS4_0.05D/VT+0.65G</t>
  </si>
  <si>
    <t>lin</t>
  </si>
  <si>
    <t>sat_0.65</t>
  </si>
  <si>
    <t>sat_1.1</t>
  </si>
  <si>
    <t>SSSAT_4_SML</t>
  </si>
  <si>
    <t>SS4_0.65D</t>
  </si>
  <si>
    <t>ss</t>
  </si>
  <si>
    <t>VG_SS_0.65D</t>
  </si>
  <si>
    <t>vtcc_lin</t>
  </si>
  <si>
    <t>IS4_SS_0.65D</t>
  </si>
  <si>
    <t>vtgm_sat</t>
  </si>
  <si>
    <t>ET_PERFORMANCE</t>
  </si>
  <si>
    <t>vtcc_sat (1e-7)</t>
  </si>
  <si>
    <t>LD_0.65D/0G</t>
  </si>
  <si>
    <t>vtcc_sat (1e-8)</t>
  </si>
  <si>
    <t>LS_0.65D/0G</t>
  </si>
  <si>
    <t>LG_0.65D/0G</t>
  </si>
  <si>
    <t>LS_0.65D/0.1G</t>
  </si>
  <si>
    <t>0.1V</t>
  </si>
  <si>
    <t>LS_0.65D/0.2G</t>
  </si>
  <si>
    <t>0.2V</t>
  </si>
  <si>
    <t>LS_0.65D/-0.1G</t>
  </si>
  <si>
    <t>-0.1</t>
  </si>
  <si>
    <t>IG_0D/0.65G</t>
  </si>
  <si>
    <t>ISLIN4_0.65_SML</t>
  </si>
  <si>
    <t>0.85V .. 0.55V x 0.1V</t>
  </si>
  <si>
    <t>IS4_0.05D/0.65G</t>
  </si>
  <si>
    <t>IS4_0.05D/0.75G</t>
  </si>
  <si>
    <t>0.75V</t>
  </si>
  <si>
    <t>IS4_0.05D/0.85G</t>
  </si>
  <si>
    <t>0.85V</t>
  </si>
  <si>
    <t>IS4_0.05D/0.55G</t>
  </si>
  <si>
    <t>0.55V</t>
  </si>
  <si>
    <t>ISSAT4_0.65_SML</t>
  </si>
  <si>
    <t>IS4_0.65D/0.65G</t>
  </si>
  <si>
    <t>IS4_0.65D/0.75G</t>
  </si>
  <si>
    <t>IS4_0.65D/0.85G</t>
  </si>
  <si>
    <t>IS4_0.65D/0.55G</t>
  </si>
  <si>
    <t>ISLO4_0.65_SML</t>
  </si>
  <si>
    <t>0.6V .. 0.3V x 0.1V</t>
  </si>
  <si>
    <t>IS4_0.65D/0.4G</t>
  </si>
  <si>
    <t>0.4V</t>
  </si>
  <si>
    <t>IS4_0.65D/0.5G</t>
  </si>
  <si>
    <t>0.5V</t>
  </si>
  <si>
    <t>IS4_0.65D/0.6G</t>
  </si>
  <si>
    <t>0.6V</t>
  </si>
  <si>
    <t>IS4_0.65D/0.3G</t>
  </si>
  <si>
    <t>ISHI4_0.65_SML</t>
  </si>
  <si>
    <t>IS4_0.4D/0.65G</t>
  </si>
  <si>
    <t>IS4_0.4D/0.75G</t>
  </si>
  <si>
    <t>IS4_0.4D/0.85G</t>
  </si>
  <si>
    <t>IS4_0.4D/0.55G</t>
  </si>
  <si>
    <t>ISEFF4_0.65</t>
  </si>
  <si>
    <t>uCalc</t>
  </si>
  <si>
    <t>ISEFF4_0.65/0.1G</t>
  </si>
  <si>
    <t>ISEFF4_0.65/0.2G</t>
  </si>
  <si>
    <t>ISEFF4_0.65/-0.1G</t>
  </si>
  <si>
    <t>IVT_0.65_SML</t>
  </si>
  <si>
    <t>IS4_0.05D/VTGM</t>
  </si>
  <si>
    <t>VTGM4_0.65D</t>
  </si>
  <si>
    <t>vgatid_sml</t>
  </si>
  <si>
    <t>0.65V .. -0.4 x 0.01</t>
  </si>
  <si>
    <t>VTCC4_0.05D/1E-8</t>
  </si>
  <si>
    <t>1V .. -0.4V x 0.01V</t>
  </si>
  <si>
    <t>VTCC4_0.05D/1E-7</t>
  </si>
  <si>
    <t>ID4_SS_0.05D/1E-8</t>
  </si>
  <si>
    <t>IG2_SS_0.05D/1E-8</t>
  </si>
  <si>
    <t>ID4_VTCC_0.05D/1E-8_2_M</t>
  </si>
  <si>
    <t>VTCC4_0.05D/1E-8 + 0.025V</t>
  </si>
  <si>
    <t>ID4_VTCC_0.05D/1E-8_3_M</t>
  </si>
  <si>
    <t>VTCC4_0.05D/1E-8 + 0.05V</t>
  </si>
  <si>
    <t>ID4_VTCC_0.05D/1E-8_4_M</t>
  </si>
  <si>
    <t>VTCC4_0.05D/1E-8 - 0.025V</t>
  </si>
  <si>
    <t>ID4_VTCC_0.05D/1E-8_5_M</t>
  </si>
  <si>
    <t>VTCC4_0.05D/1E-8 - 0.05V</t>
  </si>
  <si>
    <t>VTCC4_0.65D/1E-8</t>
  </si>
  <si>
    <t>1 .. -0.4 x 0.01</t>
  </si>
  <si>
    <t>VTCC4_0.65D/1E-7</t>
  </si>
  <si>
    <t>ID4_SS_0.65D/1E-8</t>
  </si>
  <si>
    <t>IS4_SS_0.65D/1E-8</t>
  </si>
  <si>
    <t>ID4_VTCC_0.65D/1E-8_2_M</t>
  </si>
  <si>
    <t>VTCC4_0.65D/1E-8 + 0.025</t>
  </si>
  <si>
    <t>ID4_VTCC_0.65D/1E-8_3_M</t>
  </si>
  <si>
    <t>VTCC4_0.65D/1E-8 + 0.05</t>
  </si>
  <si>
    <t>ID4_VTCC_0.65D/1E-8_4_M</t>
  </si>
  <si>
    <t>VTCC4_0.65D/1E-8 - 0.025</t>
  </si>
  <si>
    <t>ID4_VTCC_0.65D/1E-8_5_M</t>
  </si>
  <si>
    <t>VTCC4_0.65D/1E-8 - 0.05</t>
  </si>
  <si>
    <t>SS4_0.65D/1E-8</t>
  </si>
  <si>
    <t>DBL4_0.65D</t>
  </si>
  <si>
    <t>DBLCC4_1E-8_0.65D</t>
  </si>
  <si>
    <t>DBLCC4_1E-7_0.65D</t>
  </si>
  <si>
    <t>LS_0.65D/VTGM-0.6G</t>
  </si>
  <si>
    <t>VTGM4_0.05D - 0.6</t>
  </si>
  <si>
    <t>ID_0.05D_VTGM_SML</t>
  </si>
  <si>
    <t>(VTGM4_0.05D + 0.65V) .. (VTGM4_0.05D + 0.15V) x 0.1V</t>
  </si>
  <si>
    <t>IS4_0.05D/VTGM+0.15G</t>
  </si>
  <si>
    <t>VTGM4_0.05D + 0.15V</t>
  </si>
  <si>
    <t>IS4_0.05D/VTGM+0.3G</t>
  </si>
  <si>
    <t>VTGM4_0.05D + 0.3V</t>
  </si>
  <si>
    <t>IS4_0.05D/VTGM+0.65G</t>
  </si>
  <si>
    <t>VTGM4_0.05D + 0.65V</t>
  </si>
  <si>
    <t>ID_0.65D_VTGM_SML</t>
  </si>
  <si>
    <t>(VTGM4_0.05D + 0.65) .. (VTGM4_0.05D + 0.15) x 0.1</t>
  </si>
  <si>
    <t>IS4_0.65D/VTGM+0.15G</t>
  </si>
  <si>
    <t>VTGM4_0.05D + 0.15</t>
  </si>
  <si>
    <t>IS4_0.65D/VTGM+0.3G</t>
  </si>
  <si>
    <t>VTGM4_0.05D + 0.3</t>
  </si>
  <si>
    <t>IS4_0.65D/VTGM+0.65G</t>
  </si>
  <si>
    <t>ID_0.05D_VTCC_0.05D_SML_1</t>
  </si>
  <si>
    <t>(VTCC4_0.05D/1E-7 + 0.3V) .. (VTCC4_0.05D/1E-7 + 0.15V) x 0.15V</t>
  </si>
  <si>
    <t>ID_0.05D_VTCC_0.05D_SML_2</t>
  </si>
  <si>
    <t>(VTCC4_0.05D/1E-7 + 1.1V) .. (VTCC4_0.05D/1E-7 + 0.65V) x 0.05V</t>
  </si>
  <si>
    <t>IS4_0.05D/VTCC_0.05D+0.15G</t>
  </si>
  <si>
    <t>VTCC4_0.05D/1E-7 + 0.15V</t>
  </si>
  <si>
    <t>IS4_0.05D/VTCC_0.05D+0.3G</t>
  </si>
  <si>
    <t>VTCC4_0.05D/1E-7 + 0.3V</t>
  </si>
  <si>
    <t>IS4_0.05D/VTCC_0.05D+0.65G</t>
  </si>
  <si>
    <t>VTCC4_0.05D/1E-7 + 0.65V</t>
  </si>
  <si>
    <t>IS4_0.05D/VTCC_0.05D+0.85G</t>
  </si>
  <si>
    <t>VTCC4_0.05D/1E-7 + 0.85V</t>
  </si>
  <si>
    <t>IS4_0.05D/VTCC_0.05D+0.90G</t>
  </si>
  <si>
    <t>VTCC4_0.05D/1E-7 + 0.9V</t>
  </si>
  <si>
    <t>IS4_0.05D/VTCC_0.05D+0.95G</t>
  </si>
  <si>
    <t>VTCC4_0.05D/1E-7 + 0.95V</t>
  </si>
  <si>
    <t>IS4_0.05D/VTCC_0.05D+1.0G</t>
  </si>
  <si>
    <t>VTCC4_0.05D/1E-7 + 1V</t>
  </si>
  <si>
    <t>IS4_0.05D/VTCC_0.05D+1.05G</t>
  </si>
  <si>
    <t>VTCC4_0.05D/1E-7 + 1.05V</t>
  </si>
  <si>
    <t>IS4_0.05D/VTCC_0.05D+1.1G</t>
  </si>
  <si>
    <t>VTCC4_0.05D/1E-7 + 1.1V</t>
  </si>
  <si>
    <t>ID_0.05D_VTCC_0.65D_SML_1</t>
  </si>
  <si>
    <t>(VTCC4_0.65D/1E-7 + 0.3V) .. (VTCC4_0.65D/1E-7 + 0.15V) x 0.15V</t>
  </si>
  <si>
    <t>ID_0.05D_VTCC_0.65D_SML_2</t>
  </si>
  <si>
    <t>(VTCC4_0.65D/1E-7 + 0.85) .. (VTCC4_0.65D/1E-7 + 0.65) x 0.2</t>
  </si>
  <si>
    <t>IS4_0.05D/VTCC_0.65D+0.15G</t>
  </si>
  <si>
    <t>VTCC4_0.65D/1E-7 + 0.15V</t>
  </si>
  <si>
    <t>IS4_0.05D/VTCC_0.65D+0.3G</t>
  </si>
  <si>
    <t>VTCC4_0.65D/1E-7 + 0.3V</t>
  </si>
  <si>
    <t>IS4_0.05D/VTCC_0.65D+0.65G</t>
  </si>
  <si>
    <t>VTCC4_0.65D/1E-7 + 0.65</t>
  </si>
  <si>
    <t>IS4_0.05D/VTCC_0.65D+0.85G</t>
  </si>
  <si>
    <t>VTCC4_0.65D/1E-7 + 0.85</t>
  </si>
  <si>
    <t>ID_0.65D_VTCC_0.65D_SML_1</t>
  </si>
  <si>
    <t>(VTCC4_0.65D/1E-7 + 0.3) .. (VTCC4_0.65D/1E-7 + 0.15) x 0.15</t>
  </si>
  <si>
    <t>ID_0.65D_VTCC_0.65D_SML_2</t>
  </si>
  <si>
    <t>IS4_0.65D/VTCC_0.65D+0.15G</t>
  </si>
  <si>
    <t>VTCC4_0.65D/1E-7 + 0.15</t>
  </si>
  <si>
    <t>IS4_0.65D/VTCC_0.65D+0.3G</t>
  </si>
  <si>
    <t>VTCC4_0.65D/1E-7 + 0.3</t>
  </si>
  <si>
    <t>IS4_0.65D/VTCC_0.65D+0.65G</t>
  </si>
  <si>
    <t>ID_1.1D_VTCC_0.65D_SML_1</t>
  </si>
  <si>
    <t>ID_1.1D_VTCC_0.65D_SML_2</t>
  </si>
  <si>
    <t>IS4_1.1D/VTCC_0.65D+0.15G</t>
  </si>
  <si>
    <t>IS4_1.1D/VTCC_0.65D+0.3G</t>
  </si>
  <si>
    <t>IS4_1.1D/VTCC_0.65D+0.65G</t>
  </si>
  <si>
    <t>KEY_LOGIC_X_0.65V</t>
  </si>
  <si>
    <t>REXTBETA_0.65_SML</t>
  </si>
  <si>
    <t>(VTGM4_0.05D + 0.8V) .. (VTGM4_0.05D + 0.2V) X 0.02V</t>
  </si>
  <si>
    <t>REXTB4_0.05D</t>
  </si>
  <si>
    <t>rext_sml</t>
  </si>
  <si>
    <t>BETA4_0.05D</t>
  </si>
  <si>
    <t>VTB4_0.05D</t>
  </si>
  <si>
    <t>KEY_GM_RO_VTGM</t>
  </si>
  <si>
    <t>SML_SWEEPGM1</t>
  </si>
  <si>
    <t>(VTGM4_0.05D + 0.25) .. (VTGM4_0.05D + 0.05) x 0.05</t>
  </si>
  <si>
    <t>SML_SWEEPGM2</t>
  </si>
  <si>
    <t>SML_SWEEPGM3</t>
  </si>
  <si>
    <t>0.25V</t>
  </si>
  <si>
    <t>SML_SWEEPGM4</t>
  </si>
  <si>
    <t>SML_SWEEPGM5</t>
  </si>
  <si>
    <t>0.35V</t>
  </si>
  <si>
    <t>SML_SWEEPGM6</t>
  </si>
  <si>
    <t>SML_SWEEPGM7</t>
  </si>
  <si>
    <t>ID4_0.15D/VTGM+0.05G</t>
  </si>
  <si>
    <t>VTGM4_0.05D + 0.05</t>
  </si>
  <si>
    <t>ID4_0.15D/VTGM+0.1G</t>
  </si>
  <si>
    <t>VTGM4_0.05D + 0.1</t>
  </si>
  <si>
    <t>ID4_0.15D/VTGM+0.15G</t>
  </si>
  <si>
    <t>ID4_0.15D/VTGM+0.2G</t>
  </si>
  <si>
    <t>VTGM4_0.05D + 0.2</t>
  </si>
  <si>
    <t>ID4_0.15D/VTGM+0.25G</t>
  </si>
  <si>
    <t>VTGM4_0.05D + 0.25</t>
  </si>
  <si>
    <t>ID4_0.2D/VTGM+0.05G</t>
  </si>
  <si>
    <t>ID4_0.2D/VTGM+0.1G</t>
  </si>
  <si>
    <t>ID4_0.2D/VTGM+0.15G</t>
  </si>
  <si>
    <t>ID4_0.2D/VTGM+0.2G</t>
  </si>
  <si>
    <t>ID4_0.2D/VTGM+0.25G</t>
  </si>
  <si>
    <t>ID4_0.25D/VTGM+0.05G</t>
  </si>
  <si>
    <t>ID4_0.25D/VTGM+0.1G</t>
  </si>
  <si>
    <t>ID4_0.25D/VTGM+0.15G</t>
  </si>
  <si>
    <t>ID4_0.25D/VTGM+0.2G</t>
  </si>
  <si>
    <t>ID4_0.25D/VTGM+0.25G</t>
  </si>
  <si>
    <t>ID4_0.3D/VTGM+0.05G</t>
  </si>
  <si>
    <t>ID4_0.3D/VTGM+0.1G</t>
  </si>
  <si>
    <t>ID4_0.3D/VTGM+0.15G</t>
  </si>
  <si>
    <t>ID4_0.3D/VTGM+0.2G</t>
  </si>
  <si>
    <t>ID4_0.3D/VTGM+0.25G</t>
  </si>
  <si>
    <t>ID4_0.35D/VTGM+0.05G</t>
  </si>
  <si>
    <t>ID4_0.35D/VTGM+0.1G</t>
  </si>
  <si>
    <t>ID4_0.35D/VTGM+0.15G</t>
  </si>
  <si>
    <t>ID4_0.35D/VTGM+0.2G</t>
  </si>
  <si>
    <t>ID4_0.35D/VTGM+0.25G</t>
  </si>
  <si>
    <t>ID4_0.4D/VTGM+0.05G</t>
  </si>
  <si>
    <t>ID4_0.4D/VTGM+0.1G</t>
  </si>
  <si>
    <t>ID4_0.4D/VTGM+0.15G</t>
  </si>
  <si>
    <t>ID4_0.4D/VTGM+0.2G</t>
  </si>
  <si>
    <t>ID4_0.4D/VTGM+0.25G</t>
  </si>
  <si>
    <t>ID4_0.45D/VTGM+0.05G</t>
  </si>
  <si>
    <t>ID4_0.45D/VTGM+0.1G</t>
  </si>
  <si>
    <t>ID4_0.45D/VTGM+0.15G</t>
  </si>
  <si>
    <t>ID4_0.45D/VTGM+0.2G</t>
  </si>
  <si>
    <t>ID4_0.45D/VTGM+0.25G</t>
  </si>
  <si>
    <t>GM_0.2D/VTGM+0.1G</t>
  </si>
  <si>
    <t>RO_0.2D/VTGM+0.1G</t>
  </si>
  <si>
    <t>GM_RO_0.2D/VTGM+0.1G</t>
  </si>
  <si>
    <t>GM/ID_0.2D/VTGM+0.1G</t>
  </si>
  <si>
    <t>RO_ID_0.2D/VTGM+0.1G</t>
  </si>
  <si>
    <t>GM_0.2D/VTGM+0.15G</t>
  </si>
  <si>
    <t>RO_0.2D/VTGM+0.15G</t>
  </si>
  <si>
    <t>GM_RO_0.2D/VTGM+0.15G</t>
  </si>
  <si>
    <t>GM/ID_0.2D/VTGM+0.15G</t>
  </si>
  <si>
    <t>RO_ID_0.2D/VTGM+0.15G</t>
  </si>
  <si>
    <t>GM_0.2D/VTGM+0.2G</t>
  </si>
  <si>
    <t>RO_0.2D/VTGM+0.2G</t>
  </si>
  <si>
    <t>GM_RO_0.2D/VTGM+0.2G</t>
  </si>
  <si>
    <t>GM/ID_0.2D/VTGM+0.2G</t>
  </si>
  <si>
    <t>RO_ID_0.2D/VTGM+0.2G</t>
  </si>
  <si>
    <t>GM_0.3D/VTGM+0.1G</t>
  </si>
  <si>
    <t>RO_0.3D/VTGM+0.1G</t>
  </si>
  <si>
    <t>GM_RO_0.3D/VTGM+0.1G</t>
  </si>
  <si>
    <t>GM/ID_0.3D/VTGM+0.1G</t>
  </si>
  <si>
    <t>RO_ID_0.3D/VTGM+0.1G</t>
  </si>
  <si>
    <t>GM_0.3D/VTGM+0.15G</t>
  </si>
  <si>
    <t>RO_0.3D/VTGM+0.15G</t>
  </si>
  <si>
    <t>GM_RO_0.3D/VTGM+0.15G</t>
  </si>
  <si>
    <t>GM/ID_0.3D/VTGM+0.15G</t>
  </si>
  <si>
    <t>RO_ID_0.3D/VTGM+0.15G</t>
  </si>
  <si>
    <t>GM_0.3D/VTGM+0.2G</t>
  </si>
  <si>
    <t>RO_0.3D/VTGM+0.2G</t>
  </si>
  <si>
    <t>GM_RO_0.3D/VTGM+0.2G</t>
  </si>
  <si>
    <t>GM/ID_0.3D/VTGM+0.2G</t>
  </si>
  <si>
    <t>RO_ID_0.3D/VTGM+0.2G</t>
  </si>
  <si>
    <t>GM_0.4D/VTGM+0.1G</t>
  </si>
  <si>
    <t>RO_0.4D/VTGM+0.1G</t>
  </si>
  <si>
    <t>GM_RO_0.4D/VTGM+0.1G</t>
  </si>
  <si>
    <t>GM/ID_0.4D/VTGM+0.1G</t>
  </si>
  <si>
    <t>RO_ID_0.4D/VTGM+0.1G</t>
  </si>
  <si>
    <t>GM_0.4D/VTGM+0.15G</t>
  </si>
  <si>
    <t>RO_0.4D/VTGM+0.15G</t>
  </si>
  <si>
    <t>GM_RO_0.4D/VTGM+0.15G</t>
  </si>
  <si>
    <t>GM/ID_0.4D/VTGM+0.15G</t>
  </si>
  <si>
    <t>RO_ID_0.4D/VTGM+0.15G</t>
  </si>
  <si>
    <t>GM_0.4D/VTGM+0.2G</t>
  </si>
  <si>
    <t>RO_0.4D/VTGM+0.2G</t>
  </si>
  <si>
    <t>GM_RO_0.4D/VTGM+0.2G</t>
  </si>
  <si>
    <t>GM/ID_0.4D/VTGM+0.2G</t>
  </si>
  <si>
    <t>RO_ID_0.4D/VTGM+0.2G</t>
  </si>
  <si>
    <t>ID4_0.05_SML1</t>
  </si>
  <si>
    <t>ID4_0.05D/0.85G</t>
  </si>
  <si>
    <t>ID4_0.85_SML1</t>
  </si>
  <si>
    <t>ID4_0.85D/0.85G</t>
  </si>
  <si>
    <t>LD_0.85D/0G</t>
  </si>
  <si>
    <t>VG_0.65D/0.22NA</t>
  </si>
  <si>
    <t>0.65 .. -0.4 x 0.01</t>
  </si>
  <si>
    <t>ISLIN4_0.65_NA_SML</t>
  </si>
  <si>
    <t>VG_0.65D/0.22NA + 0.65V</t>
  </si>
  <si>
    <t>IS4_0.05D/0.22NA+0.65G</t>
  </si>
  <si>
    <t>ISLO4_0.65_NA_SML</t>
  </si>
  <si>
    <t>VG_0.65D/0.22NA + 0.4</t>
  </si>
  <si>
    <t>IS4_0.65D/0.22NA+0.4G</t>
  </si>
  <si>
    <t>ISHI4_0.65_NA_SML</t>
  </si>
  <si>
    <t>VG_0.65D/0.22NA + 0.65</t>
  </si>
  <si>
    <t>IS4_0.4D/0.22NA+0.65G</t>
  </si>
  <si>
    <t>ISEFF4_0.65/0.22NA</t>
  </si>
  <si>
    <t>ISSAT4_0.65_NA_SML</t>
  </si>
  <si>
    <t>IS4_0.65D/0.22NA+0.65G</t>
  </si>
  <si>
    <t>VTCC_0.65/0.22NA</t>
  </si>
  <si>
    <t>LD_1.1D/0G</t>
  </si>
  <si>
    <t>LS_1.1D/0G</t>
  </si>
  <si>
    <t>LG_1.1D/0G</t>
  </si>
  <si>
    <t>LS_1.1D/-0.1G</t>
  </si>
  <si>
    <t>IG_0D/1.1G</t>
  </si>
  <si>
    <t>ISLIN4_1.1_SML</t>
  </si>
  <si>
    <t>1.1V .. 1.0V x 0.1V</t>
  </si>
  <si>
    <t>IS4_0.05D/1.0G</t>
  </si>
  <si>
    <t>1V</t>
  </si>
  <si>
    <t>ISSAT4_1.1_SML</t>
  </si>
  <si>
    <t>1.1 .. 1.0 x 0.1</t>
  </si>
  <si>
    <t>IS4_1.1D/1.1G</t>
  </si>
  <si>
    <t>IS4_1.1D/1.0G</t>
  </si>
  <si>
    <t>ISLO4_1.1_SML</t>
  </si>
  <si>
    <t>0.65 .. 0.55 x 0.1</t>
  </si>
  <si>
    <t>IS4_1.1D/0.65G</t>
  </si>
  <si>
    <t>IS4_1.1D/0.55G</t>
  </si>
  <si>
    <t>ISHI4_1.1_SML</t>
  </si>
  <si>
    <t>IS4_0.65D/1.1G</t>
  </si>
  <si>
    <t>IS4_0.65D/1.0G</t>
  </si>
  <si>
    <t>ISEFF4_1.1</t>
  </si>
  <si>
    <t>ISEFF4_1.1/-0.1G</t>
  </si>
  <si>
    <t>SS4_1.1_SML</t>
  </si>
  <si>
    <t>VTGM4_1.1D</t>
  </si>
  <si>
    <t>VTCC4_1.1D/1E-8</t>
  </si>
  <si>
    <t>VTCC4_1.1D/1E-7</t>
  </si>
  <si>
    <t>DBL4_1.1D</t>
  </si>
  <si>
    <t>DBLCC4_1E-8_1.1D</t>
  </si>
  <si>
    <t>DBLCC4_1E-7_1.1D</t>
  </si>
  <si>
    <t>ID_1.1D_VTCC_1.1D_SML_1</t>
  </si>
  <si>
    <t>(VTCC4_1.1D/1E-7 + 0.3) .. (VTCC4_1.1D/1E-7 + 0.15) x 0.15</t>
  </si>
  <si>
    <t>ID_1.1D_VTCC_1.1D_SML_2</t>
  </si>
  <si>
    <t>(VTCC4_1.1D/1E-7 + 0.85) .. (VTCC4_1.1D/1E-7 + 0.65) x 0.2</t>
  </si>
  <si>
    <t>IS4_1.1D/VTCC_1.1D+0.15G</t>
  </si>
  <si>
    <t>VTCC4_1.1D/1E-7 + 0.15</t>
  </si>
  <si>
    <t>IS4_1.1D/VTCC_1.1D+0.3G</t>
  </si>
  <si>
    <t>VTCC4_1.1D/1E-7 + 0.3</t>
  </si>
  <si>
    <t>IS4_1.1D/VTCC_1.1D+0.65G</t>
  </si>
  <si>
    <t>VTCC4_1.1D/1E-7 + 0.65</t>
  </si>
  <si>
    <t>IS4_1.1D/VTCC_1.1D+0.85G</t>
  </si>
  <si>
    <t>VTCC4_1.1D/1E-7 + 0.85</t>
  </si>
  <si>
    <t>SS4_1.1D</t>
  </si>
  <si>
    <t>VG_SS_1.1D</t>
  </si>
  <si>
    <t>IS4_SS_1.1D</t>
  </si>
  <si>
    <t>ISLIN4_1.1_NA_SML</t>
  </si>
  <si>
    <t>VG_0.65D/0.22NA + 1.1V</t>
  </si>
  <si>
    <t>IS4_0.05D/0.22NA+1.1G</t>
  </si>
  <si>
    <t>ISLO4_1.1_NA_SML</t>
  </si>
  <si>
    <t>IS4_1.1D/0.22NA+0.65G</t>
  </si>
  <si>
    <t>ISHI4_1.1_NA_SML</t>
  </si>
  <si>
    <t>VG_0.65D/0.22NA + 1.1</t>
  </si>
  <si>
    <t>IS4_0.65D/0.22NA+1.1G</t>
  </si>
  <si>
    <t>ISEFF4_1.1/0.22NA</t>
  </si>
  <si>
    <t>ISSAT4_1.1_NA_SML</t>
  </si>
  <si>
    <t>IS4_1.1D/0.22NA+1.1G</t>
  </si>
  <si>
    <t>KEY_LOGIC_1.1V_TRIM</t>
  </si>
  <si>
    <t>VTGMSAT4_1.1_SML</t>
  </si>
  <si>
    <t>VTGM4_0.05D .. 0 x 0.05</t>
  </si>
  <si>
    <t>IG2_SS_0.05D</t>
  </si>
  <si>
    <t>GM4</t>
  </si>
  <si>
    <t>IS4_0.05D/GM</t>
  </si>
  <si>
    <t>VTGMSAT4_0.65_SML</t>
  </si>
  <si>
    <t>~7</t>
  </si>
  <si>
    <t>IG2_SS_0.65D/1E-8</t>
  </si>
  <si>
    <t>VTB_0.05_SML</t>
  </si>
  <si>
    <t>VTB4_0.05D + 0.4 .. VTB4_0.05D x 0.05</t>
  </si>
  <si>
    <t>IS4_0.05D/VTB</t>
  </si>
  <si>
    <t>VTB</t>
  </si>
  <si>
    <t>IS4_0.05D/VTB+0.05</t>
  </si>
  <si>
    <t>VTB + 0.05V</t>
  </si>
  <si>
    <t>IS4_0.05D/VTB+0.1</t>
  </si>
  <si>
    <t>VTB + 0.1V</t>
  </si>
  <si>
    <t>IS4_0.05D/VTB+0.15</t>
  </si>
  <si>
    <t>VTB + 0.15V</t>
  </si>
  <si>
    <t>IS4_0.05D/VTB+0.2</t>
  </si>
  <si>
    <t>VTB + 0.2V</t>
  </si>
  <si>
    <t>IS4_0.05D/VTB+0.25</t>
  </si>
  <si>
    <t>VTB + 0.25V</t>
  </si>
  <si>
    <t>IS4_0.05D/VTB+0.3</t>
  </si>
  <si>
    <t>VTB + 0.3V</t>
  </si>
  <si>
    <t>IS4_0.05D/VTB+0.35</t>
  </si>
  <si>
    <t>VTB + 0.35V</t>
  </si>
  <si>
    <t>IS4_0.05D/VTB+0.4</t>
  </si>
  <si>
    <t>VTB + 0.4V</t>
  </si>
  <si>
    <t>LS_1.1D/0.1G</t>
  </si>
  <si>
    <t>LS_1.1D/0.2G</t>
  </si>
  <si>
    <t>1.3V .. 1.0V x 0.1V</t>
  </si>
  <si>
    <t>IS4_0.05D/1.2G</t>
  </si>
  <si>
    <t>1.2V</t>
  </si>
  <si>
    <t>IS4_0.05D/1.3G</t>
  </si>
  <si>
    <t>1.3V</t>
  </si>
  <si>
    <t>1.3 .. 1.0 x 0.1</t>
  </si>
  <si>
    <t>IS4_1.1D/1.2G</t>
  </si>
  <si>
    <t>IS4_1.1D/1.3G</t>
  </si>
  <si>
    <t>0.85 .. 0.55 x 0.1</t>
  </si>
  <si>
    <t>IS4_1.1D/0.75G</t>
  </si>
  <si>
    <t>IS4_1.1D/0.85G</t>
  </si>
  <si>
    <t>IS4_0.65D/1.2G</t>
  </si>
  <si>
    <t>IS4_0.65D/1.3G</t>
  </si>
  <si>
    <t>ISEFF4_1.1/0.1G</t>
  </si>
  <si>
    <t>ISEFF4_1.1/0.2G</t>
  </si>
  <si>
    <t>DEVICE_A</t>
  </si>
  <si>
    <t>DEVICE_B</t>
  </si>
  <si>
    <t>SF</t>
  </si>
  <si>
    <t>SS</t>
  </si>
  <si>
    <t>GATE2</t>
  </si>
  <si>
    <t>DF2</t>
  </si>
  <si>
    <t>DS2</t>
  </si>
  <si>
    <t>SF2</t>
  </si>
  <si>
    <t>SS2</t>
  </si>
  <si>
    <t>MAT10P_LOGIC_SUITE</t>
  </si>
  <si>
    <t>MAT10P_LOGIC_TOPEX</t>
  </si>
  <si>
    <t>0V .. 1V x 0.05V</t>
  </si>
  <si>
    <t>0V .. 1V x 0.1V</t>
  </si>
  <si>
    <t>MAT10P_LOGIC_DEFECT</t>
  </si>
  <si>
    <t>MAT10P_LOGIC_WORKING</t>
  </si>
  <si>
    <t>idatvg</t>
  </si>
  <si>
    <t>ID4_0.05D/1.1G</t>
  </si>
  <si>
    <t>ID2_0D/1.1G</t>
  </si>
  <si>
    <t>0.65V .. -0.4V x 0.1V</t>
  </si>
  <si>
    <t>MAT10P_LOGIC_PERFORMANCE</t>
  </si>
  <si>
    <t>0.65V .. -0.1V x 0.05V</t>
  </si>
  <si>
    <t>ID4_0.05D/GM</t>
  </si>
  <si>
    <t>ID4_0.05D/VT+0.65G</t>
  </si>
  <si>
    <t>ID4_SS_0.65D</t>
  </si>
  <si>
    <t>MAT10P_LOGIC_0.65V</t>
  </si>
  <si>
    <t>LD_0.65D/0.1G</t>
  </si>
  <si>
    <t>LD_0.65D/0.2G</t>
  </si>
  <si>
    <t>-0.1V</t>
  </si>
  <si>
    <t>LD_0.65D/-0.1G</t>
  </si>
  <si>
    <t>ID4_0.05D/0.65G</t>
  </si>
  <si>
    <t>ID4_0.05D/0.75G</t>
  </si>
  <si>
    <t>ID4_0.05D/0.55G</t>
  </si>
  <si>
    <t>ID4_0.65D/0.65G</t>
  </si>
  <si>
    <t>ID4_0.65D/0.75G</t>
  </si>
  <si>
    <t>ID4_0.65D/0.85G</t>
  </si>
  <si>
    <t>ID4_0.65D/0.55G</t>
  </si>
  <si>
    <t>ID4_0.65D/0.4G</t>
  </si>
  <si>
    <t>ID4_0.65D/0.5G</t>
  </si>
  <si>
    <t>ID4_0.65D/0.6G</t>
  </si>
  <si>
    <t>ID4_0.65D/0.3G</t>
  </si>
  <si>
    <t>ID4_0.4D/0.65G</t>
  </si>
  <si>
    <t>ID4_0.4D/0.75G</t>
  </si>
  <si>
    <t>ID4_0.4D/0.85G</t>
  </si>
  <si>
    <t>ID4_0.4D/0.55G</t>
  </si>
  <si>
    <t>IDEFF4_0.65</t>
  </si>
  <si>
    <t>IDEFF4_0.65/0.1G</t>
  </si>
  <si>
    <t>IDEFF4_0.65/0.2G</t>
  </si>
  <si>
    <t>IDEFF4_0.65/-0.1G</t>
  </si>
  <si>
    <t>ID4_0.05D/VTGM</t>
  </si>
  <si>
    <t>VTGM4_0.05D .. 0V x 0.05V</t>
  </si>
  <si>
    <t>VTCC4_0.05D/1E-8_S</t>
  </si>
  <si>
    <t>VTCC4_0.05D/1E-7_S</t>
  </si>
  <si>
    <t>VTGM4_0.05D - 0.6V</t>
  </si>
  <si>
    <t>VTGM4_0.05D + 0.65V .. VTGM4_0.05D + 0.15V x 0.1V</t>
  </si>
  <si>
    <t>ID4_0.05D/VTGM+0.15G</t>
  </si>
  <si>
    <t>ID4_0.05D/VTGM+0.3G</t>
  </si>
  <si>
    <t>ID4_0.05D/VTGM+0.65G</t>
  </si>
  <si>
    <t>ID4_0.65D/VTGM+0.15G</t>
  </si>
  <si>
    <t>ID4_0.65D/VTGM+0.3G</t>
  </si>
  <si>
    <t>ID4_0.65D/VTGM+0.65G</t>
  </si>
  <si>
    <t>VTCC4_0.05D + 0.3V .. VTCC4_0.05D + 0.15V x 0.15V</t>
  </si>
  <si>
    <t>VTCC4_0.05D + 0.85V .. VTCC4_0.05D + 0.65V x 0.2V</t>
  </si>
  <si>
    <t>VTCC4_0.05D + 0.15V</t>
  </si>
  <si>
    <t>ID4_0.05D/VTCC_0.05D+0.15G</t>
  </si>
  <si>
    <t>VTCC4_0.05D + 0.3V</t>
  </si>
  <si>
    <t>ID4_0.05D/VTCC_0.05D+0.3G</t>
  </si>
  <si>
    <t>VTCC4_0.05D + 0.65V</t>
  </si>
  <si>
    <t>ID4_0.05D/VTCC_0.05D+0.65G</t>
  </si>
  <si>
    <t>VTCC4_0.05D + 0.85V</t>
  </si>
  <si>
    <t>ID4_0.05D/VTCC_0.05D+0.85G</t>
  </si>
  <si>
    <t>VTCC4_0.65D + 0.3V .. VTCC4_0.65D + 0.15V x 0.15V</t>
  </si>
  <si>
    <t>VTCC4_0.65D + 0.85V .. VTCC4_0.65D + 0.65V x 0.2V</t>
  </si>
  <si>
    <t>VTCC4_0.65D + 0.15V</t>
  </si>
  <si>
    <t>ID4_0.05D/VTCC_0.65D+0.15G</t>
  </si>
  <si>
    <t>VTCC4_0.65D + 0.3V</t>
  </si>
  <si>
    <t>ID4_0.05D/VTCC_0.65D+0.3G</t>
  </si>
  <si>
    <t>VTCC4_0.65D + 0.65V</t>
  </si>
  <si>
    <t>ID4_0.05D/VTCC_0.65D+0.65G</t>
  </si>
  <si>
    <t>VTCC4_0.65D + 0.85V</t>
  </si>
  <si>
    <t>ID4_0.05D/VTCC_0.65D+0.85G</t>
  </si>
  <si>
    <t>ID4_0.65D/VTCC_0.65D+0.15G</t>
  </si>
  <si>
    <t>ID4_0.65D/VTCC_0.65D+0.3G</t>
  </si>
  <si>
    <t>ID4_0.65D/VTCC_0.65D+0.65G</t>
  </si>
  <si>
    <t>ID_1.1D_VTCC_0.65D_1</t>
  </si>
  <si>
    <t>ID_1.1D_VTCC_0.65D_2</t>
  </si>
  <si>
    <t>ID4_1.1D/VTCC_0.65D+0.15G</t>
  </si>
  <si>
    <t>ID4_1.1D/VTCC_0.65D+0.3G</t>
  </si>
  <si>
    <t>ID4_1.1D/VTCC_0.65D+0.65G</t>
  </si>
  <si>
    <t>DELTA_VTGM4_0.05D</t>
  </si>
  <si>
    <t>DELTA_ID4_0.05D/0.65G</t>
  </si>
  <si>
    <t>DELTA_IS4_0.05D/0.65G</t>
  </si>
  <si>
    <t>DELTA_ID4_0.65D/0.65G</t>
  </si>
  <si>
    <t>DELTA_IS4_0.65D/0.65G</t>
  </si>
  <si>
    <t>DELTA_LOG_LD_0.65D/0G</t>
  </si>
  <si>
    <t>DELTA_LOG_LS_0.65D/0G</t>
  </si>
  <si>
    <t>MAT10P_LOGIC_X_0.65V</t>
  </si>
  <si>
    <t>(VTGM4_0.05D + 0.8V) .. (VTGM4_0.05D + 0.2V) x 0.2V</t>
  </si>
  <si>
    <t>(VTB4_0.05D + 0.4V) .. (VTB4_0.05D) x 0.05V</t>
  </si>
  <si>
    <t>ID4_0.05D/VTB</t>
  </si>
  <si>
    <t>ID4_0.05D/VTB+0.05</t>
  </si>
  <si>
    <t>VTB4_0.05D + 0.05V</t>
  </si>
  <si>
    <t>ID4_0.05D/VTB+0.1</t>
  </si>
  <si>
    <t>VTB4_0.05D + 0.1V</t>
  </si>
  <si>
    <t>ID4_0.05D/VTB+0.15</t>
  </si>
  <si>
    <t>VTB4_0.05D + 0.15V</t>
  </si>
  <si>
    <t>ID4_0.05D/VTB+0.2</t>
  </si>
  <si>
    <t>VTB4_0.05D + 0.2V</t>
  </si>
  <si>
    <t>ID4_0.05D/VTB+0.25</t>
  </si>
  <si>
    <t>VTB4_0.05D + 0.25V</t>
  </si>
  <si>
    <t>ID4_0.05D/VTB+0.3</t>
  </si>
  <si>
    <t>VTB4_0.05D + 0.3V</t>
  </si>
  <si>
    <t>ID4_0.05D/VTB+0.35</t>
  </si>
  <si>
    <t>VTB4_0.05D + 0.35V</t>
  </si>
  <si>
    <t>ID4_0.05D/VTB+0.4</t>
  </si>
  <si>
    <t>VTB4_0.05D + 0.4V</t>
  </si>
  <si>
    <t>MAT10P_LOGIC_1.1V</t>
  </si>
  <si>
    <t>LB_1.1D/0G</t>
  </si>
  <si>
    <t>LD_1.1D/0.1G</t>
  </si>
  <si>
    <t>LD_1.1D/0.2G</t>
  </si>
  <si>
    <t>LD_1.1D/-0.1G</t>
  </si>
  <si>
    <t>1.3V .. 1.1V x 0.1V</t>
  </si>
  <si>
    <t>ID4_0.05D/1.2G</t>
  </si>
  <si>
    <t>ID4_0.05D/1.3G</t>
  </si>
  <si>
    <t>1.0V</t>
  </si>
  <si>
    <t>ID4_0.05D/1.0G</t>
  </si>
  <si>
    <t>ID4_1.1D/1.1G</t>
  </si>
  <si>
    <t>ID4_1.1D/1.2G</t>
  </si>
  <si>
    <t>ID4_1.1D/1.3G</t>
  </si>
  <si>
    <t>ID4_1.1D/1.0G</t>
  </si>
  <si>
    <t>ID4_1.1D/0.65G</t>
  </si>
  <si>
    <t>ID4_1.1D/0.75G</t>
  </si>
  <si>
    <t>ID4_1.1D/0.85G</t>
  </si>
  <si>
    <t>ID4_1.1D/0.55G</t>
  </si>
  <si>
    <t>ID4_0.65D/1.1G</t>
  </si>
  <si>
    <t>ID4_0.65D/1.2G</t>
  </si>
  <si>
    <t>ID4_0.65D/1.3G</t>
  </si>
  <si>
    <t>ID4_0.65D/1.0G</t>
  </si>
  <si>
    <t>IDEFF4_1.1</t>
  </si>
  <si>
    <t>IDEFF4_1.1/0.1G</t>
  </si>
  <si>
    <t>IDEFF4_1.1/0.2G</t>
  </si>
  <si>
    <t>IDEFF4_1.1/-0.1G</t>
  </si>
  <si>
    <t>(VTGM4_0.05D) .. 0V x 0.05V</t>
  </si>
  <si>
    <t>VTCC4_1.1D/1E-8_S</t>
  </si>
  <si>
    <t>VTCC4_1.1D/1E-7_S</t>
  </si>
  <si>
    <t>(VTCC4_1.1D + 0.3V) .. (VTCC4_1.1D + 0.15V) x 0.15V</t>
  </si>
  <si>
    <t>(VTCC4_1.1D + 0.85V) .. (VTCC4_1.1D + 0.65V) x 0.2V</t>
  </si>
  <si>
    <t>VTCC4_1.1D + 0.15V</t>
  </si>
  <si>
    <t>ID4_1.1D/VTCC_1.1D+0.15G</t>
  </si>
  <si>
    <t>VTCC4_1.1D + 0.3V</t>
  </si>
  <si>
    <t>ID4_1.1D/VTCC_1.1D+0.3G</t>
  </si>
  <si>
    <t>VTCC4_1.1D + 0.65V</t>
  </si>
  <si>
    <t>ID4_1.1D/VTCC_1.1D+0.65G</t>
  </si>
  <si>
    <t>VTCC4_1.1D + 0.85V</t>
  </si>
  <si>
    <t>ID4_1.1D/VTCC_1.1D+0.85G</t>
  </si>
  <si>
    <t>ID4_SS_1.1D</t>
  </si>
  <si>
    <t>MAT10P_GM_RO_VTGM</t>
  </si>
  <si>
    <t>(VTGM4_0.05D + 0.25V) .. (VTGM4_0.05D + 0.05V) x 0.05V</t>
  </si>
  <si>
    <t>VTGM4_0.05D + 0.05V</t>
  </si>
  <si>
    <t>VTGM4_0.05D + 0.1V</t>
  </si>
  <si>
    <t>VTGM4_0.05D + 0.2V</t>
  </si>
  <si>
    <t>VTGM4_0.05D + 0.25V</t>
  </si>
  <si>
    <t>DELTA_GM_0.3D/VTGM+0.2G</t>
  </si>
  <si>
    <t>DELTA_RO_0.3D/VTGM+0.2G</t>
  </si>
  <si>
    <t>MAT10P_SLIM</t>
  </si>
  <si>
    <t>IDVG_0.05D_SML</t>
  </si>
  <si>
    <t>IVT_SML</t>
  </si>
  <si>
    <t>IDVG_0.65D_SML</t>
  </si>
  <si>
    <t>IDVG_1.1D</t>
  </si>
  <si>
    <t>VG_0.65D/&lt;TARGET&gt;NA</t>
  </si>
  <si>
    <t>IDLO_0.65D</t>
  </si>
  <si>
    <t>VGNA + 0.4V</t>
  </si>
  <si>
    <t>IS4_0.65D/&lt;TARGET&gt;NA+0.4G</t>
  </si>
  <si>
    <t>IDHI_0.65D</t>
  </si>
  <si>
    <t>VGNA + 0.65V</t>
  </si>
  <si>
    <t>IS4_0.4D/&lt;TARGET&gt;NA+0.65G</t>
  </si>
  <si>
    <t>IDLO_1.1D</t>
  </si>
  <si>
    <t>VGNA + 0.55V</t>
  </si>
  <si>
    <t>IS4_1.1D/&lt;TARGET&gt;NA+0.55G</t>
  </si>
  <si>
    <t>IDHI_1.1D</t>
  </si>
  <si>
    <t>VGNA + 1.1V</t>
  </si>
  <si>
    <t>IS4_0.55D/&lt;TARGET&gt;NA+1.1G</t>
  </si>
  <si>
    <r>
      <t xml:space="preserve">G / </t>
    </r>
    <r>
      <rPr>
        <b/>
        <sz val="11"/>
        <color rgb="FFFF0000"/>
        <rFont val="Calibri"/>
        <family val="2"/>
        <scheme val="minor"/>
      </rPr>
      <t>GATE1</t>
    </r>
  </si>
  <si>
    <r>
      <t xml:space="preserve">DF / </t>
    </r>
    <r>
      <rPr>
        <b/>
        <sz val="11"/>
        <color rgb="FFFF0000"/>
        <rFont val="Calibri"/>
        <family val="2"/>
        <scheme val="minor"/>
      </rPr>
      <t>DF1</t>
    </r>
  </si>
  <si>
    <r>
      <t xml:space="preserve">DS / </t>
    </r>
    <r>
      <rPr>
        <b/>
        <sz val="11"/>
        <color rgb="FFFF0000"/>
        <rFont val="Calibri"/>
        <family val="2"/>
        <scheme val="minor"/>
      </rPr>
      <t>DS1</t>
    </r>
  </si>
  <si>
    <r>
      <t xml:space="preserve">SF / SF_BS / </t>
    </r>
    <r>
      <rPr>
        <b/>
        <sz val="11"/>
        <color rgb="FFFF0000"/>
        <rFont val="Calibri"/>
        <family val="2"/>
        <scheme val="minor"/>
      </rPr>
      <t>SF1</t>
    </r>
  </si>
  <si>
    <r>
      <t xml:space="preserve">SS / SS_BS / </t>
    </r>
    <r>
      <rPr>
        <b/>
        <sz val="11"/>
        <color rgb="FFFF0000"/>
        <rFont val="Calibri"/>
        <family val="2"/>
        <scheme val="minor"/>
      </rPr>
      <t>SS1</t>
    </r>
  </si>
  <si>
    <r>
      <rPr>
        <b/>
        <sz val="11"/>
        <color rgb="FF000000"/>
        <rFont val="Calibri"/>
        <family val="2"/>
      </rPr>
      <t>G1F/G2</t>
    </r>
    <r>
      <rPr>
        <b/>
        <sz val="11"/>
        <color rgb="FFFF0000"/>
        <rFont val="Calibri"/>
        <family val="2"/>
      </rPr>
      <t>/GF</t>
    </r>
  </si>
  <si>
    <t>ROS_ALL_BIAS_OFF</t>
  </si>
  <si>
    <t>LROS_0.55R_0D</t>
  </si>
  <si>
    <t>LDIG_0.55R_0D</t>
  </si>
  <si>
    <t>LVSS_0.55R_0D</t>
  </si>
  <si>
    <t>LROS_0.65R_0D</t>
  </si>
  <si>
    <t>LDIG_0.65R_0D</t>
  </si>
  <si>
    <t>LVSS_0.65R_0D</t>
  </si>
  <si>
    <t>LROS_0.8R_0D</t>
  </si>
  <si>
    <t>LDIG_0.8R_0D</t>
  </si>
  <si>
    <t>LVSS_0.8R_0D</t>
  </si>
  <si>
    <t>LROS_0.95R_0D</t>
  </si>
  <si>
    <t>LDIG_0.95R_0D</t>
  </si>
  <si>
    <t>LVSS_0.95R_0D</t>
  </si>
  <si>
    <t>LROS_1.1R_0D</t>
  </si>
  <si>
    <t>LDIG_1.1R_0D</t>
  </si>
  <si>
    <t>LVSS_1.1R_0D</t>
  </si>
  <si>
    <t>ROS_ALL_BIAS_ON</t>
  </si>
  <si>
    <t>FROS_0.55R_0.55D</t>
  </si>
  <si>
    <t>IROS_0.55R_0.55D</t>
  </si>
  <si>
    <t>IDIG_0.55R_0.55D</t>
  </si>
  <si>
    <t>IVSS_0.55R_0.55D</t>
  </si>
  <si>
    <t>FROS_0.55R_0.65D</t>
  </si>
  <si>
    <t>IROS_0.55R_0.65D</t>
  </si>
  <si>
    <t>IDIG_0.55R_0.65D</t>
  </si>
  <si>
    <t>IVSS_0.55R_0.65D</t>
  </si>
  <si>
    <t>FROS_0.65R_0.65D</t>
  </si>
  <si>
    <t>IROS_0.65R_0.65D</t>
  </si>
  <si>
    <t>IDIG_0.65R_0.65D</t>
  </si>
  <si>
    <t>IVSS_0.65R_0.65D</t>
  </si>
  <si>
    <t>FROS_0.65R_0.8D</t>
  </si>
  <si>
    <t>IROS_0.65R_0.8D</t>
  </si>
  <si>
    <t>IDIG_0.65R_0.8D</t>
  </si>
  <si>
    <t>IVSS_0.65R_0.8D</t>
  </si>
  <si>
    <t>FROS_0.8R_0.8D</t>
  </si>
  <si>
    <t>IROS_0.8R_0.8D</t>
  </si>
  <si>
    <t>IDIG_0.8R_0.8D</t>
  </si>
  <si>
    <t>IVSS_0.8R_0.8D</t>
  </si>
  <si>
    <t>FROS_0.95R_0.95D</t>
  </si>
  <si>
    <t>IROS_0.95R_0.95D</t>
  </si>
  <si>
    <t>IDIG_0.95R_0.95D</t>
  </si>
  <si>
    <t>IVSS_0.95R_0.95D</t>
  </si>
  <si>
    <t>FROS_1.1R_1.1D</t>
  </si>
  <si>
    <t>IROS_1.1R_1.1D</t>
  </si>
  <si>
    <t>IDIG_1.1R_1.1D</t>
  </si>
  <si>
    <t>IVSS_1.1R_1.1D</t>
  </si>
  <si>
    <t>VCC</t>
  </si>
  <si>
    <t>BL</t>
  </si>
  <si>
    <t>WL</t>
  </si>
  <si>
    <t>BLB</t>
  </si>
  <si>
    <t>VSS</t>
  </si>
  <si>
    <t>BCLA_5PAD</t>
  </si>
  <si>
    <t>LCC_&lt;FORCE&gt;V
LBL_&lt;FORCE&gt;V
LBB_&lt;FORCE&gt;V
LSS_&lt;FORCE&gt;V</t>
  </si>
  <si>
    <t>First Terminal</t>
  </si>
  <si>
    <t>Second terminal</t>
  </si>
  <si>
    <t>Other terminal</t>
  </si>
  <si>
    <t>BCLA_CAP_5PAD</t>
  </si>
  <si>
    <t>C_BL_WL
C_BL_VCC
C_BL_VSS</t>
  </si>
  <si>
    <r>
      <t>HI/HI2/pgdLO/ogdLOK/</t>
    </r>
    <r>
      <rPr>
        <b/>
        <sz val="11"/>
        <color rgb="FFFF0000"/>
        <rFont val="Calibri"/>
        <family val="2"/>
        <scheme val="minor"/>
      </rPr>
      <t>V1top</t>
    </r>
  </si>
  <si>
    <r>
      <t>LO/LO2/ogdLO/</t>
    </r>
    <r>
      <rPr>
        <b/>
        <sz val="11"/>
        <color rgb="FFFF0000"/>
        <rFont val="Calibri"/>
        <family val="2"/>
        <scheme val="minor"/>
      </rPr>
      <t>V1bot</t>
    </r>
  </si>
  <si>
    <r>
      <t>IHI/IHI2/pgdHI/ogdHIK/</t>
    </r>
    <r>
      <rPr>
        <b/>
        <sz val="11"/>
        <color rgb="FFFF0000"/>
        <rFont val="Calibri"/>
        <family val="2"/>
        <scheme val="minor"/>
      </rPr>
      <t>I1top</t>
    </r>
  </si>
  <si>
    <r>
      <t>ILO/ILO2/ogdHI/</t>
    </r>
    <r>
      <rPr>
        <b/>
        <sz val="11"/>
        <color rgb="FFFF0000"/>
        <rFont val="Calibri"/>
        <family val="2"/>
        <scheme val="minor"/>
      </rPr>
      <t>I1bot</t>
    </r>
  </si>
  <si>
    <t>CDYN_0.55R_0.55D</t>
  </si>
  <si>
    <t>CDYN_0.55R_0.65D</t>
  </si>
  <si>
    <t>CDYN_0.65R_0.65D</t>
  </si>
  <si>
    <t>CDYN_0.65R_0.8D</t>
  </si>
  <si>
    <t>CDYN_0.8R_0.8D</t>
  </si>
  <si>
    <t>CDYN_0.95R_0.95D</t>
  </si>
  <si>
    <t>CDYN_1.1R_1.1D</t>
  </si>
  <si>
    <r>
      <t xml:space="preserve">GATE / </t>
    </r>
    <r>
      <rPr>
        <b/>
        <sz val="11"/>
        <color rgb="FFFF0000"/>
        <rFont val="Calibri"/>
        <family val="2"/>
        <scheme val="minor"/>
      </rPr>
      <t>GATE1</t>
    </r>
  </si>
  <si>
    <t>IDVG_LIN_COARSE_SML</t>
  </si>
  <si>
    <t>1.1V .. -0.4V x 0.05V</t>
  </si>
  <si>
    <t>Follow 78, M1 FECL is IS, M1+ from ID</t>
  </si>
  <si>
    <t>VTCC4_0.05D/1E-7_COARSE</t>
  </si>
  <si>
    <t>0.65V .. -0.4V x 0.05V</t>
  </si>
  <si>
    <t>VTCC_LIN_1E-7_FINE_SML</t>
  </si>
  <si>
    <t>VTCC + 0.05V .. VTCC - 0.05V x 0.01V</t>
  </si>
  <si>
    <t>VTCC4_0.05D/1E-8_COARSE</t>
  </si>
  <si>
    <t>VTCC_LIN_1E-8_FINE_SML</t>
  </si>
  <si>
    <t>ID4_0.05D/0.5G</t>
  </si>
  <si>
    <t>Moved from Key_LOGIC_0.65V</t>
  </si>
  <si>
    <t>Moved from Key_LOGIC_1.1V</t>
  </si>
  <si>
    <t>IS4_0.05D/VTCC_0.05D/1E-8_-10</t>
  </si>
  <si>
    <t>VTCC - 0.01V</t>
  </si>
  <si>
    <t>IS4_0.05D/VTCC_0.05D/1E-8_-20</t>
  </si>
  <si>
    <t>VTCC - 0.02V</t>
  </si>
  <si>
    <t>IS4_0.05D/VTCC_0.05D/1E-8_-30</t>
  </si>
  <si>
    <t>VTCC - 0.03V</t>
  </si>
  <si>
    <t>IS4_0.05D/VTCC_0.05D/1E-8_-40</t>
  </si>
  <si>
    <t>VTCC - 0.04V</t>
  </si>
  <si>
    <t>IS4_0.05D/VTCC_0.05D/1E-8_-50</t>
  </si>
  <si>
    <t>VTCC - 0.05V</t>
  </si>
  <si>
    <t>SSC_0.05D/1E-8</t>
  </si>
  <si>
    <t>RSS_0.05D/1E-8</t>
  </si>
  <si>
    <t>SSC_0.05D/1E-8_2</t>
  </si>
  <si>
    <t>Test type name changed</t>
  </si>
  <si>
    <t>LD_0.5D/0G</t>
  </si>
  <si>
    <t>New VCC</t>
  </si>
  <si>
    <t>LOG_LD_0.5D/0G</t>
  </si>
  <si>
    <t>LS_0.5D/0G</t>
  </si>
  <si>
    <t>LOG_LS_0.5D/0G</t>
  </si>
  <si>
    <t>LG_0.5D/0G</t>
  </si>
  <si>
    <t>LOG_LG_0.5D/0G</t>
  </si>
  <si>
    <t>LS_0.5D/0.1G</t>
  </si>
  <si>
    <t>LS_0.5D/-0.1G</t>
  </si>
  <si>
    <t>IG_0D/0.5G</t>
  </si>
  <si>
    <t>LOG_IG_0D/0.5G</t>
  </si>
  <si>
    <t>IDVG_0.5V_COARSE_SML</t>
  </si>
  <si>
    <t>0.5V .. 0.1V x 0.05V</t>
  </si>
  <si>
    <t>ID4_0.5D/0.5G</t>
  </si>
  <si>
    <t>IS4_0.5D/0.5G</t>
  </si>
  <si>
    <t>ID4_0.5D/0.25G</t>
  </si>
  <si>
    <t>ID4_0.5D/0.15G</t>
  </si>
  <si>
    <t>ID4_0.5D/0.35G</t>
  </si>
  <si>
    <t>IDHI4_0.5_SML</t>
  </si>
  <si>
    <t>0.7V .. 0.3V x 0.1V</t>
  </si>
  <si>
    <t>ID4_0.25D/0.5G</t>
  </si>
  <si>
    <t>ID4_0.25D/0.4G</t>
  </si>
  <si>
    <t>ID4_0.25D/0.6G</t>
  </si>
  <si>
    <t>IDEFF4_0.5</t>
  </si>
  <si>
    <t>IDEFF4_0.5/0.1G</t>
  </si>
  <si>
    <t>IDEFF4_0.5/-0.1G</t>
  </si>
  <si>
    <t>VTGM4_0.5D_COARSE</t>
  </si>
  <si>
    <t>0.5V .. -0.4V x 0.05V</t>
  </si>
  <si>
    <t>VTGM4_0.5D_FINE_SML</t>
  </si>
  <si>
    <t>VTGM + 0.05V .. VTGM - 0.05V x 0.01V</t>
  </si>
  <si>
    <t>VTGM4_0.5D</t>
  </si>
  <si>
    <t>VTCC4_0.5D/1E-7_COARSE</t>
  </si>
  <si>
    <t>VTCC4_0.5D/1E-7_FINE_SML</t>
  </si>
  <si>
    <t>VTCC4_0.5D/1E-7</t>
  </si>
  <si>
    <t>VTCC4_0.5D/1E-8_COARSE</t>
  </si>
  <si>
    <t>VTCC4_0.5D/1E-8_FINE_SML</t>
  </si>
  <si>
    <t>VTCC4_0.5D/1E-8</t>
  </si>
  <si>
    <t>DBL4_0.5D</t>
  </si>
  <si>
    <t>DBLCC4_1E-8_0.5D</t>
  </si>
  <si>
    <t>DBLCC4_1E-7_0.5D</t>
  </si>
  <si>
    <t>SS4_0.5D</t>
  </si>
  <si>
    <t>VG_SS4_0.5D</t>
  </si>
  <si>
    <t>LS_0.5D/VTGM-0.6G</t>
  </si>
  <si>
    <t>LD_0.5D/VTGM-0.6G</t>
  </si>
  <si>
    <t>LOG_LD_0.65D/0G</t>
  </si>
  <si>
    <t>LOG_LS_0.65D/0G</t>
  </si>
  <si>
    <t>LOG_LG_0.65D/0G</t>
  </si>
  <si>
    <t>LOG_IG_0D/0.65G</t>
  </si>
  <si>
    <t>IDVG_0.65V_COARSE_SML</t>
  </si>
  <si>
    <t>IDHI4_0.65_SML</t>
  </si>
  <si>
    <t>VTGM4_0.65D_COARSE</t>
  </si>
  <si>
    <t>VTGM4_0.65D_FINE_SML</t>
  </si>
  <si>
    <t>VTCC4_0.65D/1E-7_COARSE</t>
  </si>
  <si>
    <t>VTCC4_0.65D/1E-7_FINE_SML</t>
  </si>
  <si>
    <t>VTCC4_0.65D/1E-8_COARSE</t>
  </si>
  <si>
    <t>VTCC4_0.65D/1E-8_FINE_SML</t>
  </si>
  <si>
    <t>IS4_0.65D/VTCC_0.65D/1E-8_-10</t>
  </si>
  <si>
    <t>IS4_0.65D/VTCC_0.65D/1E-8_-20</t>
  </si>
  <si>
    <t>IS4_0.65D/VTCC_0.65D/1E-8_-30</t>
  </si>
  <si>
    <t>IS4_0.65D/VTCC_0.65D/1E-8_-40</t>
  </si>
  <si>
    <t>IS4_0.65D/VTCC_0.65D/1E-8_-50</t>
  </si>
  <si>
    <t>SSC_0.65D/1E-8</t>
  </si>
  <si>
    <t>RSS_0.65D/1E-8</t>
  </si>
  <si>
    <t>SSC_0.65D/1E-8_2</t>
  </si>
  <si>
    <t>LD_0.65D/VTGM-0.6G</t>
  </si>
  <si>
    <t>IDSAT4_1.1_SML</t>
  </si>
  <si>
    <t>IDHI4_1.1_SML</t>
  </si>
  <si>
    <t>VTGM4_1.1D_COARSE</t>
  </si>
  <si>
    <t>VTGM4_1.1D_FINE_SML</t>
  </si>
  <si>
    <t>VTCC4_1.1D/1E-7_COARSE</t>
  </si>
  <si>
    <t>VTCC4_1.1D/1E-7_FINE_SML</t>
  </si>
  <si>
    <t>VTCC4_1.1D/1E-8_COARSE</t>
  </si>
  <si>
    <t>VTCC4_1.1D/1E-8_FINE_SML</t>
  </si>
  <si>
    <t>IS4_1.1D/VTCC_1.1D/1E-8_-10</t>
  </si>
  <si>
    <t>IS4_1.1D/VTCC_1.1D/1E-8_-20</t>
  </si>
  <si>
    <t>IS4_1.1D/VTCC_1.1D/1E-8_-30</t>
  </si>
  <si>
    <t>IS4_1.1D/VTCC_1.1D/1E-8_-40</t>
  </si>
  <si>
    <t>IS4_1.1D/VTCC_1.1D/1E-8_-50</t>
  </si>
  <si>
    <t>SSC_1.1D/1E-8</t>
  </si>
  <si>
    <t>RSS_1.1D/1E-8</t>
  </si>
  <si>
    <t>SSC_1.1D/1E-8_2</t>
  </si>
  <si>
    <t>1.1V .. -0.4V x 0.01V</t>
  </si>
  <si>
    <t>KEY_LOGIC_ID_VGOD_SHORT</t>
  </si>
  <si>
    <t>(VTGM4_0.05D + 0.65V) .. (VTGM4_0.05D + 0.4V) x 0.1V</t>
  </si>
  <si>
    <t>ID4_0.05D/VTGM+1.1G</t>
  </si>
  <si>
    <t>VTGM4_0.05D + 1.1V</t>
  </si>
  <si>
    <t>ID4_0.4D/VTGM+0.65G</t>
  </si>
  <si>
    <t>ID4_0.65D/VTGM+0.4G</t>
  </si>
  <si>
    <t>VTGM4_0.05D + 0.4V</t>
  </si>
  <si>
    <t>IDEFF4_0.65/VTGMFOD</t>
  </si>
  <si>
    <t>ID4_0.65D/VTGM+1.1G</t>
  </si>
  <si>
    <t>ID4_1.1D/VTGM+0.65G</t>
  </si>
  <si>
    <t>IDEFF4_1.1/VTGMFOD</t>
  </si>
  <si>
    <t>ID4_1.1D/VTGM+1.1G</t>
  </si>
  <si>
    <t>ID4_0.05D/VTCC_0.05D+1.1G</t>
  </si>
  <si>
    <t>ID4_0.4D/VTCC_0.05D+0.65G</t>
  </si>
  <si>
    <t>ID4_0.65D/VTCC_0.05D+0.4G</t>
  </si>
  <si>
    <t>VTCC4_0.05D/1E-7 + 0.4V</t>
  </si>
  <si>
    <t>IDEFF4_0.65/VTCCFOD</t>
  </si>
  <si>
    <t>ID4_0.65D/VTCC_0.05D+0.65G</t>
  </si>
  <si>
    <t>ID4_0.65D/VTCC_0.05D+1.1G</t>
  </si>
  <si>
    <t>ID4_1.1D/VTCC_0.05D+0.65G</t>
  </si>
  <si>
    <t>IDEFF4_1.1/VTCCFOD</t>
  </si>
  <si>
    <t>ID4_1.1D/VTCC_0.05D+1.1G</t>
  </si>
  <si>
    <t>ID4_0.05D/VTGM+0.5G</t>
  </si>
  <si>
    <t>VTGM4_0.05D + 0.5V</t>
  </si>
  <si>
    <t>ID4_0.5D/VTGM+0.5G</t>
  </si>
  <si>
    <t>VTGM4_0.05D + 0.5</t>
  </si>
  <si>
    <t>ID_0.05D_VTCC_0.05D_SML</t>
  </si>
  <si>
    <t>(VTCC4_0.05D/1E-7 + 1.1V) .. (VTCC4_0.05D/1E-7 + 0.5V) x 0.05V</t>
  </si>
  <si>
    <t>ID4_0.05D/VTCC_0.05D+0.5G</t>
  </si>
  <si>
    <t>VTCC4_0.05D/1E-7 + 0.5V</t>
  </si>
  <si>
    <t>ID4_0.05D/VTCC_0.05D+0.90G</t>
  </si>
  <si>
    <t>ID4_0.05D/VTCC_0.05D+0.95G</t>
  </si>
  <si>
    <t>ID4_0.05D/VTCC_0.05D+1.0G</t>
  </si>
  <si>
    <t>ID4_0.05D/VTCC_0.05D+1.05G</t>
  </si>
  <si>
    <t>IS4_0.4D/VTCC_0.05D+0.65G</t>
  </si>
  <si>
    <t>IS4_0.65D/VTCC_0.05D+0.4G</t>
  </si>
  <si>
    <t>ISEFF4_0.65/VTCCFOD</t>
  </si>
  <si>
    <t>IS4_0.65D/VTCC_0.05D+1.1G</t>
  </si>
  <si>
    <t>IS4_1.1D/VTCC_0.05D+0.65G</t>
  </si>
  <si>
    <t>ISEFF4_1.1/VTCCFOD</t>
  </si>
  <si>
    <t>ID4_0.5D/VTCC_0.5D+0.5G</t>
  </si>
  <si>
    <t>VTCC4_0.5D/1E-7 + 0.5V</t>
  </si>
  <si>
    <t>IS4_0.65D/VTCC_0.05D+0.65G</t>
  </si>
  <si>
    <t>VTCC4_0.65D/1E-7 + 0.65V</t>
  </si>
  <si>
    <t>IS4_1.1D/VTCC_0.05D+1.1G</t>
  </si>
  <si>
    <t>ID4_1.1D/VTCC_1.1D+1.1G</t>
  </si>
  <si>
    <t>VTCC4_1.1D/1E-7 + 1.1V</t>
  </si>
  <si>
    <t xml:space="preserve">                                                                                                                                                                                                               </t>
  </si>
  <si>
    <t>KEY_LOGIC_GM_RO_SHORT</t>
  </si>
  <si>
    <t>POR Bias Condition</t>
  </si>
  <si>
    <t>For future discussion w/ designers</t>
  </si>
  <si>
    <t>LS_0.85D/0G</t>
  </si>
  <si>
    <t>VG_0.5D/&lt;TARGET&gt;NA_COARSE</t>
  </si>
  <si>
    <t>0.65 .. -0.4V x 0.05V</t>
  </si>
  <si>
    <t>Drop</t>
  </si>
  <si>
    <t>VG_0.5D/&lt;TARGET&gt;NA_FINE_SML</t>
  </si>
  <si>
    <t>VGNA + 0.05V .. VGNA - 0.05V x 0.01V</t>
  </si>
  <si>
    <t>VG_0.5D/&lt;TARGET&gt;NA</t>
  </si>
  <si>
    <t>Move to Autobias</t>
  </si>
  <si>
    <t>VG_0.65D/&lt;TARGET&gt;NA_COARSE</t>
  </si>
  <si>
    <t>VG_0.65D/&lt;TARGET&gt;NA_FINE_SML</t>
  </si>
  <si>
    <t>IDLIN4_0.5_&lt;TARGET&gt;NA_SML</t>
  </si>
  <si>
    <t>VG_0.5D/&lt;TARGET&gt;NA + 0.5V</t>
  </si>
  <si>
    <t>ID4_0.05D/&lt;TARGET&gt;NA+0.5G</t>
  </si>
  <si>
    <t>IDLO4_0.5_&lt;TARGET&gt;NA_SML</t>
  </si>
  <si>
    <t>VG_0.5D/&lt;TARGET&gt;NA + 0.25</t>
  </si>
  <si>
    <t>ID4_0.5D/&lt;TARGET&gt;NA+0.25G</t>
  </si>
  <si>
    <t>IDHI4_0.5_&lt;TARGET&gt;NA_SML</t>
  </si>
  <si>
    <t>VG_0.5D/&lt;TARGET&gt;NA + 0.5</t>
  </si>
  <si>
    <t>ID4_0.25D/&lt;TARGET&gt;NA+0.5G</t>
  </si>
  <si>
    <t>IDEFF4_0.5/&lt;TARGET&gt;NA</t>
  </si>
  <si>
    <t>IDSAT4_0.5_&lt;TARGET&gt;NA_SML</t>
  </si>
  <si>
    <t>ID4_0.5D/&lt;TARGET&gt;NA+0.5G</t>
  </si>
  <si>
    <t>VTGM_0.5/&lt;TARGET&gt;NA</t>
  </si>
  <si>
    <t>Using VTGM</t>
  </si>
  <si>
    <t>From AUTOBIAS_VGNA</t>
  </si>
  <si>
    <t>IDLIN4_0.65_&lt;TARGET&gt;NA_SML</t>
  </si>
  <si>
    <t>VG_0.65D/&lt;TARGET&gt;NA + 0.65V</t>
  </si>
  <si>
    <t>ID4_0.05D/&lt;TARGET&gt;NA+0.65G</t>
  </si>
  <si>
    <t>IS4_0.05D/&lt;TARGET&gt;NA+0.65G</t>
  </si>
  <si>
    <t>IDLO4_0.65_&lt;TARGET&gt;NA_SML</t>
  </si>
  <si>
    <t>VG_0.65D/&lt;TARGET&gt;NA + 0.4</t>
  </si>
  <si>
    <t>ID4_0.65D/&lt;TARGET&gt;NA+0.4G</t>
  </si>
  <si>
    <t>IDHI4_0.65_&lt;TARGET&gt;NA_SML</t>
  </si>
  <si>
    <t>VG_0.65D/&lt;TARGET&gt;NA + 0.65</t>
  </si>
  <si>
    <t>ID4_0.4D/&lt;TARGET&gt;NA+0.65G</t>
  </si>
  <si>
    <t>IDEFF4_0.65/&lt;TARGET&gt;NA</t>
  </si>
  <si>
    <t>IDSAT4_0.65_&lt;TARGET&gt;NA_SML</t>
  </si>
  <si>
    <t>ID4_0.65D/&lt;TARGET&gt;NA+0.65G</t>
  </si>
  <si>
    <t>IS4_0.65D/&lt;TARGET&gt;NA+0.65G</t>
  </si>
  <si>
    <t>VTGM_0.65/&lt;TARGET&gt;NA</t>
  </si>
  <si>
    <t>IDLIN4_1.1_&lt;TARGET&gt;NA_SML</t>
  </si>
  <si>
    <t>VG_0.65D/&lt;TARGET&gt;NA + 1.1V</t>
  </si>
  <si>
    <t>ID4_0.05D/&lt;TARGET&gt;NA+1.1G</t>
  </si>
  <si>
    <t>Add 0.5D/1.1V condition</t>
  </si>
  <si>
    <t>IS4_0.05D/&lt;TARGET&gt;NA+1.1G</t>
  </si>
  <si>
    <t>IDLO4_1.1_&lt;TARGET&gt;NA_SML</t>
  </si>
  <si>
    <t>ID4_1.1D/&lt;TARGET&gt;NA+0.65G</t>
  </si>
  <si>
    <t>IS4_1.1D/&lt;TARGET&gt;NA+0.65G</t>
  </si>
  <si>
    <t>IDHI4_1.1_&lt;TARGET&gt;NA_SML</t>
  </si>
  <si>
    <t>VG_0.65D/&lt;TARGET&gt;NA + 1.1</t>
  </si>
  <si>
    <t>ID4_0.65D/&lt;TARGET&gt;NA+1.1G</t>
  </si>
  <si>
    <t>IS4_0.65D/&lt;TARGET&gt;NA+1.1G</t>
  </si>
  <si>
    <t>IDEFF4_1.1/&lt;TARGET&gt;NA</t>
  </si>
  <si>
    <t>IDSAT4_1.1_&lt;TARGET&gt;NA_SML</t>
  </si>
  <si>
    <t>ID4_1.1D/&lt;TARGET&gt;NA+1.1G</t>
  </si>
  <si>
    <t>IS4_1.1D/&lt;TARGET&gt;NA+1.1G</t>
  </si>
  <si>
    <t>SWEEP5_SML</t>
  </si>
  <si>
    <t>Drop all filters</t>
  </si>
  <si>
    <t>LDSO2_1.1D/0S</t>
  </si>
  <si>
    <t>IS4_0.05D/0.5G</t>
  </si>
  <si>
    <t>Supposed to be ID</t>
  </si>
  <si>
    <t>KEY_LOGIC_0.5V,0.65V,1.1V</t>
  </si>
  <si>
    <t>IS4_0.5D/0.25G</t>
  </si>
  <si>
    <t>IS4_0.5D/0.15G</t>
  </si>
  <si>
    <t>IS4_0.5D/0.35G</t>
  </si>
  <si>
    <t>ISHI4_0.5_SML</t>
  </si>
  <si>
    <t>IS4_0.25D/0.5G</t>
  </si>
  <si>
    <t>IS4_0.25D/0.4G</t>
  </si>
  <si>
    <t>IS4_0.25D/0.6G</t>
  </si>
  <si>
    <t>ISEFF4_0.5</t>
  </si>
  <si>
    <t>ISEFF4_0.5/0.1G</t>
  </si>
  <si>
    <t>ISEFF4_0.5/-0.1G</t>
  </si>
  <si>
    <t>KEY_LOGIC_ID_VG0D</t>
  </si>
  <si>
    <t>Missing ID4_0.4D/VTGM+0.65G</t>
  </si>
  <si>
    <t>Missing ID4_0.65D/VTGM+0.4G</t>
  </si>
  <si>
    <t>Missing ID4_1.1D/VTGM+0.65G</t>
  </si>
  <si>
    <t>Missing IDEFF4_0.65/VTGMFOD</t>
  </si>
  <si>
    <t>Missing IDEFF4_1.1/VTGMFOD</t>
  </si>
  <si>
    <t>IS4_0.05D/VTGM+0.5G</t>
  </si>
  <si>
    <t>IS4_0.5D/VTGM+0.5G</t>
  </si>
  <si>
    <t>AUTOBIAS_0.5D,0.65V,1.1V</t>
  </si>
  <si>
    <t>Missing ID4_0.05D/&lt;TARGET&gt;NA+0.5G</t>
  </si>
  <si>
    <t>IS4_0.5D/&lt;TARGET&gt;NA+0.25G</t>
  </si>
  <si>
    <t>IS4_0.25D/&lt;TARGET&gt;NA+0.5G</t>
  </si>
  <si>
    <t>ISEFF4_0.5/&lt;TARGET&gt;NA</t>
  </si>
  <si>
    <t>Atlantis Config</t>
  </si>
  <si>
    <t>Additional Tests in Atlantis</t>
  </si>
  <si>
    <t>Comments</t>
  </si>
  <si>
    <t>Drop IS4</t>
  </si>
  <si>
    <t>VTGM4_0.05D/1E-7_COARSE</t>
  </si>
  <si>
    <t>Missing</t>
  </si>
  <si>
    <t>SS4_0.05D_COARSE</t>
  </si>
  <si>
    <t>Move SS_lin Fine from KEY_LOGIC_WORKING to KEY_LOGIC_LINEAR</t>
  </si>
  <si>
    <t>VG_SS_0.05D_COARSE</t>
  </si>
  <si>
    <t>BETA4_0.05D/FIN</t>
  </si>
  <si>
    <t>VTCC4_0.5D_1E-7_COARSE</t>
  </si>
  <si>
    <t>IS4_0.65D/VTCC_0.65D+0.85G</t>
  </si>
  <si>
    <t>VTCC4_0.5D_1E-8_COARSE</t>
  </si>
  <si>
    <t>IS4_1.1D/VTCC_0.65D+0.85G</t>
  </si>
  <si>
    <t>SS4_0.5D_COARSE</t>
  </si>
  <si>
    <t>Currently fine sweep instead of coarse -&gt; Update config doc to Atlantis content</t>
  </si>
  <si>
    <t>Reported with SS extraction -&gt; Update config doc</t>
  </si>
  <si>
    <t>Required for ISEFF_0.65 -&gt; Update config doc to keep</t>
  </si>
  <si>
    <t>SS4_0.65D_COARSE</t>
  </si>
  <si>
    <t>Move SS4_0.65D (Fine) from KEY_LOGIC_PERFORMANCE to KEY_LOGIC_0.65</t>
  </si>
  <si>
    <t>VG_SS_0.65D_COARSE</t>
  </si>
  <si>
    <t>LOG_LD_1.1D/0G</t>
  </si>
  <si>
    <t>LOG_LS_1.1D/0G</t>
  </si>
  <si>
    <t>LOG_LG_1.1D/0G</t>
  </si>
  <si>
    <t>LOG_IG_0D/1.1G</t>
  </si>
  <si>
    <t>Required for ISEFF_1.1-&gt;Upd config</t>
  </si>
  <si>
    <t>Missing-&gt;Can be dropped-&gt;Remove from config doc</t>
  </si>
  <si>
    <t>SS4_1.1D_COARSE</t>
  </si>
  <si>
    <t>Fine sweep instead of coarse-&gt;Update config doc</t>
  </si>
  <si>
    <t>VG_SS_1.1D_COARSE</t>
  </si>
  <si>
    <t>Reported with SS extraction</t>
  </si>
  <si>
    <t>Drop both ID4 and IS4</t>
  </si>
  <si>
    <t>IS4_0.05D/VTCC_0.05D+0.5G</t>
  </si>
  <si>
    <t>ID4_0.65D/VTCC_0.65D+0.85G</t>
  </si>
  <si>
    <t>Reqd for IDEFF; Keep and update config doc</t>
  </si>
  <si>
    <t>ID4_1.1D/VTCC_0.65D+0.85G</t>
  </si>
  <si>
    <t>150mV step sweep-&gt;Update config doc to keep</t>
  </si>
  <si>
    <t>50mV step sweep-&gt;TT hit-&gt;Update config to exclude</t>
  </si>
  <si>
    <t>GM_RO_SHORT will be POR bias alternative for GM_RO (TT reduction)</t>
  </si>
  <si>
    <r>
      <rPr>
        <sz val="11"/>
        <color rgb="FFFF0000"/>
        <rFont val="Calibri"/>
        <family val="2"/>
        <scheme val="minor"/>
      </rPr>
      <t>AUTOBIAS_</t>
    </r>
    <r>
      <rPr>
        <sz val="11"/>
        <color theme="1"/>
        <rFont val="Calibri"/>
        <family val="2"/>
        <scheme val="minor"/>
      </rPr>
      <t>VGNA</t>
    </r>
  </si>
  <si>
    <t>AUTOBIAS_VGNA Test Type absent -&gt; Update config</t>
  </si>
  <si>
    <t>AUTOBIAS_VGNA Test Type absent</t>
  </si>
  <si>
    <t>AUTOBIAS_VGNA Test Type absent; Extracted in corresponding Autobias</t>
  </si>
  <si>
    <t>ISLIN4_0.5_NA_SML</t>
  </si>
  <si>
    <t>Keep atlantis version</t>
  </si>
  <si>
    <t>ID4_0.05D/0.55NA+0.5G</t>
  </si>
  <si>
    <t>ID4_0.5D/0.55NA+0.25G</t>
  </si>
  <si>
    <t>ISHI4_0.5_NA_SML</t>
  </si>
  <si>
    <t>ID4_0.25D/0.55NA+0.5G</t>
  </si>
  <si>
    <t>IDEFF4_0.5/0.55NA</t>
  </si>
  <si>
    <t>ISEFF4_0.5_NA_SML?</t>
  </si>
  <si>
    <t>ID4_0.5D/0.55NA+0.5G</t>
  </si>
  <si>
    <t>VTGM_0.5/0.55NA</t>
  </si>
  <si>
    <t>VG_0.5D/0.55NA</t>
  </si>
  <si>
    <t>ID4_0.05D/0.55NA+0.65G</t>
  </si>
  <si>
    <t>IS4_0.05D/0.55NA+0.65G</t>
  </si>
  <si>
    <t>ID4_0.65D/0.55NA+0.4G</t>
  </si>
  <si>
    <t>IS4_0.65D/0.55NA+0.4G</t>
  </si>
  <si>
    <t>ID4_0.4D/0.55NA+0.65G</t>
  </si>
  <si>
    <t>IS4_0.4D/0.55NA+0.65G</t>
  </si>
  <si>
    <t>IDEFF4_0.65/0.55NA</t>
  </si>
  <si>
    <t>ID4_0.65D/0.55NA+0.65G</t>
  </si>
  <si>
    <t>IS4_0.65D/0.55NA+0.65G</t>
  </si>
  <si>
    <t>VTGM_0.65/0.55NA</t>
  </si>
  <si>
    <t>VG_0.65D/0.55NA</t>
  </si>
  <si>
    <t>ID4_0.05D/0.55NA+1.1G</t>
  </si>
  <si>
    <t>IS4_0.05D/0.55NA+1.1G</t>
  </si>
  <si>
    <t>ID4_1.1D/0.55NA+0.65G</t>
  </si>
  <si>
    <t>IS4_1.1D/0.55NA+0.65G</t>
  </si>
  <si>
    <t>ID4_0.65D/0.55NA+1.1G</t>
  </si>
  <si>
    <t>IS4_0.65D/0.55NA+1.1G</t>
  </si>
  <si>
    <t>IDEFF4_1.1/0.55NA</t>
  </si>
  <si>
    <t>ID4_1.1D/0.55NA+1.1G</t>
  </si>
  <si>
    <t>IS4_1.1D/0.55NA+1.1G</t>
  </si>
  <si>
    <t>Move to KEY_LOGIC_LINEAR</t>
  </si>
  <si>
    <t>VG_SS4_0.05D</t>
  </si>
  <si>
    <t>Move to KEY_LOGIC_0.65</t>
  </si>
  <si>
    <t>VG_SS4_0.65D</t>
  </si>
  <si>
    <t>GATE/GATE1</t>
  </si>
  <si>
    <t>DF/DF1</t>
  </si>
  <si>
    <t>DS/DS1</t>
  </si>
  <si>
    <t>SF/SF_BS/SF1</t>
  </si>
  <si>
    <t>SS/SS_BS/SS1</t>
  </si>
  <si>
    <t>D2F/DF2</t>
  </si>
  <si>
    <t>D2S/DS2</t>
  </si>
  <si>
    <t>SF2/SF2_BS</t>
  </si>
  <si>
    <t>SS2/SS2_BS</t>
  </si>
  <si>
    <t>MAT10P_LOGIC_KEY</t>
  </si>
  <si>
    <t>MAT10P_LOGIC_VTCC</t>
  </si>
  <si>
    <t>MAT10P_LOGIC_BETA</t>
  </si>
  <si>
    <t>MAT10P_AUTOBIAS</t>
  </si>
  <si>
    <t>Test Names (Device)</t>
  </si>
  <si>
    <t>Test Names (Atlantis)</t>
  </si>
  <si>
    <t>LOG(LD_0.65D/0G)</t>
  </si>
  <si>
    <t xml:space="preserve"> </t>
  </si>
  <si>
    <t>LOG(LS_0.65D/0G)</t>
  </si>
  <si>
    <t>LOG(LG_0.65D/0G)</t>
  </si>
  <si>
    <t>Reported with the SS extraction. The algorithm doesn't work if this is left blank</t>
  </si>
  <si>
    <t>Used to calculate VTGM_0.65D</t>
  </si>
  <si>
    <t>IDVG_0.5D_SML</t>
  </si>
  <si>
    <t>Included to extract VG_0.5D/&lt;TARGET&gt;/NA</t>
  </si>
  <si>
    <t>To be added WW09.4</t>
  </si>
  <si>
    <t>G1F/G2/GF</t>
  </si>
  <si>
    <t>SF_BS/SF</t>
  </si>
  <si>
    <t>COV_FD_&lt;FORCE&gt;G</t>
  </si>
  <si>
    <t>COV_FS_&lt;FORCE&gt;G</t>
  </si>
  <si>
    <t>Tap2</t>
  </si>
  <si>
    <t>MLR_CAP_4PT</t>
  </si>
  <si>
    <t>COV_4PT</t>
  </si>
  <si>
    <t>COV_0G</t>
  </si>
  <si>
    <t>CGT_4PT</t>
  </si>
  <si>
    <t>COV_FD_0G</t>
  </si>
  <si>
    <t>COV_FD_0.5G</t>
  </si>
  <si>
    <t>COV_FS_0G</t>
  </si>
  <si>
    <t>COV_FS_0.5G</t>
  </si>
  <si>
    <t>COV_GD_0G</t>
  </si>
  <si>
    <t>COV_GD_0.5G</t>
  </si>
  <si>
    <t>COV_GS_0G</t>
  </si>
  <si>
    <t>COV_GS_0.5G</t>
  </si>
  <si>
    <t>COV_FT</t>
  </si>
  <si>
    <t>COV_FT_0G</t>
  </si>
  <si>
    <t>COV_FT_0.5G</t>
  </si>
  <si>
    <t>MLR_CAP_NOCOV_4PT</t>
  </si>
  <si>
    <t>MLR_LKG_4PT</t>
  </si>
  <si>
    <t>IG_DS_4PT</t>
  </si>
  <si>
    <t>IG_T_2PT</t>
  </si>
  <si>
    <t>IG_T_&lt;FORCE&gt;G</t>
  </si>
  <si>
    <t>LD_G_4PT</t>
  </si>
  <si>
    <t>LD_&lt;FORCE&gt;D</t>
  </si>
  <si>
    <t>LS_&lt;FORCE&gt;D</t>
  </si>
  <si>
    <t>LG_&lt;FORCE&gt;D</t>
  </si>
  <si>
    <t>LT_&lt;FORCE&gt;D</t>
  </si>
  <si>
    <t>Rev0: Q1 2022</t>
  </si>
  <si>
    <t>Model</t>
  </si>
  <si>
    <t>TYPE</t>
  </si>
  <si>
    <t>Label</t>
  </si>
  <si>
    <t>Leff</t>
  </si>
  <si>
    <t>FIN</t>
  </si>
  <si>
    <t>LAY</t>
  </si>
  <si>
    <t>TEMP</t>
  </si>
  <si>
    <t>IOFF</t>
  </si>
  <si>
    <t>Autobias Width</t>
  </si>
  <si>
    <t>Same lkg to be used for all SRAM n-type BITPFT</t>
  </si>
  <si>
    <t>nhplvt</t>
  </si>
  <si>
    <t>n</t>
  </si>
  <si>
    <t>Z1</t>
  </si>
  <si>
    <t>sndn</t>
  </si>
  <si>
    <t>Z2</t>
  </si>
  <si>
    <t>Z3</t>
  </si>
  <si>
    <t>Same lkg to be used for all SRAM p-type BITPFT</t>
  </si>
  <si>
    <t>phplvt</t>
  </si>
  <si>
    <t>p</t>
  </si>
  <si>
    <t>Rev1: Q2 2022 (TCAD)</t>
  </si>
  <si>
    <t>Target</t>
  </si>
  <si>
    <t>0.27NA</t>
  </si>
  <si>
    <t>0.22NA</t>
  </si>
  <si>
    <t>Rev2: Q3 2022 (X80A UPF)</t>
  </si>
  <si>
    <t>SKEW</t>
  </si>
  <si>
    <t>upf</t>
  </si>
  <si>
    <t>Testname</t>
  </si>
  <si>
    <t>ASAP</t>
  </si>
  <si>
    <t>VG</t>
  </si>
  <si>
    <t>VD</t>
  </si>
  <si>
    <t>L</t>
  </si>
  <si>
    <t>Z</t>
  </si>
  <si>
    <t>W</t>
  </si>
  <si>
    <t>LNR</t>
  </si>
  <si>
    <t>Vscale</t>
  </si>
  <si>
    <t>sign</t>
  </si>
  <si>
    <t>etest</t>
  </si>
  <si>
    <t>CH</t>
  </si>
  <si>
    <t>EMR/DVB</t>
  </si>
  <si>
    <t>tttt</t>
  </si>
  <si>
    <t>temp_multiLNR2_45pp_basev2_vtccfix_fitted_vt_updt.upf</t>
  </si>
  <si>
    <t>IS</t>
  </si>
  <si>
    <t>EMR</t>
  </si>
  <si>
    <t>DVB</t>
  </si>
  <si>
    <t>Notes</t>
  </si>
  <si>
    <t>D2F</t>
  </si>
  <si>
    <t>D2S</t>
  </si>
  <si>
    <t>FKTCN_0.85V</t>
  </si>
  <si>
    <t>RSOURCE_0.85V</t>
  </si>
  <si>
    <t>RS=(VDF - VSS) / [IS_LIN/VTCCLIN+0.65G]</t>
  </si>
  <si>
    <t>IF=&lt;IS4_0.05D/VTCC_0.05D+0.65G&gt;</t>
  </si>
  <si>
    <t>VF=0.85V</t>
  </si>
  <si>
    <t>RDRAIN_0.85V</t>
  </si>
  <si>
    <t>RD=(VD2S - VDS) / [IS_LIN/VTCCLIN+0.65G]</t>
  </si>
  <si>
    <t>FKTCN_1.1V</t>
  </si>
  <si>
    <t>RSOURCE_1.1V</t>
  </si>
  <si>
    <t>RDRAIN_1.1V</t>
  </si>
  <si>
    <t>FKTCN_1.2V</t>
  </si>
  <si>
    <t>RSOURCE_1.2V</t>
  </si>
  <si>
    <t>VF=1.2V</t>
  </si>
  <si>
    <t>RDRAIN_1.2V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</si>
</sst>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indexed="12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5B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D5B4"/>
        <bgColor rgb="FF00000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2" fillId="15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17" borderId="0" applyNumberFormat="0" applyBorder="0" applyAlignment="0" applyProtection="0"/>
    <xf numFmtId="0" fontId="2" fillId="9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21" borderId="0" applyNumberFormat="0" applyBorder="0" applyAlignment="0" applyProtection="0"/>
    <xf numFmtId="0" fontId="3" fillId="14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8" fillId="6" borderId="15" applyNumberFormat="0" applyFont="0" applyAlignment="0" applyProtection="0"/>
    <xf numFmtId="0" fontId="8" fillId="6" borderId="15" applyNumberFormat="0" applyFont="0" applyAlignment="0" applyProtection="0"/>
    <xf numFmtId="0" fontId="2" fillId="6" borderId="15" applyNumberFormat="0" applyFont="0" applyAlignment="0" applyProtection="0"/>
    <xf numFmtId="0" fontId="9" fillId="0" borderId="0" applyNumberFormat="0" applyFill="0" applyBorder="0" applyAlignment="0" applyProtection="0"/>
  </cellStyleXfs>
  <cellXfs count="363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5" borderId="8" xfId="0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0" borderId="14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7" xfId="0" applyBorder="1"/>
    <xf numFmtId="0" fontId="0" fillId="0" borderId="16" xfId="0" applyBorder="1"/>
    <xf numFmtId="0" fontId="0" fillId="3" borderId="0" xfId="0" applyFill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1" fillId="0" borderId="8" xfId="0" applyFont="1" applyBorder="1"/>
    <xf numFmtId="0" fontId="0" fillId="0" borderId="8" xfId="0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8" xfId="0" applyBorder="1"/>
    <xf numFmtId="0" fontId="1" fillId="0" borderId="16" xfId="0" applyFont="1" applyBorder="1" applyAlignment="1">
      <alignment horizontal="left" vertical="center"/>
    </xf>
    <xf numFmtId="0" fontId="0" fillId="2" borderId="8" xfId="0" applyFill="1" applyBorder="1"/>
    <xf numFmtId="0" fontId="0" fillId="0" borderId="0" xfId="0" applyAlignment="1">
      <alignment horizontal="left" vertical="center"/>
    </xf>
    <xf numFmtId="0" fontId="0" fillId="2" borderId="16" xfId="0" applyFill="1" applyBorder="1"/>
    <xf numFmtId="0" fontId="0" fillId="0" borderId="1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21" xfId="0" applyBorder="1"/>
    <xf numFmtId="0" fontId="0" fillId="0" borderId="20" xfId="0" applyBorder="1"/>
    <xf numFmtId="0" fontId="0" fillId="0" borderId="19" xfId="0" applyBorder="1"/>
    <xf numFmtId="0" fontId="0" fillId="0" borderId="18" xfId="0" applyBorder="1"/>
    <xf numFmtId="0" fontId="1" fillId="0" borderId="23" xfId="0" applyFont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8" xfId="0" applyFill="1" applyBorder="1"/>
    <xf numFmtId="0" fontId="0" fillId="2" borderId="23" xfId="0" applyFill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/>
    <xf numFmtId="1" fontId="0" fillId="0" borderId="0" xfId="0" applyNumberFormat="1"/>
    <xf numFmtId="1" fontId="1" fillId="0" borderId="0" xfId="0" applyNumberFormat="1" applyFont="1"/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3" borderId="19" xfId="0" applyFill="1" applyBorder="1"/>
    <xf numFmtId="1" fontId="0" fillId="3" borderId="0" xfId="0" applyNumberFormat="1" applyFill="1"/>
    <xf numFmtId="0" fontId="0" fillId="3" borderId="0" xfId="0" applyFill="1" applyAlignment="1">
      <alignment vertical="center"/>
    </xf>
    <xf numFmtId="0" fontId="0" fillId="3" borderId="14" xfId="0" applyFill="1" applyBorder="1"/>
    <xf numFmtId="0" fontId="0" fillId="3" borderId="24" xfId="0" applyFill="1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/>
    <xf numFmtId="0" fontId="0" fillId="3" borderId="25" xfId="0" applyFill="1" applyBorder="1"/>
    <xf numFmtId="0" fontId="0" fillId="3" borderId="20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1" fillId="0" borderId="14" xfId="0" applyFont="1" applyBorder="1"/>
    <xf numFmtId="0" fontId="1" fillId="0" borderId="14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1" fontId="0" fillId="0" borderId="24" xfId="0" applyNumberFormat="1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1" fontId="0" fillId="0" borderId="25" xfId="0" applyNumberFormat="1" applyBorder="1"/>
    <xf numFmtId="0" fontId="0" fillId="0" borderId="25" xfId="0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23" xfId="0" applyBorder="1"/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quotePrefix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3" xfId="0" applyFill="1" applyBorder="1"/>
    <xf numFmtId="0" fontId="0" fillId="3" borderId="21" xfId="0" applyFill="1" applyBorder="1" applyAlignment="1">
      <alignment horizontal="center"/>
    </xf>
    <xf numFmtId="0" fontId="1" fillId="0" borderId="26" xfId="0" applyFont="1" applyBorder="1"/>
    <xf numFmtId="0" fontId="0" fillId="0" borderId="23" xfId="0" applyBorder="1" applyAlignment="1">
      <alignment vertical="center"/>
    </xf>
    <xf numFmtId="0" fontId="0" fillId="0" borderId="14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28" xfId="0" applyFill="1" applyBorder="1" applyAlignment="1">
      <alignment vertical="center"/>
    </xf>
    <xf numFmtId="0" fontId="0" fillId="0" borderId="28" xfId="0" applyBorder="1"/>
    <xf numFmtId="0" fontId="1" fillId="0" borderId="24" xfId="0" applyFont="1" applyBorder="1"/>
    <xf numFmtId="1" fontId="1" fillId="0" borderId="24" xfId="0" applyNumberFormat="1" applyFont="1" applyBorder="1"/>
    <xf numFmtId="0" fontId="1" fillId="0" borderId="1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2" borderId="8" xfId="0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2" borderId="19" xfId="0" applyFill="1" applyBorder="1" applyAlignment="1">
      <alignment vertical="center"/>
    </xf>
    <xf numFmtId="0" fontId="0" fillId="22" borderId="21" xfId="0" applyFill="1" applyBorder="1"/>
    <xf numFmtId="0" fontId="0" fillId="22" borderId="0" xfId="0" applyFill="1" applyAlignment="1">
      <alignment horizontal="center" vertical="center"/>
    </xf>
    <xf numFmtId="0" fontId="0" fillId="22" borderId="18" xfId="0" applyFill="1" applyBorder="1" applyAlignment="1">
      <alignment vertical="center"/>
    </xf>
    <xf numFmtId="0" fontId="0" fillId="22" borderId="20" xfId="0" applyFill="1" applyBorder="1"/>
    <xf numFmtId="0" fontId="0" fillId="22" borderId="25" xfId="0" applyFill="1" applyBorder="1"/>
    <xf numFmtId="1" fontId="0" fillId="22" borderId="25" xfId="0" applyNumberFormat="1" applyFill="1" applyBorder="1"/>
    <xf numFmtId="0" fontId="0" fillId="22" borderId="25" xfId="0" applyFill="1" applyBorder="1" applyAlignment="1">
      <alignment horizontal="center" vertical="center"/>
    </xf>
    <xf numFmtId="0" fontId="0" fillId="22" borderId="14" xfId="0" applyFill="1" applyBorder="1" applyAlignment="1">
      <alignment vertical="center"/>
    </xf>
    <xf numFmtId="0" fontId="0" fillId="22" borderId="14" xfId="0" applyFill="1" applyBorder="1"/>
    <xf numFmtId="0" fontId="0" fillId="22" borderId="24" xfId="0" applyFill="1" applyBorder="1" applyAlignment="1">
      <alignment vertical="center"/>
    </xf>
    <xf numFmtId="0" fontId="0" fillId="22" borderId="24" xfId="0" applyFill="1" applyBorder="1"/>
    <xf numFmtId="1" fontId="0" fillId="22" borderId="24" xfId="0" applyNumberFormat="1" applyFill="1" applyBorder="1"/>
    <xf numFmtId="0" fontId="0" fillId="22" borderId="24" xfId="0" applyFill="1" applyBorder="1" applyAlignment="1">
      <alignment horizontal="center" vertical="center"/>
    </xf>
    <xf numFmtId="0" fontId="0" fillId="22" borderId="19" xfId="0" applyFill="1" applyBorder="1"/>
    <xf numFmtId="0" fontId="0" fillId="22" borderId="18" xfId="0" applyFill="1" applyBorder="1"/>
    <xf numFmtId="0" fontId="0" fillId="22" borderId="25" xfId="0" applyFill="1" applyBorder="1" applyAlignment="1">
      <alignment vertical="center"/>
    </xf>
    <xf numFmtId="0" fontId="0" fillId="22" borderId="23" xfId="0" applyFill="1" applyBorder="1" applyAlignment="1">
      <alignment vertical="center"/>
    </xf>
    <xf numFmtId="0" fontId="0" fillId="22" borderId="23" xfId="0" applyFill="1" applyBorder="1"/>
    <xf numFmtId="0" fontId="0" fillId="22" borderId="28" xfId="0" applyFill="1" applyBorder="1" applyAlignment="1">
      <alignment vertical="center"/>
    </xf>
    <xf numFmtId="0" fontId="0" fillId="22" borderId="25" xfId="0" applyFill="1" applyBorder="1" applyAlignment="1">
      <alignment horizontal="center"/>
    </xf>
    <xf numFmtId="0" fontId="11" fillId="0" borderId="0" xfId="0" applyFont="1"/>
    <xf numFmtId="11" fontId="0" fillId="0" borderId="8" xfId="0" applyNumberFormat="1" applyBorder="1"/>
    <xf numFmtId="11" fontId="0" fillId="0" borderId="18" xfId="0" applyNumberFormat="1" applyBorder="1"/>
    <xf numFmtId="0" fontId="0" fillId="0" borderId="10" xfId="0" applyBorder="1"/>
    <xf numFmtId="164" fontId="0" fillId="0" borderId="9" xfId="0" applyNumberFormat="1" applyBorder="1"/>
    <xf numFmtId="11" fontId="0" fillId="0" borderId="5" xfId="0" applyNumberFormat="1" applyBorder="1"/>
    <xf numFmtId="164" fontId="0" fillId="0" borderId="6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  <xf numFmtId="11" fontId="0" fillId="0" borderId="2" xfId="0" applyNumberFormat="1" applyBorder="1"/>
    <xf numFmtId="164" fontId="0" fillId="0" borderId="3" xfId="0" applyNumberFormat="1" applyBorder="1"/>
    <xf numFmtId="0" fontId="0" fillId="0" borderId="29" xfId="0" applyBorder="1"/>
    <xf numFmtId="164" fontId="0" fillId="0" borderId="7" xfId="0" applyNumberFormat="1" applyBorder="1"/>
    <xf numFmtId="0" fontId="0" fillId="2" borderId="18" xfId="0" applyFill="1" applyBorder="1"/>
    <xf numFmtId="0" fontId="0" fillId="0" borderId="18" xfId="0" applyBorder="1" applyAlignment="1">
      <alignment vertical="center"/>
    </xf>
    <xf numFmtId="0" fontId="1" fillId="0" borderId="25" xfId="0" applyFont="1" applyBorder="1" applyAlignment="1">
      <alignment horizontal="left" vertical="center"/>
    </xf>
    <xf numFmtId="0" fontId="1" fillId="0" borderId="25" xfId="0" applyFont="1" applyBorder="1"/>
    <xf numFmtId="0" fontId="13" fillId="0" borderId="8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center" wrapText="1" readingOrder="1"/>
    </xf>
    <xf numFmtId="0" fontId="0" fillId="2" borderId="1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0" fillId="2" borderId="14" xfId="0" applyFont="1" applyFill="1" applyBorder="1" applyAlignment="1">
      <alignment vertical="center"/>
    </xf>
    <xf numFmtId="0" fontId="0" fillId="22" borderId="26" xfId="0" applyFill="1" applyBorder="1" applyAlignment="1">
      <alignment vertical="center"/>
    </xf>
    <xf numFmtId="0" fontId="0" fillId="23" borderId="8" xfId="0" applyFill="1" applyBorder="1" applyAlignment="1">
      <alignment vertical="center"/>
    </xf>
    <xf numFmtId="0" fontId="0" fillId="22" borderId="28" xfId="0" applyFill="1" applyBorder="1"/>
    <xf numFmtId="0" fontId="11" fillId="22" borderId="25" xfId="0" applyFont="1" applyFill="1" applyBorder="1"/>
    <xf numFmtId="0" fontId="0" fillId="2" borderId="23" xfId="0" applyFill="1" applyBorder="1"/>
    <xf numFmtId="0" fontId="0" fillId="2" borderId="2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9" xfId="0" applyFill="1" applyBorder="1"/>
    <xf numFmtId="0" fontId="13" fillId="0" borderId="0" xfId="0" applyFont="1" applyAlignment="1">
      <alignment horizontal="center" vertical="top" wrapText="1"/>
    </xf>
    <xf numFmtId="0" fontId="0" fillId="2" borderId="17" xfId="0" applyFill="1" applyBorder="1" applyAlignment="1">
      <alignment vertical="center"/>
    </xf>
    <xf numFmtId="0" fontId="0" fillId="23" borderId="2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2" borderId="16" xfId="0" applyFont="1" applyFill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5" fillId="0" borderId="0" xfId="0" applyFont="1"/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1" fontId="0" fillId="0" borderId="8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1" fontId="6" fillId="0" borderId="8" xfId="0" applyNumberFormat="1" applyFont="1" applyBorder="1" applyAlignment="1">
      <alignment horizontal="right" vertical="center"/>
    </xf>
    <xf numFmtId="11" fontId="6" fillId="0" borderId="2" xfId="0" applyNumberFormat="1" applyFont="1" applyBorder="1" applyAlignment="1">
      <alignment horizontal="right" vertical="center"/>
    </xf>
    <xf numFmtId="2" fontId="0" fillId="0" borderId="3" xfId="0" applyNumberFormat="1" applyBorder="1"/>
    <xf numFmtId="2" fontId="0" fillId="0" borderId="9" xfId="0" applyNumberFormat="1" applyBorder="1"/>
    <xf numFmtId="11" fontId="6" fillId="0" borderId="5" xfId="0" applyNumberFormat="1" applyFont="1" applyBorder="1" applyAlignment="1">
      <alignment horizontal="right" vertical="center"/>
    </xf>
    <xf numFmtId="2" fontId="0" fillId="0" borderId="6" xfId="0" applyNumberFormat="1" applyBorder="1"/>
    <xf numFmtId="11" fontId="6" fillId="0" borderId="30" xfId="0" applyNumberFormat="1" applyFont="1" applyBorder="1" applyAlignment="1">
      <alignment horizontal="right" vertical="center"/>
    </xf>
    <xf numFmtId="0" fontId="0" fillId="0" borderId="30" xfId="0" applyBorder="1"/>
    <xf numFmtId="2" fontId="0" fillId="0" borderId="0" xfId="0" applyNumberForma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11" fontId="0" fillId="0" borderId="42" xfId="0" applyNumberFormat="1" applyBorder="1"/>
    <xf numFmtId="11" fontId="0" fillId="0" borderId="39" xfId="0" applyNumberFormat="1" applyBorder="1"/>
    <xf numFmtId="0" fontId="10" fillId="0" borderId="0" xfId="0" applyFont="1"/>
    <xf numFmtId="0" fontId="10" fillId="0" borderId="2" xfId="0" applyFont="1" applyBorder="1"/>
    <xf numFmtId="0" fontId="10" fillId="0" borderId="8" xfId="0" applyFont="1" applyBorder="1"/>
    <xf numFmtId="0" fontId="10" fillId="0" borderId="5" xfId="0" applyFont="1" applyBorder="1"/>
    <xf numFmtId="0" fontId="0" fillId="0" borderId="43" xfId="0" applyBorder="1"/>
    <xf numFmtId="0" fontId="0" fillId="0" borderId="44" xfId="0" applyBorder="1"/>
    <xf numFmtId="0" fontId="0" fillId="0" borderId="31" xfId="0" applyBorder="1"/>
    <xf numFmtId="2" fontId="0" fillId="0" borderId="39" xfId="0" applyNumberFormat="1" applyBorder="1"/>
    <xf numFmtId="11" fontId="0" fillId="0" borderId="0" xfId="0" applyNumberFormat="1"/>
    <xf numFmtId="0" fontId="0" fillId="0" borderId="45" xfId="0" applyBorder="1"/>
    <xf numFmtId="11" fontId="0" fillId="0" borderId="25" xfId="0" applyNumberFormat="1" applyBorder="1"/>
    <xf numFmtId="2" fontId="0" fillId="0" borderId="25" xfId="0" applyNumberFormat="1" applyBorder="1"/>
    <xf numFmtId="0" fontId="0" fillId="0" borderId="47" xfId="0" applyBorder="1"/>
    <xf numFmtId="11" fontId="0" fillId="0" borderId="24" xfId="0" applyNumberFormat="1" applyBorder="1"/>
    <xf numFmtId="2" fontId="0" fillId="0" borderId="24" xfId="0" applyNumberFormat="1" applyBorder="1"/>
    <xf numFmtId="2" fontId="0" fillId="0" borderId="42" xfId="0" applyNumberFormat="1" applyBorder="1"/>
    <xf numFmtId="0" fontId="1" fillId="0" borderId="30" xfId="0" applyFont="1" applyBorder="1"/>
    <xf numFmtId="0" fontId="0" fillId="0" borderId="23" xfId="0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0" fillId="0" borderId="16" xfId="0" applyFont="1" applyBorder="1"/>
    <xf numFmtId="0" fontId="0" fillId="2" borderId="21" xfId="0" applyFill="1" applyBorder="1" applyAlignment="1">
      <alignment horizontal="center" vertical="center"/>
    </xf>
    <xf numFmtId="0" fontId="10" fillId="3" borderId="23" xfId="0" applyFont="1" applyFill="1" applyBorder="1"/>
    <xf numFmtId="0" fontId="11" fillId="25" borderId="0" xfId="0" applyFont="1" applyFill="1"/>
    <xf numFmtId="0" fontId="11" fillId="0" borderId="24" xfId="0" applyFont="1" applyBorder="1"/>
    <xf numFmtId="0" fontId="16" fillId="0" borderId="0" xfId="0" applyFont="1"/>
    <xf numFmtId="0" fontId="0" fillId="22" borderId="0" xfId="0" applyFill="1"/>
    <xf numFmtId="0" fontId="17" fillId="0" borderId="0" xfId="0" applyFont="1"/>
    <xf numFmtId="0" fontId="11" fillId="0" borderId="26" xfId="0" applyFont="1" applyBorder="1"/>
    <xf numFmtId="0" fontId="11" fillId="0" borderId="23" xfId="0" applyFont="1" applyBorder="1"/>
    <xf numFmtId="0" fontId="10" fillId="25" borderId="0" xfId="0" applyFont="1" applyFill="1"/>
    <xf numFmtId="0" fontId="0" fillId="25" borderId="0" xfId="0" applyFill="1"/>
    <xf numFmtId="0" fontId="10" fillId="0" borderId="23" xfId="0" applyFont="1" applyBorder="1"/>
    <xf numFmtId="0" fontId="11" fillId="22" borderId="0" xfId="0" applyFont="1" applyFill="1"/>
    <xf numFmtId="0" fontId="17" fillId="22" borderId="0" xfId="0" applyFont="1" applyFill="1"/>
    <xf numFmtId="0" fontId="11" fillId="0" borderId="19" xfId="0" applyFont="1" applyBorder="1"/>
    <xf numFmtId="0" fontId="10" fillId="0" borderId="19" xfId="0" applyFont="1" applyBorder="1"/>
    <xf numFmtId="0" fontId="11" fillId="0" borderId="14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0" xfId="0" applyFont="1" applyBorder="1"/>
    <xf numFmtId="0" fontId="11" fillId="0" borderId="18" xfId="0" applyFont="1" applyBorder="1"/>
    <xf numFmtId="0" fontId="0" fillId="0" borderId="0" xfId="0" applyAlignment="1">
      <alignment horizontal="left"/>
    </xf>
    <xf numFmtId="0" fontId="18" fillId="2" borderId="14" xfId="0" applyFont="1" applyFill="1" applyBorder="1" applyAlignment="1">
      <alignment vertical="center"/>
    </xf>
    <xf numFmtId="0" fontId="18" fillId="0" borderId="14" xfId="0" applyFont="1" applyBorder="1"/>
    <xf numFmtId="0" fontId="18" fillId="2" borderId="19" xfId="0" applyFont="1" applyFill="1" applyBorder="1" applyAlignment="1">
      <alignment vertical="center"/>
    </xf>
    <xf numFmtId="0" fontId="18" fillId="0" borderId="19" xfId="0" applyFont="1" applyBorder="1"/>
    <xf numFmtId="0" fontId="18" fillId="2" borderId="18" xfId="0" applyFont="1" applyFill="1" applyBorder="1" applyAlignment="1">
      <alignment vertical="center"/>
    </xf>
    <xf numFmtId="0" fontId="18" fillId="0" borderId="18" xfId="0" applyFont="1" applyBorder="1"/>
    <xf numFmtId="0" fontId="19" fillId="0" borderId="0" xfId="0" applyFont="1"/>
    <xf numFmtId="0" fontId="18" fillId="2" borderId="26" xfId="0" applyFont="1" applyFill="1" applyBorder="1" applyAlignment="1">
      <alignment vertical="center"/>
    </xf>
    <xf numFmtId="1" fontId="0" fillId="22" borderId="0" xfId="0" applyNumberFormat="1" applyFill="1"/>
    <xf numFmtId="0" fontId="0" fillId="0" borderId="26" xfId="0" applyBorder="1" applyAlignment="1">
      <alignment vertical="center"/>
    </xf>
    <xf numFmtId="0" fontId="0" fillId="22" borderId="0" xfId="0" applyFill="1" applyAlignment="1">
      <alignment horizontal="center"/>
    </xf>
    <xf numFmtId="0" fontId="16" fillId="0" borderId="25" xfId="0" applyFont="1" applyBorder="1"/>
    <xf numFmtId="0" fontId="0" fillId="0" borderId="28" xfId="0" applyBorder="1" applyAlignment="1">
      <alignment vertical="center"/>
    </xf>
    <xf numFmtId="0" fontId="16" fillId="0" borderId="23" xfId="0" applyFont="1" applyBorder="1"/>
    <xf numFmtId="0" fontId="0" fillId="22" borderId="0" xfId="0" applyFill="1" applyAlignment="1">
      <alignment vertical="center"/>
    </xf>
    <xf numFmtId="0" fontId="16" fillId="22" borderId="19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6" fillId="0" borderId="14" xfId="0" applyFont="1" applyBorder="1"/>
    <xf numFmtId="0" fontId="16" fillId="0" borderId="19" xfId="0" applyFont="1" applyBorder="1"/>
    <xf numFmtId="0" fontId="16" fillId="0" borderId="18" xfId="0" applyFont="1" applyBorder="1"/>
    <xf numFmtId="0" fontId="0" fillId="22" borderId="19" xfId="0" applyFill="1" applyBorder="1" applyAlignment="1">
      <alignment horizontal="center" vertical="center"/>
    </xf>
    <xf numFmtId="0" fontId="11" fillId="22" borderId="19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19" xfId="0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7" fillId="0" borderId="23" xfId="0" applyFont="1" applyBorder="1"/>
    <xf numFmtId="0" fontId="21" fillId="0" borderId="36" xfId="0" applyFont="1" applyBorder="1" applyAlignment="1">
      <alignment vertical="center" wrapText="1"/>
    </xf>
    <xf numFmtId="0" fontId="21" fillId="0" borderId="33" xfId="0" applyFont="1" applyBorder="1" applyAlignment="1">
      <alignment vertical="center" wrapText="1"/>
    </xf>
    <xf numFmtId="0" fontId="21" fillId="0" borderId="32" xfId="0" applyFont="1" applyBorder="1" applyAlignment="1">
      <alignment vertical="center" wrapText="1"/>
    </xf>
    <xf numFmtId="0" fontId="6" fillId="0" borderId="0" xfId="0" applyFont="1"/>
    <xf numFmtId="0" fontId="6" fillId="0" borderId="8" xfId="0" applyFont="1" applyBorder="1"/>
    <xf numFmtId="0" fontId="6" fillId="0" borderId="16" xfId="0" applyFont="1" applyBorder="1"/>
    <xf numFmtId="0" fontId="6" fillId="26" borderId="8" xfId="0" applyFont="1" applyFill="1" applyBorder="1"/>
    <xf numFmtId="0" fontId="6" fillId="26" borderId="16" xfId="0" applyFont="1" applyFill="1" applyBorder="1"/>
    <xf numFmtId="0" fontId="6" fillId="0" borderId="16" xfId="0" applyFont="1" applyBorder="1" applyAlignment="1">
      <alignment wrapText="1"/>
    </xf>
    <xf numFmtId="0" fontId="6" fillId="0" borderId="20" xfId="0" applyFont="1" applyBorder="1"/>
    <xf numFmtId="0" fontId="6" fillId="26" borderId="18" xfId="0" applyFont="1" applyFill="1" applyBorder="1"/>
    <xf numFmtId="0" fontId="6" fillId="26" borderId="20" xfId="0" applyFont="1" applyFill="1" applyBorder="1"/>
    <xf numFmtId="0" fontId="6" fillId="0" borderId="20" xfId="0" applyFont="1" applyBorder="1" applyAlignment="1">
      <alignment wrapText="1"/>
    </xf>
    <xf numFmtId="0" fontId="23" fillId="0" borderId="8" xfId="0" applyFont="1" applyBorder="1" applyAlignment="1">
      <alignment horizontal="center"/>
    </xf>
    <xf numFmtId="0" fontId="6" fillId="0" borderId="49" xfId="0" applyFont="1" applyBorder="1"/>
    <xf numFmtId="0" fontId="6" fillId="0" borderId="19" xfId="0" applyFont="1" applyBorder="1"/>
    <xf numFmtId="0" fontId="6" fillId="0" borderId="21" xfId="0" applyFont="1" applyBorder="1"/>
    <xf numFmtId="0" fontId="24" fillId="0" borderId="36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5" fillId="0" borderId="8" xfId="0" applyFont="1" applyBorder="1"/>
    <xf numFmtId="0" fontId="25" fillId="0" borderId="8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1" fillId="2" borderId="8" xfId="0" applyFont="1" applyFill="1" applyBorder="1"/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2" borderId="19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2" borderId="18" xfId="0" applyFont="1" applyFill="1" applyBorder="1"/>
    <xf numFmtId="0" fontId="11" fillId="0" borderId="18" xfId="0" applyFont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11" fillId="2" borderId="16" xfId="0" applyFont="1" applyFill="1" applyBorder="1"/>
    <xf numFmtId="0" fontId="11" fillId="0" borderId="8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6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1" fillId="0" borderId="2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2" borderId="14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1" fillId="24" borderId="8" xfId="0" applyFont="1" applyFill="1" applyBorder="1" applyAlignment="1">
      <alignment horizontal="left" vertical="center"/>
    </xf>
    <xf numFmtId="0" fontId="24" fillId="24" borderId="8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11" fillId="2" borderId="14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4" xfId="0" applyFont="1" applyFill="1" applyBorder="1" applyAlignment="1">
      <alignment vertical="center"/>
    </xf>
    <xf numFmtId="0" fontId="11" fillId="2" borderId="18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24" borderId="36" xfId="0" applyFont="1" applyFill="1" applyBorder="1" applyAlignment="1">
      <alignment vertical="center"/>
    </xf>
    <xf numFmtId="0" fontId="6" fillId="24" borderId="32" xfId="0" applyFont="1" applyFill="1" applyBorder="1" applyAlignment="1">
      <alignment vertical="center"/>
    </xf>
    <xf numFmtId="0" fontId="6" fillId="24" borderId="37" xfId="0" applyFont="1" applyFill="1" applyBorder="1" applyAlignment="1">
      <alignment vertical="center"/>
    </xf>
    <xf numFmtId="0" fontId="6" fillId="24" borderId="34" xfId="0" applyFont="1" applyFill="1" applyBorder="1" applyAlignment="1">
      <alignment vertical="center"/>
    </xf>
    <xf numFmtId="0" fontId="15" fillId="0" borderId="35" xfId="0" applyFont="1" applyBorder="1" applyAlignment="1"/>
  </cellXfs>
  <cellStyles count="54">
    <cellStyle name="20% - Accent1 2" xfId="1" xr:uid="{00000000-0005-0000-0000-000000000000}"/>
    <cellStyle name="20% - Accent1 3" xfId="2" xr:uid="{00000000-0005-0000-0000-000001000000}"/>
    <cellStyle name="20% - Accent2 2" xfId="3" xr:uid="{00000000-0005-0000-0000-000002000000}"/>
    <cellStyle name="20% - Accent2 3" xfId="4" xr:uid="{00000000-0005-0000-0000-000003000000}"/>
    <cellStyle name="20% - Accent3 2" xfId="5" xr:uid="{00000000-0005-0000-0000-000004000000}"/>
    <cellStyle name="20% - Accent3 3" xfId="6" xr:uid="{00000000-0005-0000-0000-000005000000}"/>
    <cellStyle name="20% - Accent4 2" xfId="7" xr:uid="{00000000-0005-0000-0000-000006000000}"/>
    <cellStyle name="20% - Accent4 3" xfId="8" xr:uid="{00000000-0005-0000-0000-000007000000}"/>
    <cellStyle name="40% - Accent3 2" xfId="9" xr:uid="{00000000-0005-0000-0000-000008000000}"/>
    <cellStyle name="40% - Accent3 3" xfId="10" xr:uid="{00000000-0005-0000-0000-000009000000}"/>
    <cellStyle name="60% - Accent3 2" xfId="11" xr:uid="{00000000-0005-0000-0000-00000A000000}"/>
    <cellStyle name="60% - Accent3 3" xfId="12" xr:uid="{00000000-0005-0000-0000-00000B000000}"/>
    <cellStyle name="60% - Accent4 2" xfId="13" xr:uid="{00000000-0005-0000-0000-00000C000000}"/>
    <cellStyle name="60% - Accent4 3" xfId="14" xr:uid="{00000000-0005-0000-0000-00000D000000}"/>
    <cellStyle name="60% - Accent6 2" xfId="15" xr:uid="{00000000-0005-0000-0000-00000E000000}"/>
    <cellStyle name="60% - Accent6 3" xfId="16" xr:uid="{00000000-0005-0000-0000-00000F000000}"/>
    <cellStyle name="Hyperlink 2" xfId="17" xr:uid="{00000000-0005-0000-0000-000010000000}"/>
    <cellStyle name="Normal" xfId="0" builtinId="0"/>
    <cellStyle name="Normal 10" xfId="18" xr:uid="{00000000-0005-0000-0000-000012000000}"/>
    <cellStyle name="Normal 16" xfId="19" xr:uid="{00000000-0005-0000-0000-000013000000}"/>
    <cellStyle name="Normal 2" xfId="20" xr:uid="{00000000-0005-0000-0000-000014000000}"/>
    <cellStyle name="Normal 2 2" xfId="21" xr:uid="{00000000-0005-0000-0000-000015000000}"/>
    <cellStyle name="Normal 2 2 2" xfId="22" xr:uid="{00000000-0005-0000-0000-000016000000}"/>
    <cellStyle name="Normal 2 2 3" xfId="23" xr:uid="{00000000-0005-0000-0000-000017000000}"/>
    <cellStyle name="Normal 2 3" xfId="24" xr:uid="{00000000-0005-0000-0000-000018000000}"/>
    <cellStyle name="Normal 2 3 2" xfId="25" xr:uid="{00000000-0005-0000-0000-000019000000}"/>
    <cellStyle name="Normal 2 3 3" xfId="26" xr:uid="{00000000-0005-0000-0000-00001A000000}"/>
    <cellStyle name="Normal 2 3 4" xfId="27" xr:uid="{00000000-0005-0000-0000-00001B000000}"/>
    <cellStyle name="Normal 2 4" xfId="28" xr:uid="{00000000-0005-0000-0000-00001C000000}"/>
    <cellStyle name="Normal 2 5" xfId="29" xr:uid="{00000000-0005-0000-0000-00001D000000}"/>
    <cellStyle name="Normal 2 5 2" xfId="30" xr:uid="{00000000-0005-0000-0000-00001E000000}"/>
    <cellStyle name="Normal 2 6" xfId="31" xr:uid="{00000000-0005-0000-0000-00001F000000}"/>
    <cellStyle name="Normal 2 6 2" xfId="32" xr:uid="{00000000-0005-0000-0000-000020000000}"/>
    <cellStyle name="Normal 2 7" xfId="33" xr:uid="{00000000-0005-0000-0000-000021000000}"/>
    <cellStyle name="Normal 2 7 2" xfId="34" xr:uid="{00000000-0005-0000-0000-000022000000}"/>
    <cellStyle name="Normal 3" xfId="35" xr:uid="{00000000-0005-0000-0000-000023000000}"/>
    <cellStyle name="Normal 3 2" xfId="36" xr:uid="{00000000-0005-0000-0000-000024000000}"/>
    <cellStyle name="Normal 3 2 2" xfId="37" xr:uid="{00000000-0005-0000-0000-000025000000}"/>
    <cellStyle name="Normal 3 2 3" xfId="38" xr:uid="{00000000-0005-0000-0000-000026000000}"/>
    <cellStyle name="Normal 3 2 4" xfId="39" xr:uid="{00000000-0005-0000-0000-000027000000}"/>
    <cellStyle name="Normal 3 3" xfId="40" xr:uid="{00000000-0005-0000-0000-000028000000}"/>
    <cellStyle name="Normal 3 4" xfId="41" xr:uid="{00000000-0005-0000-0000-000029000000}"/>
    <cellStyle name="Normal 3 5" xfId="42" xr:uid="{00000000-0005-0000-0000-00002A000000}"/>
    <cellStyle name="Normal 4" xfId="43" xr:uid="{00000000-0005-0000-0000-00002B000000}"/>
    <cellStyle name="Normal 5" xfId="44" xr:uid="{00000000-0005-0000-0000-00002C000000}"/>
    <cellStyle name="Normal 6" xfId="45" xr:uid="{00000000-0005-0000-0000-00002D000000}"/>
    <cellStyle name="Normal 86" xfId="46" xr:uid="{00000000-0005-0000-0000-00002E000000}"/>
    <cellStyle name="Normal 86 2" xfId="47" xr:uid="{00000000-0005-0000-0000-00002F000000}"/>
    <cellStyle name="Normal 9" xfId="48" xr:uid="{00000000-0005-0000-0000-000030000000}"/>
    <cellStyle name="Normal 9 2" xfId="49" xr:uid="{00000000-0005-0000-0000-000031000000}"/>
    <cellStyle name="Note 2" xfId="50" xr:uid="{00000000-0005-0000-0000-000032000000}"/>
    <cellStyle name="Note 2 2" xfId="51" xr:uid="{00000000-0005-0000-0000-000033000000}"/>
    <cellStyle name="Note 3" xfId="52" xr:uid="{00000000-0005-0000-0000-000034000000}"/>
    <cellStyle name="Title 2" xfId="53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88</xdr:row>
      <xdr:rowOff>0</xdr:rowOff>
    </xdr:from>
    <xdr:to>
      <xdr:col>17</xdr:col>
      <xdr:colOff>209067</xdr:colOff>
      <xdr:row>98</xdr:row>
      <xdr:rowOff>28333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05A18E-6B3B-49D0-A361-81DA5C9B0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4550" y="17145000"/>
          <a:ext cx="3866667" cy="19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92</xdr:row>
      <xdr:rowOff>38100</xdr:rowOff>
    </xdr:from>
    <xdr:to>
      <xdr:col>9</xdr:col>
      <xdr:colOff>323325</xdr:colOff>
      <xdr:row>116</xdr:row>
      <xdr:rowOff>170862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67B6A-BFFB-4DF4-9C7B-CF8E05C98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4450" y="17945100"/>
          <a:ext cx="4200000" cy="47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88</xdr:row>
      <xdr:rowOff>0</xdr:rowOff>
    </xdr:from>
    <xdr:to>
      <xdr:col>17</xdr:col>
      <xdr:colOff>209067</xdr:colOff>
      <xdr:row>98</xdr:row>
      <xdr:rowOff>28333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6578A-6C4F-4292-BA5E-AF5EF953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17145000"/>
          <a:ext cx="3866667" cy="19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92</xdr:row>
      <xdr:rowOff>38100</xdr:rowOff>
    </xdr:from>
    <xdr:to>
      <xdr:col>9</xdr:col>
      <xdr:colOff>323325</xdr:colOff>
      <xdr:row>116</xdr:row>
      <xdr:rowOff>170862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AD95E9-3C58-4263-9DDA-B194B0F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0" y="17945100"/>
          <a:ext cx="4200000" cy="47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88</xdr:row>
      <xdr:rowOff>0</xdr:rowOff>
    </xdr:from>
    <xdr:to>
      <xdr:col>17</xdr:col>
      <xdr:colOff>209067</xdr:colOff>
      <xdr:row>98</xdr:row>
      <xdr:rowOff>5473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8589C-CAB5-4202-8B51-B8A1E9775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0960" y="16459200"/>
          <a:ext cx="3866667" cy="1857133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92</xdr:row>
      <xdr:rowOff>38100</xdr:rowOff>
    </xdr:from>
    <xdr:to>
      <xdr:col>9</xdr:col>
      <xdr:colOff>323325</xdr:colOff>
      <xdr:row>116</xdr:row>
      <xdr:rowOff>117522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4AF3B-9A1C-4E81-A0B7-E095B13D1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9775" y="17228820"/>
          <a:ext cx="4333350" cy="45218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88</xdr:row>
      <xdr:rowOff>0</xdr:rowOff>
    </xdr:from>
    <xdr:to>
      <xdr:col>17</xdr:col>
      <xdr:colOff>209067</xdr:colOff>
      <xdr:row>98</xdr:row>
      <xdr:rowOff>5473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9462B-0A11-454F-A6DF-92C80E158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0960" y="16459200"/>
          <a:ext cx="3866667" cy="1857133"/>
        </a:xfrm>
        <a:prstGeom prst="rect">
          <a:avLst/>
        </a:prstGeom>
      </xdr:spPr>
    </xdr:pic>
    <xdr:clientData/>
  </xdr:twoCellAnchor>
  <xdr:twoCellAnchor editAs="oneCell">
    <xdr:from>
      <xdr:col>6</xdr:col>
      <xdr:colOff>866775</xdr:colOff>
      <xdr:row>92</xdr:row>
      <xdr:rowOff>38100</xdr:rowOff>
    </xdr:from>
    <xdr:to>
      <xdr:col>8</xdr:col>
      <xdr:colOff>1047225</xdr:colOff>
      <xdr:row>116</xdr:row>
      <xdr:rowOff>125142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F6204-D393-4B63-AEFD-7FC604466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9775" y="17236440"/>
          <a:ext cx="4333350" cy="4521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7BC5-F42D-466B-AA61-89CD1A8E7758}">
  <dimension ref="A1:W91"/>
  <sheetViews>
    <sheetView tabSelected="1" workbookViewId="0">
      <selection activeCell="F24" sqref="F24"/>
    </sheetView>
  </sheetViews>
  <sheetFormatPr defaultRowHeight="14.45"/>
  <cols>
    <col min="1" max="1" width="21.5703125" bestFit="1" customWidth="1"/>
    <col min="2" max="2" width="28.7109375" bestFit="1" customWidth="1"/>
    <col min="3" max="3" width="27.140625" bestFit="1" customWidth="1"/>
    <col min="6" max="6" width="32.7109375" bestFit="1" customWidth="1"/>
    <col min="7" max="7" width="34.28515625" bestFit="1" customWidth="1"/>
    <col min="8" max="8" width="21.140625" bestFit="1" customWidth="1"/>
    <col min="9" max="9" width="15.7109375" bestFit="1" customWidth="1"/>
    <col min="10" max="10" width="15.28515625" bestFit="1" customWidth="1"/>
  </cols>
  <sheetData>
    <row r="1" spans="1:12">
      <c r="A1" s="20" t="s">
        <v>0</v>
      </c>
      <c r="B1" s="20" t="s">
        <v>1</v>
      </c>
      <c r="C1" s="22" t="s">
        <v>2</v>
      </c>
      <c r="D1" s="14"/>
      <c r="E1" s="4"/>
      <c r="F1" s="324" t="s">
        <v>3</v>
      </c>
      <c r="G1" s="325"/>
      <c r="H1" s="325"/>
      <c r="I1" s="325"/>
      <c r="J1" s="325"/>
      <c r="K1" s="325"/>
      <c r="L1" s="326"/>
    </row>
    <row r="2" spans="1:12">
      <c r="A2" s="64"/>
      <c r="B2" s="20"/>
      <c r="C2" s="22"/>
      <c r="D2" s="14"/>
      <c r="E2" s="4"/>
      <c r="F2" s="99" t="s">
        <v>4</v>
      </c>
      <c r="G2" s="99" t="s">
        <v>5</v>
      </c>
      <c r="H2" s="99" t="s">
        <v>6</v>
      </c>
      <c r="I2" s="99" t="s">
        <v>7</v>
      </c>
      <c r="J2" s="99" t="s">
        <v>8</v>
      </c>
    </row>
    <row r="3" spans="1:12">
      <c r="A3" s="50" t="s">
        <v>9</v>
      </c>
      <c r="B3" s="105" t="s">
        <v>10</v>
      </c>
      <c r="C3" s="21"/>
      <c r="D3" s="1"/>
      <c r="E3" s="6"/>
      <c r="F3" s="103"/>
      <c r="G3" s="103"/>
      <c r="H3" s="103"/>
      <c r="I3" s="103"/>
      <c r="J3" s="103"/>
    </row>
    <row r="4" spans="1:12">
      <c r="A4" s="52"/>
      <c r="B4" s="50" t="s">
        <v>11</v>
      </c>
      <c r="C4" s="21"/>
      <c r="D4" s="1"/>
      <c r="F4" s="103"/>
      <c r="G4" s="103"/>
      <c r="H4" s="103"/>
      <c r="I4" s="103"/>
      <c r="J4" s="103"/>
    </row>
    <row r="5" spans="1:12">
      <c r="A5" s="52"/>
      <c r="B5" s="105" t="s">
        <v>12</v>
      </c>
      <c r="C5" s="21"/>
      <c r="D5" s="1"/>
      <c r="F5" s="103"/>
      <c r="G5" s="103"/>
      <c r="H5" s="103"/>
      <c r="I5" s="103"/>
      <c r="J5" s="103"/>
    </row>
    <row r="6" spans="1:12">
      <c r="A6" s="52"/>
      <c r="B6" s="105" t="s">
        <v>13</v>
      </c>
      <c r="C6" s="21"/>
      <c r="D6" s="1"/>
      <c r="F6" s="103"/>
      <c r="G6" s="103"/>
      <c r="H6" s="103"/>
      <c r="I6" s="103"/>
      <c r="J6" s="103"/>
    </row>
    <row r="7" spans="1:12">
      <c r="A7" s="52"/>
      <c r="B7" s="105" t="s">
        <v>14</v>
      </c>
      <c r="C7" s="21"/>
      <c r="D7" s="1"/>
      <c r="F7" s="103"/>
      <c r="G7" s="103"/>
      <c r="H7" s="103"/>
      <c r="I7" s="103"/>
      <c r="J7" s="103"/>
    </row>
    <row r="8" spans="1:12">
      <c r="A8" s="52"/>
      <c r="B8" s="105" t="s">
        <v>15</v>
      </c>
      <c r="C8" s="21"/>
      <c r="D8" s="1"/>
      <c r="F8" s="103"/>
      <c r="G8" s="103"/>
      <c r="H8" s="103"/>
      <c r="I8" s="103"/>
      <c r="J8" s="103"/>
    </row>
    <row r="9" spans="1:12">
      <c r="A9" s="52"/>
      <c r="B9" s="105" t="s">
        <v>16</v>
      </c>
      <c r="C9" s="21"/>
      <c r="D9" s="1"/>
      <c r="F9" s="103"/>
      <c r="G9" s="103"/>
      <c r="H9" s="103"/>
      <c r="I9" s="103"/>
      <c r="J9" s="103"/>
    </row>
    <row r="10" spans="1:12">
      <c r="A10" s="52"/>
      <c r="B10" s="105" t="s">
        <v>17</v>
      </c>
      <c r="C10" s="21"/>
      <c r="D10" s="1"/>
      <c r="F10" s="103"/>
      <c r="G10" s="103"/>
      <c r="H10" s="103"/>
      <c r="I10" s="103"/>
      <c r="J10" s="103"/>
    </row>
    <row r="11" spans="1:12">
      <c r="A11" s="50" t="s">
        <v>18</v>
      </c>
      <c r="B11" s="8" t="s">
        <v>19</v>
      </c>
      <c r="C11" s="21"/>
      <c r="D11" s="1"/>
      <c r="F11" s="103"/>
      <c r="G11" s="103"/>
      <c r="H11" s="103"/>
      <c r="I11" s="103"/>
      <c r="J11" s="103"/>
    </row>
    <row r="12" spans="1:12">
      <c r="A12" s="52"/>
      <c r="B12" s="161" t="s">
        <v>20</v>
      </c>
      <c r="C12" s="21"/>
      <c r="D12" s="1"/>
      <c r="F12" s="103"/>
      <c r="G12" s="103"/>
      <c r="H12" s="103"/>
      <c r="I12" s="103"/>
      <c r="J12" s="103"/>
    </row>
    <row r="13" spans="1:12">
      <c r="A13" s="52"/>
      <c r="B13" s="8" t="s">
        <v>21</v>
      </c>
      <c r="C13" s="21"/>
      <c r="D13" s="1"/>
      <c r="F13" s="103"/>
      <c r="G13" s="103"/>
      <c r="H13" s="103"/>
      <c r="I13" s="103"/>
      <c r="J13" s="103"/>
    </row>
    <row r="14" spans="1:12">
      <c r="A14" s="51"/>
      <c r="B14" s="8" t="s">
        <v>22</v>
      </c>
      <c r="C14" s="21"/>
      <c r="D14" s="1"/>
      <c r="F14" s="103"/>
      <c r="G14" s="103"/>
      <c r="H14" s="103"/>
      <c r="I14" s="103"/>
      <c r="J14" s="103"/>
    </row>
    <row r="15" spans="1:12">
      <c r="A15" s="162" t="s">
        <v>23</v>
      </c>
      <c r="B15" s="153" t="s">
        <v>23</v>
      </c>
      <c r="C15" s="21"/>
      <c r="F15" s="103"/>
      <c r="G15" s="103"/>
      <c r="H15" s="103"/>
      <c r="I15" s="103"/>
      <c r="J15" s="103"/>
    </row>
    <row r="16" spans="1:12">
      <c r="A16" s="1"/>
      <c r="B16" s="1"/>
      <c r="C16" s="1"/>
      <c r="F16" s="15"/>
      <c r="G16" s="15"/>
      <c r="H16" s="15"/>
      <c r="I16" s="15"/>
      <c r="J16" s="15"/>
    </row>
    <row r="18" spans="1:23">
      <c r="A18" s="14"/>
      <c r="B18" s="14"/>
      <c r="C18" s="4"/>
      <c r="F18" s="31" t="s">
        <v>24</v>
      </c>
      <c r="G18" s="31" t="s">
        <v>25</v>
      </c>
      <c r="H18" s="3"/>
      <c r="I18" s="3"/>
      <c r="J18" s="3"/>
      <c r="K18" s="3"/>
      <c r="L18" s="3"/>
      <c r="M18" s="3"/>
    </row>
    <row r="19" spans="1:23">
      <c r="A19" s="327" t="s">
        <v>26</v>
      </c>
      <c r="B19" s="27" t="s">
        <v>27</v>
      </c>
      <c r="C19" s="21" t="s">
        <v>28</v>
      </c>
      <c r="D19" s="1"/>
      <c r="F19" s="103" t="s">
        <v>29</v>
      </c>
      <c r="G19" s="2" t="s">
        <v>30</v>
      </c>
      <c r="H19" s="3"/>
      <c r="I19" s="3"/>
      <c r="J19" s="3"/>
      <c r="K19" s="3"/>
      <c r="L19" s="3"/>
      <c r="M19" s="3"/>
    </row>
    <row r="20" spans="1:23">
      <c r="A20" s="328"/>
      <c r="B20" s="27" t="s">
        <v>31</v>
      </c>
      <c r="C20" s="21" t="s">
        <v>32</v>
      </c>
      <c r="D20" s="1"/>
      <c r="F20" s="103" t="s">
        <v>29</v>
      </c>
      <c r="G20" s="2" t="s">
        <v>30</v>
      </c>
      <c r="H20" s="3"/>
      <c r="I20" s="3"/>
      <c r="J20" s="3"/>
      <c r="K20" s="3"/>
      <c r="L20" s="3"/>
      <c r="M20" s="3"/>
    </row>
    <row r="21" spans="1:23">
      <c r="A21" s="104" t="s">
        <v>33</v>
      </c>
      <c r="B21" s="27" t="s">
        <v>31</v>
      </c>
      <c r="C21" s="21" t="s">
        <v>32</v>
      </c>
      <c r="D21" s="1"/>
      <c r="F21" s="103" t="s">
        <v>29</v>
      </c>
      <c r="G21" s="2" t="s">
        <v>30</v>
      </c>
      <c r="H21" s="3"/>
      <c r="I21" s="3"/>
      <c r="J21" s="3"/>
      <c r="K21" s="3"/>
      <c r="L21" s="3"/>
      <c r="M21" s="3"/>
    </row>
    <row r="22" spans="1:23">
      <c r="A22" s="322" t="s">
        <v>34</v>
      </c>
      <c r="B22" s="27" t="s">
        <v>35</v>
      </c>
      <c r="C22" s="21" t="s">
        <v>36</v>
      </c>
      <c r="D22" s="1"/>
      <c r="F22" s="103" t="s">
        <v>37</v>
      </c>
      <c r="G22" s="2" t="s">
        <v>38</v>
      </c>
      <c r="H22" s="3"/>
      <c r="I22" s="3"/>
      <c r="J22" s="3"/>
      <c r="K22" s="3"/>
      <c r="L22" s="3"/>
      <c r="M22" s="3"/>
    </row>
    <row r="23" spans="1:23">
      <c r="A23" s="323"/>
      <c r="B23" s="27" t="s">
        <v>39</v>
      </c>
      <c r="C23" s="21" t="s">
        <v>40</v>
      </c>
      <c r="D23" s="1"/>
      <c r="F23" s="2" t="s">
        <v>38</v>
      </c>
      <c r="G23" s="103" t="s">
        <v>37</v>
      </c>
      <c r="H23" s="3"/>
      <c r="I23" s="3"/>
      <c r="J23" s="3"/>
      <c r="K23" s="3"/>
      <c r="L23" s="3"/>
      <c r="M23" s="3"/>
    </row>
    <row r="24" spans="1:23">
      <c r="A24" s="51" t="s">
        <v>41</v>
      </c>
      <c r="B24" s="51" t="s">
        <v>41</v>
      </c>
      <c r="C24" s="21" t="s">
        <v>42</v>
      </c>
      <c r="D24" s="1"/>
      <c r="F24" s="103" t="s">
        <v>43</v>
      </c>
      <c r="G24" s="103" t="s">
        <v>38</v>
      </c>
      <c r="H24" s="3"/>
      <c r="I24" s="3"/>
      <c r="J24" s="3"/>
      <c r="K24" s="3"/>
      <c r="L24" s="3"/>
      <c r="M24" s="3"/>
    </row>
    <row r="25" spans="1:23" s="3" customFormat="1">
      <c r="A25" s="105" t="s">
        <v>44</v>
      </c>
      <c r="B25" s="105" t="s">
        <v>44</v>
      </c>
      <c r="C25" s="21" t="s">
        <v>45</v>
      </c>
      <c r="D25" s="1"/>
      <c r="E25"/>
      <c r="F25" s="103" t="s">
        <v>46</v>
      </c>
      <c r="G25" s="103" t="s">
        <v>38</v>
      </c>
      <c r="N25"/>
      <c r="O25"/>
      <c r="P25"/>
      <c r="Q25"/>
      <c r="R25"/>
      <c r="S25"/>
      <c r="T25"/>
      <c r="U25"/>
      <c r="V25"/>
      <c r="W25"/>
    </row>
    <row r="26" spans="1:23" s="3" customFormat="1">
      <c r="A26" s="51" t="s">
        <v>47</v>
      </c>
      <c r="B26" s="51" t="s">
        <v>47</v>
      </c>
      <c r="C26" s="21" t="s">
        <v>48</v>
      </c>
      <c r="D26" s="1"/>
      <c r="E26"/>
      <c r="F26" s="103" t="s">
        <v>43</v>
      </c>
      <c r="G26" s="103" t="s">
        <v>38</v>
      </c>
      <c r="N26"/>
      <c r="O26"/>
      <c r="P26"/>
      <c r="Q26"/>
      <c r="R26"/>
      <c r="S26"/>
      <c r="T26"/>
      <c r="U26"/>
      <c r="V26"/>
      <c r="W26"/>
    </row>
    <row r="27" spans="1:23" s="3" customFormat="1">
      <c r="A27" s="105" t="s">
        <v>49</v>
      </c>
      <c r="B27" s="105" t="s">
        <v>50</v>
      </c>
      <c r="C27" s="21"/>
      <c r="D27" s="1"/>
      <c r="E27"/>
      <c r="F27" s="103" t="s">
        <v>29</v>
      </c>
      <c r="G27" s="2" t="s">
        <v>30</v>
      </c>
      <c r="N27"/>
      <c r="O27"/>
      <c r="P27"/>
      <c r="Q27"/>
      <c r="R27"/>
      <c r="S27"/>
      <c r="T27"/>
      <c r="U27"/>
      <c r="V27"/>
      <c r="W27"/>
    </row>
    <row r="28" spans="1:23" s="3" customFormat="1">
      <c r="A28" s="1"/>
      <c r="B28" s="1"/>
      <c r="C28" s="1"/>
      <c r="D28" s="1"/>
      <c r="E28"/>
      <c r="F28" s="15"/>
      <c r="N28"/>
      <c r="O28"/>
      <c r="P28"/>
      <c r="Q28"/>
      <c r="R28"/>
      <c r="S28"/>
      <c r="T28"/>
      <c r="U28"/>
      <c r="V28"/>
      <c r="W28"/>
    </row>
    <row r="29" spans="1:23">
      <c r="F29" s="3"/>
      <c r="G29" s="3"/>
      <c r="H29" s="3"/>
      <c r="I29" s="3"/>
      <c r="J29" s="3"/>
      <c r="K29" s="3"/>
      <c r="L29" s="3"/>
      <c r="M29" s="3"/>
    </row>
    <row r="30" spans="1:23" s="3" customFormat="1">
      <c r="A30" s="143"/>
      <c r="B30" s="143"/>
      <c r="C30" s="144"/>
      <c r="D30"/>
      <c r="E30"/>
      <c r="F30" s="31" t="s">
        <v>24</v>
      </c>
      <c r="G30" s="31" t="s">
        <v>5</v>
      </c>
      <c r="H30" s="31" t="s">
        <v>51</v>
      </c>
      <c r="N30"/>
      <c r="O30"/>
      <c r="P30"/>
      <c r="Q30"/>
      <c r="R30"/>
      <c r="S30"/>
      <c r="T30"/>
      <c r="U30"/>
      <c r="V30"/>
      <c r="W30"/>
    </row>
    <row r="31" spans="1:23" s="3" customFormat="1">
      <c r="A31" s="329" t="s">
        <v>52</v>
      </c>
      <c r="B31" s="141" t="s">
        <v>53</v>
      </c>
      <c r="C31" s="142" t="s">
        <v>28</v>
      </c>
      <c r="D31" s="1"/>
      <c r="E31"/>
      <c r="F31" s="103" t="s">
        <v>29</v>
      </c>
      <c r="G31" s="2" t="s">
        <v>30</v>
      </c>
      <c r="H31" s="2" t="s">
        <v>30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329"/>
      <c r="B32" s="27" t="s">
        <v>54</v>
      </c>
      <c r="C32" s="21" t="s">
        <v>32</v>
      </c>
      <c r="D32" s="1"/>
      <c r="E32"/>
      <c r="F32" s="103" t="s">
        <v>29</v>
      </c>
      <c r="G32" s="2" t="s">
        <v>30</v>
      </c>
      <c r="H32" s="2" t="s">
        <v>30</v>
      </c>
      <c r="N32"/>
      <c r="O32"/>
      <c r="P32"/>
      <c r="Q32"/>
      <c r="R32"/>
      <c r="S32"/>
      <c r="T32"/>
      <c r="U32"/>
      <c r="V32"/>
      <c r="W32"/>
    </row>
    <row r="33" spans="1:23" s="3" customFormat="1">
      <c r="A33" s="329"/>
      <c r="B33" s="27" t="s">
        <v>55</v>
      </c>
      <c r="C33" s="21" t="s">
        <v>56</v>
      </c>
      <c r="D33" s="1"/>
      <c r="E33"/>
      <c r="F33" s="103" t="s">
        <v>29</v>
      </c>
      <c r="G33" s="2" t="s">
        <v>57</v>
      </c>
      <c r="H33" s="2" t="s">
        <v>30</v>
      </c>
      <c r="I33" s="3" t="s">
        <v>58</v>
      </c>
      <c r="N33"/>
      <c r="O33"/>
      <c r="P33"/>
      <c r="Q33"/>
      <c r="R33"/>
      <c r="S33"/>
      <c r="T33"/>
      <c r="U33"/>
      <c r="V33"/>
      <c r="W33"/>
    </row>
    <row r="34" spans="1:23" s="3" customFormat="1">
      <c r="A34" s="329"/>
      <c r="B34" s="27" t="s">
        <v>59</v>
      </c>
      <c r="C34" s="21" t="s">
        <v>60</v>
      </c>
      <c r="D34" s="1"/>
      <c r="E34"/>
      <c r="F34" s="103" t="s">
        <v>29</v>
      </c>
      <c r="G34" s="2" t="s">
        <v>30</v>
      </c>
      <c r="H34" s="2" t="s">
        <v>57</v>
      </c>
      <c r="I34" s="3" t="s">
        <v>58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329"/>
      <c r="B35" s="27" t="s">
        <v>61</v>
      </c>
      <c r="C35" s="21" t="s">
        <v>56</v>
      </c>
      <c r="D35" s="1"/>
      <c r="E35"/>
      <c r="F35" s="103" t="s">
        <v>29</v>
      </c>
      <c r="G35" s="2" t="s">
        <v>62</v>
      </c>
      <c r="H35" s="2" t="s">
        <v>30</v>
      </c>
      <c r="N35"/>
      <c r="O35"/>
      <c r="P35"/>
      <c r="Q35"/>
      <c r="R35"/>
      <c r="S35"/>
      <c r="T35"/>
      <c r="U35"/>
      <c r="V35"/>
      <c r="W35"/>
    </row>
    <row r="36" spans="1:23" s="3" customFormat="1">
      <c r="A36" s="323"/>
      <c r="B36" s="27" t="s">
        <v>63</v>
      </c>
      <c r="C36" s="21" t="s">
        <v>60</v>
      </c>
      <c r="D36" s="1"/>
      <c r="E36"/>
      <c r="F36" s="103" t="s">
        <v>29</v>
      </c>
      <c r="G36" s="2" t="s">
        <v>30</v>
      </c>
      <c r="H36" s="2" t="s">
        <v>62</v>
      </c>
      <c r="N36"/>
      <c r="O36"/>
      <c r="P36"/>
      <c r="Q36"/>
      <c r="R36"/>
      <c r="S36"/>
      <c r="T36"/>
      <c r="U36"/>
      <c r="V36"/>
      <c r="W36"/>
    </row>
    <row r="37" spans="1:23" s="3" customFormat="1">
      <c r="A37" s="104" t="s">
        <v>64</v>
      </c>
      <c r="B37" s="27" t="s">
        <v>54</v>
      </c>
      <c r="C37" s="21" t="s">
        <v>32</v>
      </c>
      <c r="D37" s="1"/>
      <c r="E37"/>
      <c r="F37" s="103" t="s">
        <v>29</v>
      </c>
      <c r="G37" s="2" t="s">
        <v>30</v>
      </c>
      <c r="H37" s="2" t="s">
        <v>30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322" t="s">
        <v>65</v>
      </c>
      <c r="B38" s="29" t="s">
        <v>66</v>
      </c>
      <c r="C38" s="21" t="s">
        <v>67</v>
      </c>
      <c r="D38" s="1"/>
      <c r="E38"/>
      <c r="F38" s="103" t="s">
        <v>37</v>
      </c>
      <c r="G38" s="2" t="s">
        <v>38</v>
      </c>
      <c r="H38" s="2" t="s">
        <v>38</v>
      </c>
      <c r="N38"/>
      <c r="O38"/>
      <c r="P38"/>
      <c r="Q38"/>
      <c r="R38"/>
      <c r="S38"/>
      <c r="T38"/>
      <c r="U38"/>
      <c r="V38"/>
      <c r="W38"/>
    </row>
    <row r="39" spans="1:23" s="3" customFormat="1">
      <c r="A39" s="329"/>
      <c r="B39" s="29" t="s">
        <v>68</v>
      </c>
      <c r="C39" s="21" t="s">
        <v>36</v>
      </c>
      <c r="D39" s="1"/>
      <c r="E39"/>
      <c r="F39" s="103" t="s">
        <v>37</v>
      </c>
      <c r="G39" s="2" t="s">
        <v>38</v>
      </c>
      <c r="H39" s="2" t="s">
        <v>57</v>
      </c>
      <c r="I39" s="3" t="s">
        <v>58</v>
      </c>
      <c r="N39"/>
      <c r="O39"/>
      <c r="P39"/>
      <c r="Q39"/>
      <c r="R39"/>
      <c r="S39"/>
      <c r="T39"/>
      <c r="U39"/>
      <c r="V39"/>
      <c r="W39"/>
    </row>
    <row r="40" spans="1:23" s="3" customFormat="1">
      <c r="A40" s="52"/>
      <c r="B40" s="29" t="s">
        <v>69</v>
      </c>
      <c r="C40" s="21" t="s">
        <v>70</v>
      </c>
      <c r="D40" s="1"/>
      <c r="E40"/>
      <c r="F40" s="103" t="s">
        <v>37</v>
      </c>
      <c r="G40" s="2" t="s">
        <v>57</v>
      </c>
      <c r="H40" s="2" t="s">
        <v>38</v>
      </c>
      <c r="I40" s="3" t="s">
        <v>58</v>
      </c>
      <c r="N40"/>
      <c r="O40"/>
      <c r="P40"/>
      <c r="Q40"/>
      <c r="R40"/>
      <c r="S40"/>
      <c r="T40"/>
      <c r="U40"/>
      <c r="V40"/>
      <c r="W40"/>
    </row>
    <row r="41" spans="1:23" s="3" customFormat="1" ht="43.15">
      <c r="A41" s="51"/>
      <c r="B41" s="8" t="s">
        <v>71</v>
      </c>
      <c r="C41" s="100" t="s">
        <v>72</v>
      </c>
      <c r="D41" s="1"/>
      <c r="E41"/>
      <c r="F41" s="103" t="s">
        <v>73</v>
      </c>
      <c r="G41" s="103" t="s">
        <v>37</v>
      </c>
      <c r="H41" s="103" t="s">
        <v>73</v>
      </c>
      <c r="N41"/>
      <c r="O41"/>
      <c r="P41"/>
      <c r="Q41"/>
      <c r="R41"/>
      <c r="S41"/>
      <c r="T41"/>
      <c r="U41"/>
      <c r="V41"/>
      <c r="W41"/>
    </row>
    <row r="42" spans="1:23" s="3" customFormat="1">
      <c r="A42" s="51" t="s">
        <v>74</v>
      </c>
      <c r="B42" s="51" t="s">
        <v>74</v>
      </c>
      <c r="C42" s="21" t="s">
        <v>42</v>
      </c>
      <c r="D42" s="1"/>
      <c r="E42"/>
      <c r="F42" s="103" t="s">
        <v>43</v>
      </c>
      <c r="G42" s="103" t="s">
        <v>38</v>
      </c>
      <c r="H42" s="103" t="s">
        <v>38</v>
      </c>
      <c r="N42"/>
      <c r="O42"/>
      <c r="P42"/>
      <c r="Q42"/>
      <c r="R42"/>
      <c r="S42"/>
      <c r="T42"/>
      <c r="U42"/>
      <c r="V42"/>
      <c r="W42"/>
    </row>
    <row r="43" spans="1:23" s="3" customFormat="1">
      <c r="A43" s="105" t="s">
        <v>75</v>
      </c>
      <c r="B43" s="105" t="s">
        <v>75</v>
      </c>
      <c r="C43" s="21" t="s">
        <v>45</v>
      </c>
      <c r="D43" s="1"/>
      <c r="E43"/>
      <c r="F43" s="103" t="s">
        <v>46</v>
      </c>
      <c r="G43" s="103" t="s">
        <v>38</v>
      </c>
      <c r="H43" s="103" t="s">
        <v>38</v>
      </c>
      <c r="N43"/>
      <c r="O43"/>
      <c r="P43"/>
      <c r="Q43"/>
      <c r="R43"/>
      <c r="S43"/>
      <c r="T43"/>
      <c r="U43"/>
      <c r="V43"/>
      <c r="W43"/>
    </row>
    <row r="44" spans="1:23" s="3" customFormat="1">
      <c r="A44" s="51" t="s">
        <v>76</v>
      </c>
      <c r="B44" s="51" t="s">
        <v>76</v>
      </c>
      <c r="C44" s="21" t="s">
        <v>48</v>
      </c>
      <c r="D44" s="1"/>
      <c r="E44"/>
      <c r="F44" s="103" t="s">
        <v>43</v>
      </c>
      <c r="G44" s="103" t="s">
        <v>38</v>
      </c>
      <c r="H44" s="103" t="s">
        <v>38</v>
      </c>
      <c r="N44"/>
      <c r="O44"/>
      <c r="P44"/>
      <c r="Q44"/>
      <c r="R44"/>
      <c r="S44"/>
      <c r="T44"/>
      <c r="U44"/>
      <c r="V44"/>
      <c r="W44"/>
    </row>
    <row r="47" spans="1:23">
      <c r="E47" s="4"/>
      <c r="F47" s="19" t="s">
        <v>77</v>
      </c>
      <c r="G47" s="19" t="s">
        <v>78</v>
      </c>
    </row>
    <row r="48" spans="1:23">
      <c r="A48" s="105" t="s">
        <v>79</v>
      </c>
      <c r="B48" s="105" t="s">
        <v>79</v>
      </c>
      <c r="C48" s="21" t="s">
        <v>80</v>
      </c>
      <c r="D48" s="1"/>
      <c r="E48" s="6"/>
      <c r="F48" s="103" t="s">
        <v>37</v>
      </c>
      <c r="G48" s="103" t="s">
        <v>38</v>
      </c>
    </row>
    <row r="49" spans="1:12">
      <c r="A49" s="1"/>
      <c r="B49" s="1"/>
      <c r="C49" s="1"/>
      <c r="D49" s="1"/>
      <c r="E49" s="6"/>
      <c r="F49" s="15"/>
      <c r="G49" s="15"/>
    </row>
    <row r="51" spans="1:12">
      <c r="E51" s="4"/>
      <c r="F51" s="19" t="s">
        <v>81</v>
      </c>
      <c r="G51" s="19" t="s">
        <v>82</v>
      </c>
      <c r="H51" s="19" t="s">
        <v>83</v>
      </c>
      <c r="I51" s="19" t="s">
        <v>84</v>
      </c>
    </row>
    <row r="52" spans="1:12">
      <c r="A52" s="105" t="s">
        <v>85</v>
      </c>
      <c r="B52" s="105" t="s">
        <v>85</v>
      </c>
      <c r="C52" s="21" t="s">
        <v>86</v>
      </c>
      <c r="D52" s="1"/>
      <c r="E52" s="5"/>
      <c r="F52" s="2" t="s">
        <v>87</v>
      </c>
      <c r="G52" s="2" t="s">
        <v>88</v>
      </c>
      <c r="H52" s="2" t="s">
        <v>89</v>
      </c>
      <c r="I52" s="2" t="s">
        <v>73</v>
      </c>
    </row>
    <row r="53" spans="1:12">
      <c r="A53" s="1"/>
      <c r="B53" s="1"/>
      <c r="C53" s="1"/>
      <c r="D53" s="1"/>
      <c r="E53" s="5"/>
      <c r="F53" s="3"/>
      <c r="G53" s="3"/>
      <c r="H53" s="3"/>
      <c r="I53" s="3"/>
    </row>
    <row r="54" spans="1:12">
      <c r="A54" s="1"/>
      <c r="B54" s="1"/>
      <c r="C54" s="1"/>
      <c r="D54" s="1"/>
      <c r="E54" s="5"/>
      <c r="F54" s="3"/>
      <c r="G54" s="3"/>
      <c r="H54" s="3"/>
      <c r="I54" s="3"/>
    </row>
    <row r="55" spans="1:12">
      <c r="A55" s="1"/>
      <c r="B55" s="1"/>
      <c r="C55" s="1"/>
      <c r="D55" s="1"/>
      <c r="E55" s="5"/>
      <c r="F55" s="147" t="s">
        <v>90</v>
      </c>
      <c r="G55" s="147" t="s">
        <v>91</v>
      </c>
      <c r="H55" s="147" t="s">
        <v>92</v>
      </c>
      <c r="I55" s="147" t="s">
        <v>93</v>
      </c>
      <c r="J55" s="147" t="s">
        <v>94</v>
      </c>
      <c r="K55" s="147" t="s">
        <v>95</v>
      </c>
    </row>
    <row r="56" spans="1:12">
      <c r="A56" s="50" t="s">
        <v>96</v>
      </c>
      <c r="B56" s="168" t="s">
        <v>97</v>
      </c>
      <c r="C56" s="21" t="s">
        <v>98</v>
      </c>
      <c r="D56" s="1"/>
      <c r="E56" s="5"/>
      <c r="F56" s="103" t="s">
        <v>37</v>
      </c>
      <c r="G56" s="145"/>
      <c r="H56" s="103" t="s">
        <v>38</v>
      </c>
      <c r="I56" s="145"/>
      <c r="J56" s="145"/>
      <c r="K56" s="145"/>
      <c r="L56" t="s">
        <v>58</v>
      </c>
    </row>
    <row r="57" spans="1:12">
      <c r="A57" s="52"/>
      <c r="B57" s="168" t="s">
        <v>99</v>
      </c>
      <c r="C57" s="21" t="s">
        <v>100</v>
      </c>
      <c r="D57" s="1"/>
      <c r="E57" s="5"/>
      <c r="F57" s="145"/>
      <c r="G57" s="145"/>
      <c r="H57" s="145"/>
      <c r="I57" s="103" t="s">
        <v>38</v>
      </c>
      <c r="J57" s="103" t="s">
        <v>37</v>
      </c>
      <c r="K57" s="145"/>
      <c r="L57" t="s">
        <v>58</v>
      </c>
    </row>
    <row r="58" spans="1:12">
      <c r="A58" s="52"/>
      <c r="B58" s="168" t="s">
        <v>101</v>
      </c>
      <c r="C58" s="21" t="s">
        <v>102</v>
      </c>
      <c r="D58" s="1"/>
      <c r="E58" s="5"/>
      <c r="F58" s="103" t="s">
        <v>37</v>
      </c>
      <c r="G58" s="145"/>
      <c r="H58" s="145"/>
      <c r="I58" s="145"/>
      <c r="J58" s="145"/>
      <c r="K58" s="103" t="s">
        <v>38</v>
      </c>
      <c r="L58" t="s">
        <v>58</v>
      </c>
    </row>
    <row r="59" spans="1:12">
      <c r="A59" s="52"/>
      <c r="B59" s="168" t="s">
        <v>103</v>
      </c>
      <c r="C59" s="21" t="s">
        <v>104</v>
      </c>
      <c r="D59" s="1"/>
      <c r="E59" s="5"/>
      <c r="F59" s="145"/>
      <c r="G59" s="145"/>
      <c r="H59" s="103" t="s">
        <v>38</v>
      </c>
      <c r="I59" s="103" t="s">
        <v>37</v>
      </c>
      <c r="J59" s="145"/>
      <c r="K59" s="145"/>
      <c r="L59" t="s">
        <v>58</v>
      </c>
    </row>
    <row r="60" spans="1:12">
      <c r="A60" s="52"/>
      <c r="B60" s="168" t="s">
        <v>105</v>
      </c>
      <c r="C60" s="21" t="s">
        <v>106</v>
      </c>
      <c r="D60" s="1"/>
      <c r="E60" s="5"/>
      <c r="F60" s="146"/>
      <c r="G60" s="102" t="s">
        <v>38</v>
      </c>
      <c r="H60" s="146"/>
      <c r="I60" s="146"/>
      <c r="J60" s="102" t="s">
        <v>37</v>
      </c>
      <c r="K60" s="146"/>
      <c r="L60" t="s">
        <v>58</v>
      </c>
    </row>
    <row r="61" spans="1:12">
      <c r="A61" s="50" t="s">
        <v>107</v>
      </c>
      <c r="B61" s="168" t="s">
        <v>108</v>
      </c>
      <c r="C61" s="21" t="s">
        <v>109</v>
      </c>
      <c r="D61" s="1"/>
      <c r="E61" s="5"/>
      <c r="F61" s="2" t="s">
        <v>89</v>
      </c>
      <c r="G61" s="145"/>
      <c r="H61" s="2" t="s">
        <v>73</v>
      </c>
      <c r="I61" s="2" t="s">
        <v>88</v>
      </c>
      <c r="J61" s="145"/>
      <c r="K61" s="2" t="s">
        <v>87</v>
      </c>
      <c r="L61" t="s">
        <v>58</v>
      </c>
    </row>
    <row r="62" spans="1:12">
      <c r="A62" s="51"/>
      <c r="B62" s="168" t="s">
        <v>110</v>
      </c>
      <c r="C62" s="21" t="s">
        <v>111</v>
      </c>
      <c r="D62" s="1"/>
      <c r="E62" s="5"/>
      <c r="F62" s="145"/>
      <c r="G62" s="2" t="s">
        <v>87</v>
      </c>
      <c r="H62" s="2" t="s">
        <v>88</v>
      </c>
      <c r="I62" s="2" t="s">
        <v>73</v>
      </c>
      <c r="J62" s="2" t="s">
        <v>89</v>
      </c>
      <c r="K62" s="145"/>
      <c r="L62" t="s">
        <v>58</v>
      </c>
    </row>
    <row r="63" spans="1:12">
      <c r="A63" s="1"/>
      <c r="B63" s="1"/>
      <c r="C63" s="1"/>
      <c r="D63" s="1"/>
      <c r="E63" s="5"/>
      <c r="F63" s="160"/>
      <c r="G63" s="3"/>
      <c r="H63" s="3"/>
      <c r="I63" s="3"/>
      <c r="J63" s="3"/>
      <c r="K63" s="160"/>
    </row>
    <row r="64" spans="1:12">
      <c r="A64" s="1"/>
      <c r="B64" s="1"/>
      <c r="C64" s="1"/>
      <c r="D64" s="1"/>
      <c r="E64" s="5"/>
      <c r="F64" s="3"/>
      <c r="G64" s="3"/>
      <c r="H64" s="3"/>
      <c r="I64" s="3"/>
    </row>
    <row r="65" spans="1:23">
      <c r="E65" s="4"/>
      <c r="F65" s="19" t="s">
        <v>112</v>
      </c>
      <c r="G65" s="19" t="s">
        <v>113</v>
      </c>
      <c r="H65" s="19" t="s">
        <v>114</v>
      </c>
    </row>
    <row r="66" spans="1:23">
      <c r="A66" s="105" t="s">
        <v>115</v>
      </c>
      <c r="B66" s="105" t="s">
        <v>115</v>
      </c>
      <c r="C66" s="21" t="s">
        <v>116</v>
      </c>
      <c r="D66" s="1"/>
      <c r="E66" s="6"/>
      <c r="F66" s="103" t="s">
        <v>37</v>
      </c>
      <c r="G66" s="103" t="s">
        <v>38</v>
      </c>
      <c r="H66" s="103" t="s">
        <v>117</v>
      </c>
      <c r="I66" s="3"/>
      <c r="J66" s="3"/>
      <c r="K66" s="3"/>
      <c r="L66" s="3"/>
      <c r="M66" s="3"/>
    </row>
    <row r="67" spans="1:23">
      <c r="A67" s="1"/>
      <c r="B67" s="1"/>
      <c r="C67" s="1"/>
      <c r="D67" s="1"/>
      <c r="E67" s="6"/>
      <c r="F67" s="15"/>
      <c r="G67" s="15"/>
      <c r="H67" s="15"/>
      <c r="I67" s="3"/>
      <c r="J67" s="3"/>
      <c r="K67" s="3"/>
      <c r="L67" s="3"/>
      <c r="M67" s="3"/>
    </row>
    <row r="68" spans="1:23">
      <c r="I68" s="3"/>
      <c r="J68" s="3"/>
      <c r="K68" s="3"/>
      <c r="L68" s="3"/>
      <c r="M68" s="3"/>
    </row>
    <row r="69" spans="1:23">
      <c r="E69" s="4"/>
      <c r="F69" s="19" t="s">
        <v>118</v>
      </c>
      <c r="G69" s="19" t="s">
        <v>119</v>
      </c>
      <c r="H69" s="3"/>
      <c r="I69" s="3"/>
      <c r="J69" s="3"/>
      <c r="K69" s="3"/>
      <c r="L69" s="3"/>
      <c r="M69" s="3"/>
    </row>
    <row r="70" spans="1:23">
      <c r="A70" s="105" t="s">
        <v>120</v>
      </c>
      <c r="B70" s="105" t="s">
        <v>120</v>
      </c>
      <c r="C70" s="21" t="s">
        <v>121</v>
      </c>
      <c r="D70" s="1"/>
      <c r="E70" s="6"/>
      <c r="F70" s="103" t="s">
        <v>37</v>
      </c>
      <c r="G70" s="103" t="s">
        <v>38</v>
      </c>
      <c r="H70" s="3"/>
    </row>
    <row r="71" spans="1:23">
      <c r="A71" s="1"/>
      <c r="B71" s="1"/>
      <c r="C71" s="1"/>
      <c r="D71" s="1"/>
      <c r="E71" s="6"/>
      <c r="F71" s="15"/>
      <c r="G71" s="15"/>
      <c r="H71" s="3"/>
      <c r="L71" s="15"/>
      <c r="M71" s="15"/>
      <c r="N71" s="1"/>
      <c r="O71" s="1"/>
      <c r="P71" s="1"/>
      <c r="Q71" s="1"/>
      <c r="R71" s="1"/>
    </row>
    <row r="72" spans="1:23">
      <c r="L72" s="15"/>
      <c r="M72" s="15"/>
      <c r="N72" s="1"/>
      <c r="O72" s="1"/>
      <c r="P72" s="1"/>
      <c r="Q72" s="1"/>
      <c r="R72" s="1"/>
    </row>
    <row r="73" spans="1:23">
      <c r="F73" s="24" t="s">
        <v>112</v>
      </c>
      <c r="G73" s="24" t="s">
        <v>113</v>
      </c>
      <c r="H73" s="24" t="s">
        <v>122</v>
      </c>
      <c r="I73" s="24" t="s">
        <v>123</v>
      </c>
      <c r="J73" s="19" t="s">
        <v>124</v>
      </c>
      <c r="K73" s="19" t="s">
        <v>125</v>
      </c>
      <c r="L73" s="15"/>
      <c r="M73" s="15"/>
      <c r="N73" s="1"/>
      <c r="O73" s="1"/>
      <c r="P73" s="1"/>
      <c r="Q73" s="1"/>
      <c r="R73" s="1"/>
    </row>
    <row r="74" spans="1:23">
      <c r="A74" s="321" t="s">
        <v>126</v>
      </c>
      <c r="B74" s="101" t="s">
        <v>127</v>
      </c>
      <c r="C74" s="23" t="s">
        <v>128</v>
      </c>
      <c r="D74" s="28"/>
      <c r="F74" s="103" t="s">
        <v>29</v>
      </c>
      <c r="G74" s="103" t="s">
        <v>29</v>
      </c>
      <c r="H74" s="2" t="s">
        <v>30</v>
      </c>
      <c r="I74" s="2" t="s">
        <v>30</v>
      </c>
      <c r="J74" s="2" t="s">
        <v>30</v>
      </c>
      <c r="K74" s="2" t="s">
        <v>30</v>
      </c>
      <c r="L74" s="15"/>
      <c r="M74" s="15"/>
      <c r="N74" s="1"/>
      <c r="O74" s="1"/>
      <c r="P74" s="1"/>
      <c r="Q74" s="1"/>
      <c r="R74" s="1"/>
    </row>
    <row r="75" spans="1:23">
      <c r="A75" s="321"/>
      <c r="B75" s="7" t="s">
        <v>129</v>
      </c>
      <c r="C75" s="23" t="s">
        <v>130</v>
      </c>
      <c r="D75" s="28"/>
      <c r="F75" s="103" t="s">
        <v>29</v>
      </c>
      <c r="G75" s="103" t="s">
        <v>29</v>
      </c>
      <c r="H75" s="2" t="s">
        <v>62</v>
      </c>
      <c r="I75" s="2" t="s">
        <v>62</v>
      </c>
      <c r="J75" s="2" t="s">
        <v>62</v>
      </c>
      <c r="K75" s="2" t="s">
        <v>30</v>
      </c>
      <c r="L75" s="15"/>
      <c r="M75" s="15"/>
      <c r="N75" s="1"/>
      <c r="O75" s="1"/>
      <c r="P75" s="1"/>
      <c r="Q75" s="1"/>
      <c r="R75" s="1"/>
    </row>
    <row r="76" spans="1:23">
      <c r="A76" s="321"/>
      <c r="B76" s="7" t="s">
        <v>131</v>
      </c>
      <c r="C76" s="23" t="s">
        <v>132</v>
      </c>
      <c r="D76" s="28"/>
      <c r="F76" s="103" t="s">
        <v>29</v>
      </c>
      <c r="G76" s="103" t="s">
        <v>29</v>
      </c>
      <c r="H76" s="2" t="s">
        <v>30</v>
      </c>
      <c r="I76" s="2" t="s">
        <v>30</v>
      </c>
      <c r="J76" s="2" t="s">
        <v>62</v>
      </c>
      <c r="K76" s="2" t="s">
        <v>62</v>
      </c>
      <c r="L76" s="15"/>
      <c r="M76" s="15"/>
      <c r="N76" s="1"/>
      <c r="O76" s="1"/>
      <c r="P76" s="1"/>
      <c r="Q76" s="1"/>
      <c r="R76" s="1"/>
    </row>
    <row r="77" spans="1:23">
      <c r="A77" s="321"/>
      <c r="B77" s="7" t="s">
        <v>133</v>
      </c>
      <c r="C77" s="23" t="s">
        <v>134</v>
      </c>
      <c r="D77" s="28"/>
      <c r="F77" s="103" t="s">
        <v>29</v>
      </c>
      <c r="G77" s="103" t="s">
        <v>29</v>
      </c>
      <c r="H77" s="2" t="s">
        <v>30</v>
      </c>
      <c r="I77" s="2" t="s">
        <v>62</v>
      </c>
      <c r="J77" s="2" t="s">
        <v>62</v>
      </c>
      <c r="K77" s="2" t="s">
        <v>62</v>
      </c>
      <c r="L77" s="15"/>
      <c r="M77" s="15"/>
      <c r="N77" s="1"/>
      <c r="O77" s="1"/>
      <c r="P77" s="1"/>
      <c r="Q77" s="1"/>
      <c r="R77" s="1"/>
    </row>
    <row r="78" spans="1:23">
      <c r="A78" s="321"/>
      <c r="B78" s="7" t="s">
        <v>135</v>
      </c>
      <c r="C78" s="23" t="s">
        <v>136</v>
      </c>
      <c r="D78" s="28"/>
      <c r="F78" s="103" t="s">
        <v>29</v>
      </c>
      <c r="G78" s="103" t="s">
        <v>29</v>
      </c>
      <c r="H78" s="2" t="s">
        <v>62</v>
      </c>
      <c r="I78" s="2" t="s">
        <v>30</v>
      </c>
      <c r="J78" s="2" t="s">
        <v>62</v>
      </c>
      <c r="K78" s="2" t="s">
        <v>62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79" spans="1:23">
      <c r="A79" s="321"/>
      <c r="B79" s="7" t="s">
        <v>137</v>
      </c>
      <c r="C79" s="23" t="s">
        <v>138</v>
      </c>
      <c r="D79" s="28"/>
      <c r="F79" s="103" t="s">
        <v>29</v>
      </c>
      <c r="G79" s="103" t="s">
        <v>29</v>
      </c>
      <c r="H79" s="2" t="s">
        <v>62</v>
      </c>
      <c r="I79" s="2" t="s">
        <v>62</v>
      </c>
      <c r="J79" s="2" t="s">
        <v>30</v>
      </c>
      <c r="K79" s="2" t="s">
        <v>62</v>
      </c>
      <c r="L79" s="15"/>
      <c r="M79" s="15"/>
      <c r="N79" s="1"/>
      <c r="O79" s="1"/>
      <c r="P79" s="1"/>
      <c r="Q79" s="1"/>
      <c r="R79" s="1"/>
      <c r="S79" s="3"/>
      <c r="T79" s="3"/>
      <c r="U79" s="3"/>
      <c r="V79" s="3"/>
      <c r="W79" s="3"/>
    </row>
    <row r="80" spans="1:23">
      <c r="A80" s="321" t="s">
        <v>139</v>
      </c>
      <c r="B80" s="7" t="s">
        <v>140</v>
      </c>
      <c r="C80" s="23" t="s">
        <v>141</v>
      </c>
      <c r="D80" s="28"/>
      <c r="F80" s="2" t="s">
        <v>37</v>
      </c>
      <c r="G80" s="2"/>
      <c r="H80" s="2" t="s">
        <v>62</v>
      </c>
      <c r="I80" s="2" t="s">
        <v>62</v>
      </c>
      <c r="J80" s="2" t="s">
        <v>62</v>
      </c>
      <c r="K80" s="2" t="s">
        <v>62</v>
      </c>
      <c r="L80" s="15"/>
      <c r="M80" s="15"/>
      <c r="N80" s="1"/>
      <c r="O80" s="1"/>
      <c r="P80" s="1"/>
      <c r="Q80" s="1"/>
      <c r="R80" s="1"/>
      <c r="S80" s="3"/>
      <c r="T80" s="3"/>
      <c r="U80" s="3"/>
      <c r="V80" s="3"/>
      <c r="W80" s="3"/>
    </row>
    <row r="81" spans="1:23">
      <c r="A81" s="321"/>
      <c r="B81" s="7" t="s">
        <v>142</v>
      </c>
      <c r="C81" s="23" t="s">
        <v>143</v>
      </c>
      <c r="D81" s="28"/>
      <c r="F81" s="2" t="s">
        <v>37</v>
      </c>
      <c r="G81" s="2"/>
      <c r="H81" s="2"/>
      <c r="I81" s="2"/>
      <c r="J81" s="2"/>
      <c r="K81" s="2" t="s">
        <v>62</v>
      </c>
      <c r="L81" s="15"/>
      <c r="M81" s="15"/>
      <c r="N81" s="1"/>
      <c r="O81" s="1"/>
      <c r="P81" s="1"/>
      <c r="Q81" s="1"/>
      <c r="R81" s="1"/>
      <c r="S81" s="3"/>
      <c r="T81" s="3"/>
      <c r="U81" s="3"/>
      <c r="V81" s="3"/>
      <c r="W81" s="3"/>
    </row>
    <row r="82" spans="1:23">
      <c r="A82" s="321"/>
      <c r="B82" s="7" t="s">
        <v>144</v>
      </c>
      <c r="C82" s="23" t="s">
        <v>145</v>
      </c>
      <c r="D82" s="28"/>
      <c r="F82" s="2" t="s">
        <v>37</v>
      </c>
      <c r="G82" s="2"/>
      <c r="H82" s="2" t="s">
        <v>62</v>
      </c>
      <c r="I82" s="2" t="s">
        <v>62</v>
      </c>
      <c r="J82" s="2"/>
      <c r="K82" s="2"/>
      <c r="L82" s="15"/>
      <c r="M82" s="15"/>
      <c r="N82" s="1"/>
      <c r="O82" s="1"/>
      <c r="P82" s="1"/>
      <c r="Q82" s="1"/>
      <c r="R82" s="1"/>
      <c r="S82" s="3"/>
      <c r="T82" s="3"/>
      <c r="U82" s="3"/>
      <c r="V82" s="3"/>
      <c r="W82" s="3"/>
    </row>
    <row r="83" spans="1:23">
      <c r="A83" s="321"/>
      <c r="B83" s="7" t="s">
        <v>146</v>
      </c>
      <c r="C83" s="23" t="s">
        <v>147</v>
      </c>
      <c r="D83" s="28"/>
      <c r="F83" s="2" t="s">
        <v>37</v>
      </c>
      <c r="G83" s="2"/>
      <c r="H83" s="2" t="s">
        <v>62</v>
      </c>
      <c r="I83" s="2"/>
      <c r="J83" s="2"/>
      <c r="K83" s="2"/>
      <c r="L83" s="15"/>
      <c r="M83" s="15"/>
      <c r="N83" s="1"/>
      <c r="O83" s="1"/>
      <c r="P83" s="1"/>
      <c r="Q83" s="1"/>
      <c r="R83" s="1"/>
      <c r="S83" s="3"/>
      <c r="T83" s="3"/>
      <c r="U83" s="3"/>
      <c r="V83" s="3"/>
      <c r="W83" s="3"/>
    </row>
    <row r="84" spans="1:23">
      <c r="A84" s="321"/>
      <c r="B84" s="7" t="s">
        <v>148</v>
      </c>
      <c r="C84" s="23" t="s">
        <v>149</v>
      </c>
      <c r="D84" s="28"/>
      <c r="F84" s="2" t="s">
        <v>37</v>
      </c>
      <c r="G84" s="2"/>
      <c r="H84" s="2"/>
      <c r="I84" s="2" t="s">
        <v>62</v>
      </c>
      <c r="J84" s="2"/>
      <c r="K84" s="2"/>
      <c r="L84" s="15"/>
      <c r="M84" s="15"/>
      <c r="N84" s="1"/>
      <c r="O84" s="1"/>
      <c r="P84" s="1"/>
      <c r="Q84" s="1"/>
      <c r="R84" s="1"/>
      <c r="S84" s="3"/>
      <c r="T84" s="3"/>
      <c r="U84" s="3"/>
      <c r="V84" s="3"/>
      <c r="W84" s="3"/>
    </row>
    <row r="85" spans="1:23">
      <c r="A85" s="321"/>
      <c r="B85" s="7" t="s">
        <v>150</v>
      </c>
      <c r="C85" s="23" t="s">
        <v>151</v>
      </c>
      <c r="D85" s="28"/>
      <c r="F85" s="2" t="s">
        <v>37</v>
      </c>
      <c r="G85" s="2"/>
      <c r="H85" s="2"/>
      <c r="I85" s="2"/>
      <c r="J85" s="2" t="s">
        <v>62</v>
      </c>
      <c r="K85" s="2"/>
    </row>
    <row r="86" spans="1:23">
      <c r="A86" s="321"/>
      <c r="B86" s="7" t="s">
        <v>152</v>
      </c>
      <c r="C86" s="23" t="s">
        <v>153</v>
      </c>
      <c r="D86" s="28"/>
      <c r="F86" s="2"/>
      <c r="G86" s="2"/>
      <c r="H86" s="2"/>
      <c r="I86" s="2"/>
      <c r="J86" s="2" t="s">
        <v>37</v>
      </c>
      <c r="K86" s="2" t="s">
        <v>62</v>
      </c>
    </row>
    <row r="87" spans="1:23">
      <c r="A87" s="105" t="s">
        <v>154</v>
      </c>
      <c r="B87" s="105" t="s">
        <v>79</v>
      </c>
      <c r="C87" s="21" t="s">
        <v>80</v>
      </c>
      <c r="D87" s="28"/>
      <c r="F87" s="103" t="s">
        <v>37</v>
      </c>
      <c r="G87" s="103" t="s">
        <v>38</v>
      </c>
      <c r="H87" s="2"/>
      <c r="I87" s="2"/>
      <c r="J87" s="2"/>
      <c r="K87" s="2"/>
    </row>
    <row r="89" spans="1:23">
      <c r="F89" s="176" t="s">
        <v>5</v>
      </c>
      <c r="G89" s="176" t="s">
        <v>6</v>
      </c>
      <c r="H89" s="176" t="s">
        <v>155</v>
      </c>
      <c r="I89" s="176" t="s">
        <v>156</v>
      </c>
      <c r="J89" s="176" t="s">
        <v>157</v>
      </c>
    </row>
    <row r="90" spans="1:23">
      <c r="A90" s="29" t="s">
        <v>158</v>
      </c>
      <c r="B90" s="29" t="s">
        <v>158</v>
      </c>
      <c r="C90" s="25" t="s">
        <v>159</v>
      </c>
      <c r="F90" s="177" t="s">
        <v>160</v>
      </c>
      <c r="G90" s="177" t="s">
        <v>38</v>
      </c>
      <c r="H90" s="177" t="s">
        <v>160</v>
      </c>
      <c r="I90" s="177" t="s">
        <v>161</v>
      </c>
      <c r="J90" s="177" t="s">
        <v>162</v>
      </c>
      <c r="K90" s="3"/>
      <c r="L90" s="3"/>
      <c r="M90" s="3"/>
    </row>
    <row r="91" spans="1:23">
      <c r="A91" s="29" t="s">
        <v>163</v>
      </c>
      <c r="B91" s="29" t="s">
        <v>163</v>
      </c>
      <c r="C91" s="25" t="s">
        <v>164</v>
      </c>
      <c r="F91" s="177" t="s">
        <v>160</v>
      </c>
      <c r="G91" s="177" t="s">
        <v>38</v>
      </c>
      <c r="H91" s="177" t="s">
        <v>160</v>
      </c>
      <c r="I91" s="177" t="s">
        <v>161</v>
      </c>
      <c r="J91" s="177" t="s">
        <v>165</v>
      </c>
      <c r="K91" s="3"/>
      <c r="L91" s="3"/>
      <c r="M91" s="3"/>
    </row>
  </sheetData>
  <mergeCells count="7">
    <mergeCell ref="A80:A86"/>
    <mergeCell ref="A22:A23"/>
    <mergeCell ref="F1:L1"/>
    <mergeCell ref="A19:A20"/>
    <mergeCell ref="A31:A36"/>
    <mergeCell ref="A38:A39"/>
    <mergeCell ref="A74:A79"/>
  </mergeCells>
  <phoneticPr fontId="1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C401-5FA7-4300-842E-7475E8F565B8}">
  <dimension ref="A1:W91"/>
  <sheetViews>
    <sheetView workbookViewId="0">
      <selection activeCell="A3" sqref="A3:A15"/>
    </sheetView>
  </sheetViews>
  <sheetFormatPr defaultRowHeight="14.45"/>
  <cols>
    <col min="1" max="1" width="21.5703125" bestFit="1" customWidth="1"/>
    <col min="2" max="2" width="28.7109375" bestFit="1" customWidth="1"/>
    <col min="3" max="3" width="27.140625" bestFit="1" customWidth="1"/>
    <col min="6" max="6" width="32.7109375" bestFit="1" customWidth="1"/>
    <col min="7" max="7" width="34.28515625" bestFit="1" customWidth="1"/>
    <col min="8" max="8" width="21.140625" bestFit="1" customWidth="1"/>
    <col min="9" max="9" width="15.7109375" bestFit="1" customWidth="1"/>
    <col min="10" max="10" width="15.28515625" bestFit="1" customWidth="1"/>
  </cols>
  <sheetData>
    <row r="1" spans="1:12">
      <c r="A1" s="20" t="s">
        <v>0</v>
      </c>
      <c r="B1" s="20" t="s">
        <v>1</v>
      </c>
      <c r="C1" s="22" t="s">
        <v>2</v>
      </c>
      <c r="D1" s="14"/>
      <c r="E1" s="4"/>
      <c r="F1" s="324" t="s">
        <v>3</v>
      </c>
      <c r="G1" s="325"/>
      <c r="H1" s="325"/>
      <c r="I1" s="325"/>
      <c r="J1" s="325"/>
      <c r="K1" s="325"/>
      <c r="L1" s="326"/>
    </row>
    <row r="2" spans="1:12">
      <c r="A2" s="64"/>
      <c r="B2" s="20"/>
      <c r="C2" s="22"/>
      <c r="D2" s="14"/>
      <c r="E2" s="4"/>
      <c r="F2" s="99" t="s">
        <v>4</v>
      </c>
      <c r="G2" s="99" t="s">
        <v>5</v>
      </c>
      <c r="H2" s="99" t="s">
        <v>6</v>
      </c>
      <c r="I2" s="99" t="s">
        <v>7</v>
      </c>
      <c r="J2" s="99" t="s">
        <v>8</v>
      </c>
    </row>
    <row r="3" spans="1:12">
      <c r="A3" s="330" t="s">
        <v>9</v>
      </c>
      <c r="B3" s="105" t="s">
        <v>10</v>
      </c>
      <c r="C3" s="21"/>
      <c r="D3" s="1"/>
      <c r="E3" s="6"/>
      <c r="F3" s="103"/>
      <c r="G3" s="103"/>
      <c r="H3" s="103"/>
      <c r="I3" s="103"/>
      <c r="J3" s="103"/>
    </row>
    <row r="4" spans="1:12">
      <c r="A4" s="331"/>
      <c r="B4" s="50" t="s">
        <v>166</v>
      </c>
      <c r="C4" s="21"/>
      <c r="D4" s="1"/>
      <c r="F4" s="103"/>
      <c r="G4" s="103"/>
      <c r="H4" s="103"/>
      <c r="I4" s="103"/>
      <c r="J4" s="103"/>
    </row>
    <row r="5" spans="1:12">
      <c r="A5" s="331"/>
      <c r="B5" s="105" t="s">
        <v>167</v>
      </c>
      <c r="C5" s="21"/>
      <c r="D5" s="1"/>
      <c r="F5" s="103"/>
      <c r="G5" s="103"/>
      <c r="H5" s="103"/>
      <c r="I5" s="103"/>
      <c r="J5" s="103"/>
    </row>
    <row r="6" spans="1:12">
      <c r="A6" s="331"/>
      <c r="B6" s="105" t="s">
        <v>11</v>
      </c>
      <c r="C6" s="21"/>
      <c r="D6" s="1"/>
      <c r="F6" s="103"/>
      <c r="G6" s="103"/>
      <c r="H6" s="103"/>
      <c r="I6" s="103"/>
      <c r="J6" s="103"/>
    </row>
    <row r="7" spans="1:12">
      <c r="A7" s="331"/>
      <c r="B7" s="105" t="s">
        <v>16</v>
      </c>
      <c r="C7" s="21"/>
      <c r="D7" s="1"/>
      <c r="F7" s="103"/>
      <c r="G7" s="103"/>
      <c r="H7" s="103"/>
      <c r="I7" s="103"/>
      <c r="J7" s="103"/>
    </row>
    <row r="8" spans="1:12">
      <c r="A8" s="331"/>
      <c r="B8" s="105" t="s">
        <v>17</v>
      </c>
      <c r="C8" s="21"/>
      <c r="D8" s="1"/>
      <c r="F8" s="103"/>
      <c r="G8" s="103"/>
      <c r="H8" s="103"/>
      <c r="I8" s="103"/>
      <c r="J8" s="103"/>
    </row>
    <row r="9" spans="1:12">
      <c r="A9" s="331"/>
      <c r="B9" s="105" t="s">
        <v>12</v>
      </c>
      <c r="C9" s="21"/>
      <c r="D9" s="1"/>
      <c r="F9" s="103"/>
      <c r="G9" s="103"/>
      <c r="H9" s="103"/>
      <c r="I9" s="103"/>
      <c r="J9" s="103"/>
    </row>
    <row r="10" spans="1:12">
      <c r="A10" s="331"/>
      <c r="B10" s="105" t="s">
        <v>20</v>
      </c>
      <c r="C10" s="21"/>
      <c r="D10" s="1"/>
      <c r="F10" s="103"/>
      <c r="G10" s="103"/>
      <c r="H10" s="103"/>
      <c r="I10" s="103"/>
      <c r="J10" s="103"/>
    </row>
    <row r="11" spans="1:12">
      <c r="A11" s="331"/>
      <c r="B11" s="105" t="s">
        <v>13</v>
      </c>
      <c r="C11" s="21"/>
      <c r="D11" s="1"/>
      <c r="F11" s="103"/>
      <c r="G11" s="103"/>
      <c r="H11" s="103"/>
      <c r="I11" s="103"/>
      <c r="J11" s="103"/>
    </row>
    <row r="12" spans="1:12">
      <c r="A12" s="331"/>
      <c r="B12" s="105" t="s">
        <v>21</v>
      </c>
      <c r="C12" s="21"/>
      <c r="D12" s="1"/>
      <c r="F12" s="103"/>
      <c r="G12" s="103"/>
      <c r="H12" s="103"/>
      <c r="I12" s="103"/>
      <c r="J12" s="103"/>
    </row>
    <row r="13" spans="1:12">
      <c r="A13" s="331"/>
      <c r="B13" s="105" t="s">
        <v>15</v>
      </c>
      <c r="C13" s="21"/>
      <c r="D13" s="1"/>
      <c r="F13" s="103"/>
      <c r="G13" s="103"/>
      <c r="H13" s="103"/>
      <c r="I13" s="103"/>
      <c r="J13" s="103"/>
    </row>
    <row r="14" spans="1:12">
      <c r="A14" s="331"/>
      <c r="B14" s="105" t="s">
        <v>14</v>
      </c>
      <c r="C14" s="21"/>
      <c r="D14" s="1"/>
      <c r="F14" s="103"/>
      <c r="G14" s="103"/>
      <c r="H14" s="103"/>
      <c r="I14" s="103"/>
      <c r="J14" s="103"/>
    </row>
    <row r="15" spans="1:12">
      <c r="A15" s="332"/>
      <c r="B15" s="105" t="s">
        <v>22</v>
      </c>
      <c r="C15" s="21"/>
      <c r="F15" s="103"/>
      <c r="G15" s="103"/>
      <c r="H15" s="103"/>
      <c r="I15" s="103"/>
      <c r="J15" s="103"/>
    </row>
    <row r="16" spans="1:12">
      <c r="A16" s="1"/>
      <c r="B16" s="1"/>
      <c r="C16" s="1"/>
      <c r="F16" s="15"/>
      <c r="G16" s="15"/>
      <c r="H16" s="15"/>
      <c r="I16" s="15"/>
      <c r="J16" s="15"/>
    </row>
    <row r="18" spans="1:23">
      <c r="A18" s="14"/>
      <c r="B18" s="14"/>
      <c r="C18" s="4"/>
      <c r="F18" s="31" t="s">
        <v>24</v>
      </c>
      <c r="G18" s="31" t="s">
        <v>25</v>
      </c>
      <c r="H18" s="3"/>
      <c r="I18" s="3"/>
      <c r="J18" s="3"/>
      <c r="K18" s="3"/>
      <c r="L18" s="3"/>
      <c r="M18" s="3"/>
    </row>
    <row r="19" spans="1:23">
      <c r="A19" s="327" t="s">
        <v>26</v>
      </c>
      <c r="B19" s="27" t="s">
        <v>27</v>
      </c>
      <c r="C19" s="21" t="s">
        <v>28</v>
      </c>
      <c r="D19" s="1"/>
      <c r="F19" s="103" t="s">
        <v>29</v>
      </c>
      <c r="G19" s="2" t="s">
        <v>30</v>
      </c>
      <c r="H19" s="3"/>
      <c r="I19" s="3"/>
      <c r="J19" s="3"/>
      <c r="K19" s="3"/>
      <c r="L19" s="3"/>
      <c r="M19" s="3"/>
    </row>
    <row r="20" spans="1:23">
      <c r="A20" s="328"/>
      <c r="B20" s="27" t="s">
        <v>31</v>
      </c>
      <c r="C20" s="21" t="s">
        <v>32</v>
      </c>
      <c r="D20" s="1"/>
      <c r="F20" s="103" t="s">
        <v>29</v>
      </c>
      <c r="G20" s="2" t="s">
        <v>30</v>
      </c>
      <c r="H20" s="3"/>
      <c r="I20" s="3"/>
      <c r="J20" s="3"/>
      <c r="K20" s="3"/>
      <c r="L20" s="3"/>
      <c r="M20" s="3"/>
    </row>
    <row r="21" spans="1:23">
      <c r="A21" s="104" t="s">
        <v>33</v>
      </c>
      <c r="B21" s="27" t="s">
        <v>31</v>
      </c>
      <c r="C21" s="21" t="s">
        <v>32</v>
      </c>
      <c r="D21" s="1"/>
      <c r="F21" s="103" t="s">
        <v>29</v>
      </c>
      <c r="G21" s="2" t="s">
        <v>30</v>
      </c>
      <c r="H21" s="3"/>
      <c r="I21" s="3"/>
      <c r="J21" s="3"/>
      <c r="K21" s="3"/>
      <c r="L21" s="3"/>
      <c r="M21" s="3"/>
    </row>
    <row r="22" spans="1:23">
      <c r="A22" s="322" t="s">
        <v>34</v>
      </c>
      <c r="B22" s="27" t="s">
        <v>35</v>
      </c>
      <c r="C22" s="21" t="s">
        <v>36</v>
      </c>
      <c r="D22" s="1"/>
      <c r="F22" s="103" t="s">
        <v>37</v>
      </c>
      <c r="G22" s="2" t="s">
        <v>38</v>
      </c>
      <c r="H22" s="3"/>
      <c r="I22" s="3"/>
      <c r="J22" s="3"/>
      <c r="K22" s="3"/>
      <c r="L22" s="3"/>
      <c r="M22" s="3"/>
    </row>
    <row r="23" spans="1:23">
      <c r="A23" s="323"/>
      <c r="B23" s="27" t="s">
        <v>39</v>
      </c>
      <c r="C23" s="21" t="s">
        <v>40</v>
      </c>
      <c r="D23" s="1"/>
      <c r="F23" s="2" t="s">
        <v>38</v>
      </c>
      <c r="G23" s="103" t="s">
        <v>37</v>
      </c>
      <c r="H23" s="3"/>
      <c r="I23" s="3"/>
      <c r="J23" s="3"/>
      <c r="K23" s="3"/>
      <c r="L23" s="3"/>
      <c r="M23" s="3"/>
    </row>
    <row r="24" spans="1:23">
      <c r="A24" s="51" t="s">
        <v>41</v>
      </c>
      <c r="B24" s="51" t="s">
        <v>41</v>
      </c>
      <c r="C24" s="21" t="s">
        <v>42</v>
      </c>
      <c r="D24" s="1"/>
      <c r="F24" s="103" t="s">
        <v>43</v>
      </c>
      <c r="G24" s="103" t="s">
        <v>38</v>
      </c>
      <c r="H24" s="3"/>
      <c r="I24" s="3"/>
      <c r="J24" s="3"/>
      <c r="K24" s="3"/>
      <c r="L24" s="3"/>
      <c r="M24" s="3"/>
    </row>
    <row r="25" spans="1:23" s="3" customFormat="1">
      <c r="A25" s="105" t="s">
        <v>44</v>
      </c>
      <c r="B25" s="105" t="s">
        <v>44</v>
      </c>
      <c r="C25" s="21" t="s">
        <v>45</v>
      </c>
      <c r="D25" s="1"/>
      <c r="E25"/>
      <c r="F25" s="103" t="s">
        <v>46</v>
      </c>
      <c r="G25" s="103" t="s">
        <v>38</v>
      </c>
      <c r="N25"/>
      <c r="O25"/>
      <c r="P25"/>
      <c r="Q25"/>
      <c r="R25"/>
      <c r="S25"/>
      <c r="T25"/>
      <c r="U25"/>
      <c r="V25"/>
      <c r="W25"/>
    </row>
    <row r="26" spans="1:23" s="3" customFormat="1">
      <c r="A26" s="51" t="s">
        <v>47</v>
      </c>
      <c r="B26" s="51" t="s">
        <v>47</v>
      </c>
      <c r="C26" s="21" t="s">
        <v>48</v>
      </c>
      <c r="D26" s="1"/>
      <c r="E26"/>
      <c r="F26" s="103" t="s">
        <v>43</v>
      </c>
      <c r="G26" s="103" t="s">
        <v>38</v>
      </c>
      <c r="N26"/>
      <c r="O26"/>
      <c r="P26"/>
      <c r="Q26"/>
      <c r="R26"/>
      <c r="S26"/>
      <c r="T26"/>
      <c r="U26"/>
      <c r="V26"/>
      <c r="W26"/>
    </row>
    <row r="27" spans="1:23" s="3" customFormat="1">
      <c r="A27" s="105" t="s">
        <v>49</v>
      </c>
      <c r="B27" s="105" t="s">
        <v>50</v>
      </c>
      <c r="C27" s="21"/>
      <c r="D27" s="1"/>
      <c r="E27"/>
      <c r="F27" s="103" t="s">
        <v>29</v>
      </c>
      <c r="G27" s="2" t="s">
        <v>30</v>
      </c>
      <c r="N27"/>
      <c r="O27"/>
      <c r="P27"/>
      <c r="Q27"/>
      <c r="R27"/>
      <c r="S27"/>
      <c r="T27"/>
      <c r="U27"/>
      <c r="V27"/>
      <c r="W27"/>
    </row>
    <row r="28" spans="1:23" s="3" customFormat="1">
      <c r="A28" s="1"/>
      <c r="B28" s="1"/>
      <c r="C28" s="1"/>
      <c r="D28" s="1"/>
      <c r="E28"/>
      <c r="F28" s="15"/>
      <c r="N28"/>
      <c r="O28"/>
      <c r="P28"/>
      <c r="Q28"/>
      <c r="R28"/>
      <c r="S28"/>
      <c r="T28"/>
      <c r="U28"/>
      <c r="V28"/>
      <c r="W28"/>
    </row>
    <row r="29" spans="1:23">
      <c r="F29" s="3"/>
      <c r="G29" s="3"/>
      <c r="H29" s="3"/>
      <c r="I29" s="3"/>
      <c r="J29" s="3"/>
      <c r="K29" s="3"/>
      <c r="L29" s="3"/>
      <c r="M29" s="3"/>
    </row>
    <row r="30" spans="1:23" s="3" customFormat="1">
      <c r="A30" s="143"/>
      <c r="B30" s="143"/>
      <c r="C30" s="144"/>
      <c r="D30"/>
      <c r="E30"/>
      <c r="F30" s="31" t="s">
        <v>24</v>
      </c>
      <c r="G30" s="31" t="s">
        <v>5</v>
      </c>
      <c r="H30" s="31" t="s">
        <v>51</v>
      </c>
      <c r="N30"/>
      <c r="O30"/>
      <c r="P30"/>
      <c r="Q30"/>
      <c r="R30"/>
      <c r="S30"/>
      <c r="T30"/>
      <c r="U30"/>
      <c r="V30"/>
      <c r="W30"/>
    </row>
    <row r="31" spans="1:23" s="3" customFormat="1">
      <c r="A31" s="329" t="s">
        <v>52</v>
      </c>
      <c r="B31" s="141" t="s">
        <v>53</v>
      </c>
      <c r="C31" s="142" t="s">
        <v>28</v>
      </c>
      <c r="D31" s="1"/>
      <c r="E31"/>
      <c r="F31" s="103" t="s">
        <v>29</v>
      </c>
      <c r="G31" s="2" t="s">
        <v>30</v>
      </c>
      <c r="H31" s="2" t="s">
        <v>30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329"/>
      <c r="B32" s="27" t="s">
        <v>54</v>
      </c>
      <c r="C32" s="21" t="s">
        <v>32</v>
      </c>
      <c r="D32" s="1"/>
      <c r="E32"/>
      <c r="F32" s="103" t="s">
        <v>29</v>
      </c>
      <c r="G32" s="2" t="s">
        <v>30</v>
      </c>
      <c r="H32" s="2" t="s">
        <v>30</v>
      </c>
      <c r="N32"/>
      <c r="O32"/>
      <c r="P32"/>
      <c r="Q32"/>
      <c r="R32"/>
      <c r="S32"/>
      <c r="T32"/>
      <c r="U32"/>
      <c r="V32"/>
      <c r="W32"/>
    </row>
    <row r="33" spans="1:23" s="3" customFormat="1">
      <c r="A33" s="329"/>
      <c r="B33" s="27" t="s">
        <v>55</v>
      </c>
      <c r="C33" s="21" t="s">
        <v>56</v>
      </c>
      <c r="D33" s="1"/>
      <c r="E33"/>
      <c r="F33" s="103" t="s">
        <v>29</v>
      </c>
      <c r="G33" s="2" t="s">
        <v>57</v>
      </c>
      <c r="H33" s="2" t="s">
        <v>30</v>
      </c>
      <c r="I33" s="3" t="s">
        <v>58</v>
      </c>
      <c r="N33"/>
      <c r="O33"/>
      <c r="P33"/>
      <c r="Q33"/>
      <c r="R33"/>
      <c r="S33"/>
      <c r="T33"/>
      <c r="U33"/>
      <c r="V33"/>
      <c r="W33"/>
    </row>
    <row r="34" spans="1:23" s="3" customFormat="1">
      <c r="A34" s="329"/>
      <c r="B34" s="27" t="s">
        <v>59</v>
      </c>
      <c r="C34" s="21" t="s">
        <v>60</v>
      </c>
      <c r="D34" s="1"/>
      <c r="E34"/>
      <c r="F34" s="103" t="s">
        <v>29</v>
      </c>
      <c r="G34" s="2" t="s">
        <v>30</v>
      </c>
      <c r="H34" s="2" t="s">
        <v>57</v>
      </c>
      <c r="I34" s="3" t="s">
        <v>58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329"/>
      <c r="B35" s="27" t="s">
        <v>61</v>
      </c>
      <c r="C35" s="21" t="s">
        <v>56</v>
      </c>
      <c r="D35" s="1"/>
      <c r="E35"/>
      <c r="F35" s="103" t="s">
        <v>29</v>
      </c>
      <c r="G35" s="2" t="s">
        <v>62</v>
      </c>
      <c r="H35" s="2" t="s">
        <v>30</v>
      </c>
      <c r="N35"/>
      <c r="O35"/>
      <c r="P35"/>
      <c r="Q35"/>
      <c r="R35"/>
      <c r="S35"/>
      <c r="T35"/>
      <c r="U35"/>
      <c r="V35"/>
      <c r="W35"/>
    </row>
    <row r="36" spans="1:23" s="3" customFormat="1">
      <c r="A36" s="323"/>
      <c r="B36" s="27" t="s">
        <v>63</v>
      </c>
      <c r="C36" s="21" t="s">
        <v>60</v>
      </c>
      <c r="D36" s="1"/>
      <c r="E36"/>
      <c r="F36" s="103" t="s">
        <v>29</v>
      </c>
      <c r="G36" s="2" t="s">
        <v>30</v>
      </c>
      <c r="H36" s="2" t="s">
        <v>62</v>
      </c>
      <c r="N36"/>
      <c r="O36"/>
      <c r="P36"/>
      <c r="Q36"/>
      <c r="R36"/>
      <c r="S36"/>
      <c r="T36"/>
      <c r="U36"/>
      <c r="V36"/>
      <c r="W36"/>
    </row>
    <row r="37" spans="1:23" s="3" customFormat="1">
      <c r="A37" s="104" t="s">
        <v>64</v>
      </c>
      <c r="B37" s="27" t="s">
        <v>54</v>
      </c>
      <c r="C37" s="21" t="s">
        <v>32</v>
      </c>
      <c r="D37" s="1"/>
      <c r="E37"/>
      <c r="F37" s="103" t="s">
        <v>29</v>
      </c>
      <c r="G37" s="2" t="s">
        <v>30</v>
      </c>
      <c r="H37" s="2" t="s">
        <v>30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322" t="s">
        <v>65</v>
      </c>
      <c r="B38" s="29" t="s">
        <v>66</v>
      </c>
      <c r="C38" s="21" t="s">
        <v>67</v>
      </c>
      <c r="D38" s="1"/>
      <c r="E38"/>
      <c r="F38" s="103" t="s">
        <v>37</v>
      </c>
      <c r="G38" s="2" t="s">
        <v>38</v>
      </c>
      <c r="H38" s="2" t="s">
        <v>38</v>
      </c>
      <c r="N38"/>
      <c r="O38"/>
      <c r="P38"/>
      <c r="Q38"/>
      <c r="R38"/>
      <c r="S38"/>
      <c r="T38"/>
      <c r="U38"/>
      <c r="V38"/>
      <c r="W38"/>
    </row>
    <row r="39" spans="1:23" s="3" customFormat="1">
      <c r="A39" s="329"/>
      <c r="B39" s="29" t="s">
        <v>68</v>
      </c>
      <c r="C39" s="21" t="s">
        <v>36</v>
      </c>
      <c r="D39" s="1"/>
      <c r="E39"/>
      <c r="F39" s="103" t="s">
        <v>37</v>
      </c>
      <c r="G39" s="2" t="s">
        <v>38</v>
      </c>
      <c r="H39" s="2" t="s">
        <v>57</v>
      </c>
      <c r="I39" s="3" t="s">
        <v>58</v>
      </c>
      <c r="N39"/>
      <c r="O39"/>
      <c r="P39"/>
      <c r="Q39"/>
      <c r="R39"/>
      <c r="S39"/>
      <c r="T39"/>
      <c r="U39"/>
      <c r="V39"/>
      <c r="W39"/>
    </row>
    <row r="40" spans="1:23" s="3" customFormat="1">
      <c r="A40" s="52"/>
      <c r="B40" s="29" t="s">
        <v>69</v>
      </c>
      <c r="C40" s="21" t="s">
        <v>70</v>
      </c>
      <c r="D40" s="1"/>
      <c r="E40"/>
      <c r="F40" s="103" t="s">
        <v>37</v>
      </c>
      <c r="G40" s="2" t="s">
        <v>57</v>
      </c>
      <c r="H40" s="2" t="s">
        <v>38</v>
      </c>
      <c r="I40" s="3" t="s">
        <v>58</v>
      </c>
      <c r="N40"/>
      <c r="O40"/>
      <c r="P40"/>
      <c r="Q40"/>
      <c r="R40"/>
      <c r="S40"/>
      <c r="T40"/>
      <c r="U40"/>
      <c r="V40"/>
      <c r="W40"/>
    </row>
    <row r="41" spans="1:23" s="3" customFormat="1" ht="43.15">
      <c r="A41" s="51"/>
      <c r="B41" s="8" t="s">
        <v>71</v>
      </c>
      <c r="C41" s="100" t="s">
        <v>72</v>
      </c>
      <c r="D41" s="1"/>
      <c r="E41"/>
      <c r="F41" s="103" t="s">
        <v>73</v>
      </c>
      <c r="G41" s="103" t="s">
        <v>37</v>
      </c>
      <c r="H41" s="103" t="s">
        <v>73</v>
      </c>
      <c r="N41"/>
      <c r="O41"/>
      <c r="P41"/>
      <c r="Q41"/>
      <c r="R41"/>
      <c r="S41"/>
      <c r="T41"/>
      <c r="U41"/>
      <c r="V41"/>
      <c r="W41"/>
    </row>
    <row r="42" spans="1:23" s="3" customFormat="1">
      <c r="A42" s="51" t="s">
        <v>74</v>
      </c>
      <c r="B42" s="51" t="s">
        <v>74</v>
      </c>
      <c r="C42" s="21" t="s">
        <v>42</v>
      </c>
      <c r="D42" s="1"/>
      <c r="E42"/>
      <c r="F42" s="103" t="s">
        <v>43</v>
      </c>
      <c r="G42" s="103" t="s">
        <v>38</v>
      </c>
      <c r="H42" s="103" t="s">
        <v>38</v>
      </c>
      <c r="N42"/>
      <c r="O42"/>
      <c r="P42"/>
      <c r="Q42"/>
      <c r="R42"/>
      <c r="S42"/>
      <c r="T42"/>
      <c r="U42"/>
      <c r="V42"/>
      <c r="W42"/>
    </row>
    <row r="43" spans="1:23" s="3" customFormat="1">
      <c r="A43" s="105" t="s">
        <v>75</v>
      </c>
      <c r="B43" s="105" t="s">
        <v>75</v>
      </c>
      <c r="C43" s="21" t="s">
        <v>45</v>
      </c>
      <c r="D43" s="1"/>
      <c r="E43"/>
      <c r="F43" s="103" t="s">
        <v>46</v>
      </c>
      <c r="G43" s="103" t="s">
        <v>38</v>
      </c>
      <c r="H43" s="103" t="s">
        <v>38</v>
      </c>
      <c r="N43"/>
      <c r="O43"/>
      <c r="P43"/>
      <c r="Q43"/>
      <c r="R43"/>
      <c r="S43"/>
      <c r="T43"/>
      <c r="U43"/>
      <c r="V43"/>
      <c r="W43"/>
    </row>
    <row r="44" spans="1:23" s="3" customFormat="1">
      <c r="A44" s="51" t="s">
        <v>76</v>
      </c>
      <c r="B44" s="51" t="s">
        <v>76</v>
      </c>
      <c r="C44" s="21" t="s">
        <v>48</v>
      </c>
      <c r="D44" s="1"/>
      <c r="E44"/>
      <c r="F44" s="103" t="s">
        <v>43</v>
      </c>
      <c r="G44" s="103" t="s">
        <v>38</v>
      </c>
      <c r="H44" s="103" t="s">
        <v>38</v>
      </c>
      <c r="N44"/>
      <c r="O44"/>
      <c r="P44"/>
      <c r="Q44"/>
      <c r="R44"/>
      <c r="S44"/>
      <c r="T44"/>
      <c r="U44"/>
      <c r="V44"/>
      <c r="W44"/>
    </row>
    <row r="47" spans="1:23">
      <c r="E47" s="4"/>
      <c r="F47" s="19" t="s">
        <v>77</v>
      </c>
      <c r="G47" s="19" t="s">
        <v>78</v>
      </c>
    </row>
    <row r="48" spans="1:23">
      <c r="A48" s="105" t="s">
        <v>79</v>
      </c>
      <c r="B48" s="105" t="s">
        <v>79</v>
      </c>
      <c r="C48" s="21" t="s">
        <v>80</v>
      </c>
      <c r="D48" s="1"/>
      <c r="E48" s="6"/>
      <c r="F48" s="103" t="s">
        <v>37</v>
      </c>
      <c r="G48" s="103" t="s">
        <v>38</v>
      </c>
    </row>
    <row r="49" spans="1:12">
      <c r="A49" s="1"/>
      <c r="B49" s="1"/>
      <c r="C49" s="1"/>
      <c r="D49" s="1"/>
      <c r="E49" s="6"/>
      <c r="F49" s="15"/>
      <c r="G49" s="15"/>
    </row>
    <row r="51" spans="1:12">
      <c r="E51" s="4"/>
      <c r="F51" s="19" t="s">
        <v>81</v>
      </c>
      <c r="G51" s="19" t="s">
        <v>82</v>
      </c>
      <c r="H51" s="19" t="s">
        <v>83</v>
      </c>
      <c r="I51" s="19" t="s">
        <v>84</v>
      </c>
    </row>
    <row r="52" spans="1:12">
      <c r="A52" s="105" t="s">
        <v>85</v>
      </c>
      <c r="B52" s="105" t="s">
        <v>85</v>
      </c>
      <c r="C52" s="21" t="s">
        <v>86</v>
      </c>
      <c r="D52" s="1"/>
      <c r="E52" s="5"/>
      <c r="F52" s="2" t="s">
        <v>87</v>
      </c>
      <c r="G52" s="2" t="s">
        <v>88</v>
      </c>
      <c r="H52" s="2" t="s">
        <v>89</v>
      </c>
      <c r="I52" s="2" t="s">
        <v>73</v>
      </c>
    </row>
    <row r="53" spans="1:12">
      <c r="A53" s="1"/>
      <c r="B53" s="1"/>
      <c r="C53" s="1"/>
      <c r="D53" s="1"/>
      <c r="E53" s="5"/>
      <c r="F53" s="3"/>
      <c r="G53" s="3"/>
      <c r="H53" s="3"/>
      <c r="I53" s="3"/>
    </row>
    <row r="54" spans="1:12">
      <c r="A54" s="1"/>
      <c r="B54" s="1"/>
      <c r="C54" s="1"/>
      <c r="D54" s="1"/>
      <c r="E54" s="5"/>
      <c r="F54" s="3"/>
      <c r="G54" s="3"/>
      <c r="H54" s="3"/>
      <c r="I54" s="3"/>
    </row>
    <row r="55" spans="1:12">
      <c r="A55" s="1"/>
      <c r="B55" s="1"/>
      <c r="C55" s="1"/>
      <c r="D55" s="1"/>
      <c r="E55" s="5"/>
      <c r="F55" s="147" t="s">
        <v>90</v>
      </c>
      <c r="G55" s="147" t="s">
        <v>91</v>
      </c>
      <c r="H55" s="147" t="s">
        <v>92</v>
      </c>
      <c r="I55" s="147" t="s">
        <v>93</v>
      </c>
      <c r="J55" s="147" t="s">
        <v>94</v>
      </c>
      <c r="K55" s="147" t="s">
        <v>95</v>
      </c>
    </row>
    <row r="56" spans="1:12">
      <c r="A56" s="50" t="s">
        <v>96</v>
      </c>
      <c r="B56" s="168" t="s">
        <v>97</v>
      </c>
      <c r="C56" s="21" t="s">
        <v>98</v>
      </c>
      <c r="D56" s="1"/>
      <c r="E56" s="5"/>
      <c r="F56" s="103" t="s">
        <v>37</v>
      </c>
      <c r="G56" s="145"/>
      <c r="H56" s="103" t="s">
        <v>38</v>
      </c>
      <c r="I56" s="145"/>
      <c r="J56" s="145"/>
      <c r="K56" s="145"/>
      <c r="L56" t="s">
        <v>58</v>
      </c>
    </row>
    <row r="57" spans="1:12">
      <c r="A57" s="52"/>
      <c r="B57" s="168" t="s">
        <v>99</v>
      </c>
      <c r="C57" s="21" t="s">
        <v>100</v>
      </c>
      <c r="D57" s="1"/>
      <c r="E57" s="5"/>
      <c r="F57" s="145"/>
      <c r="G57" s="145"/>
      <c r="H57" s="145"/>
      <c r="I57" s="103" t="s">
        <v>38</v>
      </c>
      <c r="J57" s="103" t="s">
        <v>37</v>
      </c>
      <c r="K57" s="145"/>
      <c r="L57" t="s">
        <v>58</v>
      </c>
    </row>
    <row r="58" spans="1:12">
      <c r="A58" s="52"/>
      <c r="B58" s="168" t="s">
        <v>101</v>
      </c>
      <c r="C58" s="21" t="s">
        <v>102</v>
      </c>
      <c r="D58" s="1"/>
      <c r="E58" s="5"/>
      <c r="F58" s="103" t="s">
        <v>37</v>
      </c>
      <c r="G58" s="145"/>
      <c r="H58" s="145"/>
      <c r="I58" s="145"/>
      <c r="J58" s="145"/>
      <c r="K58" s="103" t="s">
        <v>38</v>
      </c>
      <c r="L58" t="s">
        <v>58</v>
      </c>
    </row>
    <row r="59" spans="1:12">
      <c r="A59" s="52"/>
      <c r="B59" s="168" t="s">
        <v>103</v>
      </c>
      <c r="C59" s="21" t="s">
        <v>104</v>
      </c>
      <c r="D59" s="1"/>
      <c r="E59" s="5"/>
      <c r="F59" s="145"/>
      <c r="G59" s="145"/>
      <c r="H59" s="103" t="s">
        <v>38</v>
      </c>
      <c r="I59" s="103" t="s">
        <v>37</v>
      </c>
      <c r="J59" s="145"/>
      <c r="K59" s="145"/>
      <c r="L59" t="s">
        <v>58</v>
      </c>
    </row>
    <row r="60" spans="1:12">
      <c r="A60" s="52"/>
      <c r="B60" s="168" t="s">
        <v>105</v>
      </c>
      <c r="C60" s="21" t="s">
        <v>106</v>
      </c>
      <c r="D60" s="1"/>
      <c r="E60" s="5"/>
      <c r="F60" s="146"/>
      <c r="G60" s="102" t="s">
        <v>38</v>
      </c>
      <c r="H60" s="146"/>
      <c r="I60" s="146"/>
      <c r="J60" s="102" t="s">
        <v>37</v>
      </c>
      <c r="K60" s="146"/>
      <c r="L60" t="s">
        <v>58</v>
      </c>
    </row>
    <row r="61" spans="1:12">
      <c r="A61" s="50" t="s">
        <v>107</v>
      </c>
      <c r="B61" s="168" t="s">
        <v>108</v>
      </c>
      <c r="C61" s="21" t="s">
        <v>109</v>
      </c>
      <c r="D61" s="1"/>
      <c r="E61" s="5"/>
      <c r="F61" s="2" t="s">
        <v>89</v>
      </c>
      <c r="G61" s="145"/>
      <c r="H61" s="2" t="s">
        <v>73</v>
      </c>
      <c r="I61" s="2" t="s">
        <v>88</v>
      </c>
      <c r="J61" s="145"/>
      <c r="K61" s="2" t="s">
        <v>87</v>
      </c>
      <c r="L61" t="s">
        <v>58</v>
      </c>
    </row>
    <row r="62" spans="1:12">
      <c r="A62" s="51"/>
      <c r="B62" s="168" t="s">
        <v>110</v>
      </c>
      <c r="C62" s="21" t="s">
        <v>111</v>
      </c>
      <c r="D62" s="1"/>
      <c r="E62" s="5"/>
      <c r="F62" s="145"/>
      <c r="G62" s="2" t="s">
        <v>87</v>
      </c>
      <c r="H62" s="2" t="s">
        <v>88</v>
      </c>
      <c r="I62" s="2" t="s">
        <v>73</v>
      </c>
      <c r="J62" s="2" t="s">
        <v>89</v>
      </c>
      <c r="K62" s="145"/>
      <c r="L62" t="s">
        <v>58</v>
      </c>
    </row>
    <row r="63" spans="1:12">
      <c r="A63" s="1"/>
      <c r="B63" s="1"/>
      <c r="C63" s="1"/>
      <c r="D63" s="1"/>
      <c r="E63" s="5"/>
      <c r="F63" s="160"/>
      <c r="G63" s="3"/>
      <c r="H63" s="3"/>
      <c r="I63" s="3"/>
      <c r="J63" s="3"/>
      <c r="K63" s="160"/>
    </row>
    <row r="64" spans="1:12">
      <c r="A64" s="1"/>
      <c r="B64" s="1"/>
      <c r="C64" s="1"/>
      <c r="D64" s="1"/>
      <c r="E64" s="5"/>
      <c r="F64" s="3"/>
      <c r="G64" s="3"/>
      <c r="H64" s="3"/>
      <c r="I64" s="3"/>
    </row>
    <row r="65" spans="1:23">
      <c r="E65" s="4"/>
      <c r="F65" s="19" t="s">
        <v>112</v>
      </c>
      <c r="G65" s="19" t="s">
        <v>113</v>
      </c>
      <c r="H65" s="19" t="s">
        <v>114</v>
      </c>
    </row>
    <row r="66" spans="1:23">
      <c r="A66" s="105" t="s">
        <v>115</v>
      </c>
      <c r="B66" s="105" t="s">
        <v>115</v>
      </c>
      <c r="C66" s="21" t="s">
        <v>116</v>
      </c>
      <c r="D66" s="1"/>
      <c r="E66" s="6"/>
      <c r="F66" s="103" t="s">
        <v>37</v>
      </c>
      <c r="G66" s="103" t="s">
        <v>38</v>
      </c>
      <c r="H66" s="103" t="s">
        <v>117</v>
      </c>
      <c r="I66" s="3"/>
      <c r="J66" s="3"/>
      <c r="K66" s="3"/>
      <c r="L66" s="3"/>
      <c r="M66" s="3"/>
    </row>
    <row r="67" spans="1:23">
      <c r="A67" s="1"/>
      <c r="B67" s="1"/>
      <c r="C67" s="1"/>
      <c r="D67" s="1"/>
      <c r="E67" s="6"/>
      <c r="F67" s="15"/>
      <c r="G67" s="15"/>
      <c r="H67" s="15"/>
      <c r="I67" s="3"/>
      <c r="J67" s="3"/>
      <c r="K67" s="3"/>
      <c r="L67" s="3"/>
      <c r="M67" s="3"/>
    </row>
    <row r="68" spans="1:23">
      <c r="I68" s="3"/>
      <c r="J68" s="3"/>
      <c r="K68" s="3"/>
      <c r="L68" s="3"/>
      <c r="M68" s="3"/>
    </row>
    <row r="69" spans="1:23">
      <c r="E69" s="4"/>
      <c r="F69" s="19" t="s">
        <v>118</v>
      </c>
      <c r="G69" s="19" t="s">
        <v>119</v>
      </c>
      <c r="H69" s="3"/>
      <c r="I69" s="3"/>
      <c r="J69" s="3"/>
      <c r="K69" s="3"/>
      <c r="L69" s="3"/>
      <c r="M69" s="3"/>
    </row>
    <row r="70" spans="1:23">
      <c r="A70" s="105" t="s">
        <v>120</v>
      </c>
      <c r="B70" s="105" t="s">
        <v>120</v>
      </c>
      <c r="C70" s="21" t="s">
        <v>121</v>
      </c>
      <c r="D70" s="1"/>
      <c r="E70" s="6"/>
      <c r="F70" s="103" t="s">
        <v>37</v>
      </c>
      <c r="G70" s="103" t="s">
        <v>38</v>
      </c>
      <c r="H70" s="3"/>
    </row>
    <row r="71" spans="1:23">
      <c r="A71" s="1"/>
      <c r="B71" s="1"/>
      <c r="C71" s="1"/>
      <c r="D71" s="1"/>
      <c r="E71" s="6"/>
      <c r="F71" s="15"/>
      <c r="G71" s="15"/>
      <c r="H71" s="3"/>
      <c r="L71" s="15"/>
      <c r="M71" s="15"/>
      <c r="N71" s="1"/>
      <c r="O71" s="1"/>
      <c r="P71" s="1"/>
      <c r="Q71" s="1"/>
      <c r="R71" s="1"/>
    </row>
    <row r="72" spans="1:23">
      <c r="L72" s="15"/>
      <c r="M72" s="15"/>
      <c r="N72" s="1"/>
      <c r="O72" s="1"/>
      <c r="P72" s="1"/>
      <c r="Q72" s="1"/>
      <c r="R72" s="1"/>
    </row>
    <row r="73" spans="1:23">
      <c r="F73" s="24" t="s">
        <v>112</v>
      </c>
      <c r="G73" s="24" t="s">
        <v>113</v>
      </c>
      <c r="H73" s="24" t="s">
        <v>122</v>
      </c>
      <c r="I73" s="24" t="s">
        <v>123</v>
      </c>
      <c r="J73" s="19" t="s">
        <v>124</v>
      </c>
      <c r="K73" s="19" t="s">
        <v>125</v>
      </c>
      <c r="L73" s="15"/>
      <c r="M73" s="15"/>
      <c r="N73" s="1"/>
      <c r="O73" s="1"/>
      <c r="P73" s="1"/>
      <c r="Q73" s="1"/>
      <c r="R73" s="1"/>
    </row>
    <row r="74" spans="1:23">
      <c r="A74" s="321" t="s">
        <v>126</v>
      </c>
      <c r="B74" s="101" t="s">
        <v>127</v>
      </c>
      <c r="C74" s="23" t="s">
        <v>128</v>
      </c>
      <c r="D74" s="28"/>
      <c r="F74" s="103" t="s">
        <v>29</v>
      </c>
      <c r="G74" s="103" t="s">
        <v>29</v>
      </c>
      <c r="H74" s="2" t="s">
        <v>30</v>
      </c>
      <c r="I74" s="2" t="s">
        <v>30</v>
      </c>
      <c r="J74" s="2" t="s">
        <v>30</v>
      </c>
      <c r="K74" s="2" t="s">
        <v>30</v>
      </c>
      <c r="L74" s="15"/>
      <c r="M74" s="15"/>
      <c r="N74" s="1"/>
      <c r="O74" s="1"/>
      <c r="P74" s="1"/>
      <c r="Q74" s="1"/>
      <c r="R74" s="1"/>
    </row>
    <row r="75" spans="1:23">
      <c r="A75" s="321"/>
      <c r="B75" s="7" t="s">
        <v>129</v>
      </c>
      <c r="C75" s="23" t="s">
        <v>130</v>
      </c>
      <c r="D75" s="28"/>
      <c r="F75" s="103" t="s">
        <v>29</v>
      </c>
      <c r="G75" s="103" t="s">
        <v>29</v>
      </c>
      <c r="H75" s="2" t="s">
        <v>62</v>
      </c>
      <c r="I75" s="2" t="s">
        <v>62</v>
      </c>
      <c r="J75" s="2" t="s">
        <v>62</v>
      </c>
      <c r="K75" s="2" t="s">
        <v>30</v>
      </c>
      <c r="L75" s="15"/>
      <c r="M75" s="15"/>
      <c r="N75" s="1"/>
      <c r="O75" s="1"/>
      <c r="P75" s="1"/>
      <c r="Q75" s="1"/>
      <c r="R75" s="1"/>
    </row>
    <row r="76" spans="1:23">
      <c r="A76" s="321"/>
      <c r="B76" s="7" t="s">
        <v>131</v>
      </c>
      <c r="C76" s="23" t="s">
        <v>132</v>
      </c>
      <c r="D76" s="28"/>
      <c r="F76" s="103" t="s">
        <v>29</v>
      </c>
      <c r="G76" s="103" t="s">
        <v>29</v>
      </c>
      <c r="H76" s="2" t="s">
        <v>30</v>
      </c>
      <c r="I76" s="2" t="s">
        <v>30</v>
      </c>
      <c r="J76" s="2" t="s">
        <v>62</v>
      </c>
      <c r="K76" s="2" t="s">
        <v>62</v>
      </c>
      <c r="L76" s="15"/>
      <c r="M76" s="15"/>
      <c r="N76" s="1"/>
      <c r="O76" s="1"/>
      <c r="P76" s="1"/>
      <c r="Q76" s="1"/>
      <c r="R76" s="1"/>
    </row>
    <row r="77" spans="1:23">
      <c r="A77" s="321"/>
      <c r="B77" s="7" t="s">
        <v>133</v>
      </c>
      <c r="C77" s="23" t="s">
        <v>134</v>
      </c>
      <c r="D77" s="28"/>
      <c r="F77" s="103" t="s">
        <v>29</v>
      </c>
      <c r="G77" s="103" t="s">
        <v>29</v>
      </c>
      <c r="H77" s="2" t="s">
        <v>30</v>
      </c>
      <c r="I77" s="2" t="s">
        <v>62</v>
      </c>
      <c r="J77" s="2" t="s">
        <v>62</v>
      </c>
      <c r="K77" s="2" t="s">
        <v>62</v>
      </c>
      <c r="L77" s="15"/>
      <c r="M77" s="15"/>
      <c r="N77" s="1"/>
      <c r="O77" s="1"/>
      <c r="P77" s="1"/>
      <c r="Q77" s="1"/>
      <c r="R77" s="1"/>
    </row>
    <row r="78" spans="1:23">
      <c r="A78" s="321"/>
      <c r="B78" s="7" t="s">
        <v>135</v>
      </c>
      <c r="C78" s="23" t="s">
        <v>136</v>
      </c>
      <c r="D78" s="28"/>
      <c r="F78" s="103" t="s">
        <v>29</v>
      </c>
      <c r="G78" s="103" t="s">
        <v>29</v>
      </c>
      <c r="H78" s="2" t="s">
        <v>62</v>
      </c>
      <c r="I78" s="2" t="s">
        <v>30</v>
      </c>
      <c r="J78" s="2" t="s">
        <v>62</v>
      </c>
      <c r="K78" s="2" t="s">
        <v>62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79" spans="1:23">
      <c r="A79" s="321"/>
      <c r="B79" s="7" t="s">
        <v>137</v>
      </c>
      <c r="C79" s="23" t="s">
        <v>138</v>
      </c>
      <c r="D79" s="28"/>
      <c r="F79" s="103" t="s">
        <v>29</v>
      </c>
      <c r="G79" s="103" t="s">
        <v>29</v>
      </c>
      <c r="H79" s="2" t="s">
        <v>62</v>
      </c>
      <c r="I79" s="2" t="s">
        <v>62</v>
      </c>
      <c r="J79" s="2" t="s">
        <v>30</v>
      </c>
      <c r="K79" s="2" t="s">
        <v>62</v>
      </c>
      <c r="L79" s="15"/>
      <c r="M79" s="15"/>
      <c r="N79" s="1"/>
      <c r="O79" s="1"/>
      <c r="P79" s="1"/>
      <c r="Q79" s="1"/>
      <c r="R79" s="1"/>
      <c r="S79" s="3"/>
      <c r="T79" s="3"/>
      <c r="U79" s="3"/>
      <c r="V79" s="3"/>
      <c r="W79" s="3"/>
    </row>
    <row r="80" spans="1:23">
      <c r="A80" s="321" t="s">
        <v>139</v>
      </c>
      <c r="B80" s="7" t="s">
        <v>140</v>
      </c>
      <c r="C80" s="23" t="s">
        <v>141</v>
      </c>
      <c r="D80" s="28"/>
      <c r="F80" s="2" t="s">
        <v>37</v>
      </c>
      <c r="G80" s="2"/>
      <c r="H80" s="2" t="s">
        <v>62</v>
      </c>
      <c r="I80" s="2" t="s">
        <v>62</v>
      </c>
      <c r="J80" s="2" t="s">
        <v>62</v>
      </c>
      <c r="K80" s="2" t="s">
        <v>62</v>
      </c>
      <c r="L80" s="15"/>
      <c r="M80" s="15"/>
      <c r="N80" s="1"/>
      <c r="O80" s="1"/>
      <c r="P80" s="1"/>
      <c r="Q80" s="1"/>
      <c r="R80" s="1"/>
      <c r="S80" s="3"/>
      <c r="T80" s="3"/>
      <c r="U80" s="3"/>
      <c r="V80" s="3"/>
      <c r="W80" s="3"/>
    </row>
    <row r="81" spans="1:23">
      <c r="A81" s="321"/>
      <c r="B81" s="7" t="s">
        <v>142</v>
      </c>
      <c r="C81" s="23" t="s">
        <v>143</v>
      </c>
      <c r="D81" s="28"/>
      <c r="F81" s="2" t="s">
        <v>37</v>
      </c>
      <c r="G81" s="2"/>
      <c r="H81" s="2"/>
      <c r="I81" s="2"/>
      <c r="J81" s="2"/>
      <c r="K81" s="2" t="s">
        <v>62</v>
      </c>
      <c r="L81" s="15"/>
      <c r="M81" s="15"/>
      <c r="N81" s="1"/>
      <c r="O81" s="1"/>
      <c r="P81" s="1"/>
      <c r="Q81" s="1"/>
      <c r="R81" s="1"/>
      <c r="S81" s="3"/>
      <c r="T81" s="3"/>
      <c r="U81" s="3"/>
      <c r="V81" s="3"/>
      <c r="W81" s="3"/>
    </row>
    <row r="82" spans="1:23">
      <c r="A82" s="321"/>
      <c r="B82" s="7" t="s">
        <v>144</v>
      </c>
      <c r="C82" s="23" t="s">
        <v>145</v>
      </c>
      <c r="D82" s="28"/>
      <c r="F82" s="2" t="s">
        <v>37</v>
      </c>
      <c r="G82" s="2"/>
      <c r="H82" s="2" t="s">
        <v>62</v>
      </c>
      <c r="I82" s="2" t="s">
        <v>62</v>
      </c>
      <c r="J82" s="2"/>
      <c r="K82" s="2"/>
      <c r="L82" s="15"/>
      <c r="M82" s="15"/>
      <c r="N82" s="1"/>
      <c r="O82" s="1"/>
      <c r="P82" s="1"/>
      <c r="Q82" s="1"/>
      <c r="R82" s="1"/>
      <c r="S82" s="3"/>
      <c r="T82" s="3"/>
      <c r="U82" s="3"/>
      <c r="V82" s="3"/>
      <c r="W82" s="3"/>
    </row>
    <row r="83" spans="1:23">
      <c r="A83" s="321"/>
      <c r="B83" s="7" t="s">
        <v>146</v>
      </c>
      <c r="C83" s="23" t="s">
        <v>147</v>
      </c>
      <c r="D83" s="28"/>
      <c r="F83" s="2" t="s">
        <v>37</v>
      </c>
      <c r="G83" s="2"/>
      <c r="H83" s="2" t="s">
        <v>62</v>
      </c>
      <c r="I83" s="2"/>
      <c r="J83" s="2"/>
      <c r="K83" s="2"/>
      <c r="L83" s="15"/>
      <c r="M83" s="15"/>
      <c r="N83" s="1"/>
      <c r="O83" s="1"/>
      <c r="P83" s="1"/>
      <c r="Q83" s="1"/>
      <c r="R83" s="1"/>
      <c r="S83" s="3"/>
      <c r="T83" s="3"/>
      <c r="U83" s="3"/>
      <c r="V83" s="3"/>
      <c r="W83" s="3"/>
    </row>
    <row r="84" spans="1:23">
      <c r="A84" s="321"/>
      <c r="B84" s="7" t="s">
        <v>148</v>
      </c>
      <c r="C84" s="23" t="s">
        <v>149</v>
      </c>
      <c r="D84" s="28"/>
      <c r="F84" s="2" t="s">
        <v>37</v>
      </c>
      <c r="G84" s="2"/>
      <c r="H84" s="2"/>
      <c r="I84" s="2" t="s">
        <v>62</v>
      </c>
      <c r="J84" s="2"/>
      <c r="K84" s="2"/>
      <c r="L84" s="15"/>
      <c r="M84" s="15"/>
      <c r="N84" s="1"/>
      <c r="O84" s="1"/>
      <c r="P84" s="1"/>
      <c r="Q84" s="1"/>
      <c r="R84" s="1"/>
      <c r="S84" s="3"/>
      <c r="T84" s="3"/>
      <c r="U84" s="3"/>
      <c r="V84" s="3"/>
      <c r="W84" s="3"/>
    </row>
    <row r="85" spans="1:23">
      <c r="A85" s="321"/>
      <c r="B85" s="7" t="s">
        <v>150</v>
      </c>
      <c r="C85" s="23" t="s">
        <v>151</v>
      </c>
      <c r="D85" s="28"/>
      <c r="F85" s="2" t="s">
        <v>37</v>
      </c>
      <c r="G85" s="2"/>
      <c r="H85" s="2"/>
      <c r="I85" s="2"/>
      <c r="J85" s="2" t="s">
        <v>62</v>
      </c>
      <c r="K85" s="2"/>
    </row>
    <row r="86" spans="1:23">
      <c r="A86" s="321"/>
      <c r="B86" s="7" t="s">
        <v>152</v>
      </c>
      <c r="C86" s="23" t="s">
        <v>153</v>
      </c>
      <c r="D86" s="28"/>
      <c r="F86" s="2"/>
      <c r="G86" s="2"/>
      <c r="H86" s="2"/>
      <c r="I86" s="2"/>
      <c r="J86" s="2" t="s">
        <v>37</v>
      </c>
      <c r="K86" s="2" t="s">
        <v>62</v>
      </c>
    </row>
    <row r="87" spans="1:23">
      <c r="A87" s="105" t="s">
        <v>154</v>
      </c>
      <c r="B87" s="105" t="s">
        <v>79</v>
      </c>
      <c r="C87" s="21" t="s">
        <v>80</v>
      </c>
      <c r="D87" s="28"/>
      <c r="F87" s="103" t="s">
        <v>37</v>
      </c>
      <c r="G87" s="103" t="s">
        <v>38</v>
      </c>
      <c r="H87" s="2"/>
      <c r="I87" s="2"/>
      <c r="J87" s="2"/>
      <c r="K87" s="2"/>
    </row>
    <row r="89" spans="1:23">
      <c r="F89" s="176" t="s">
        <v>5</v>
      </c>
      <c r="G89" s="176" t="s">
        <v>6</v>
      </c>
      <c r="H89" s="176" t="s">
        <v>155</v>
      </c>
      <c r="I89" s="176" t="s">
        <v>156</v>
      </c>
      <c r="J89" s="176" t="s">
        <v>157</v>
      </c>
    </row>
    <row r="90" spans="1:23">
      <c r="A90" s="29" t="s">
        <v>158</v>
      </c>
      <c r="B90" s="29" t="s">
        <v>158</v>
      </c>
      <c r="C90" s="25" t="s">
        <v>159</v>
      </c>
      <c r="F90" s="177" t="s">
        <v>160</v>
      </c>
      <c r="G90" s="177" t="s">
        <v>38</v>
      </c>
      <c r="H90" s="177" t="s">
        <v>160</v>
      </c>
      <c r="I90" s="177" t="s">
        <v>161</v>
      </c>
      <c r="J90" s="177" t="s">
        <v>162</v>
      </c>
      <c r="K90" s="3"/>
      <c r="L90" s="3"/>
      <c r="M90" s="3"/>
    </row>
    <row r="91" spans="1:23">
      <c r="A91" s="29" t="s">
        <v>163</v>
      </c>
      <c r="B91" s="29" t="s">
        <v>163</v>
      </c>
      <c r="C91" s="25" t="s">
        <v>164</v>
      </c>
      <c r="F91" s="177" t="s">
        <v>160</v>
      </c>
      <c r="G91" s="177" t="s">
        <v>38</v>
      </c>
      <c r="H91" s="177" t="s">
        <v>160</v>
      </c>
      <c r="I91" s="177" t="s">
        <v>161</v>
      </c>
      <c r="J91" s="177" t="s">
        <v>165</v>
      </c>
      <c r="K91" s="3"/>
      <c r="L91" s="3"/>
      <c r="M91" s="3"/>
    </row>
  </sheetData>
  <mergeCells count="8">
    <mergeCell ref="A80:A86"/>
    <mergeCell ref="A3:A15"/>
    <mergeCell ref="F1:L1"/>
    <mergeCell ref="A19:A20"/>
    <mergeCell ref="A22:A23"/>
    <mergeCell ref="A31:A36"/>
    <mergeCell ref="A38:A39"/>
    <mergeCell ref="A74:A7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222D-036C-41B0-A8C2-0A634B91EC29}">
  <sheetPr codeName="Sheet2"/>
  <dimension ref="A1:S303"/>
  <sheetViews>
    <sheetView zoomScale="85" zoomScaleNormal="85" workbookViewId="0">
      <pane ySplit="1" topLeftCell="A2" activePane="bottomLeft" state="frozen"/>
      <selection pane="bottomLeft" activeCell="D33" sqref="D33"/>
    </sheetView>
  </sheetViews>
  <sheetFormatPr defaultRowHeight="14.45"/>
  <cols>
    <col min="1" max="1" width="17.28515625" bestFit="1" customWidth="1"/>
    <col min="2" max="2" width="23.42578125" customWidth="1"/>
    <col min="3" max="3" width="27.140625" style="3" customWidth="1"/>
    <col min="4" max="4" width="17.7109375" style="3" bestFit="1" customWidth="1"/>
    <col min="5" max="5" width="11.85546875" bestFit="1" customWidth="1"/>
    <col min="6" max="6" width="14.5703125" style="3" bestFit="1" customWidth="1"/>
    <col min="7" max="7" width="11.140625" style="48" bestFit="1" customWidth="1"/>
    <col min="8" max="8" width="56.28515625" style="15" bestFit="1" customWidth="1"/>
    <col min="9" max="12" width="8.7109375" style="15" customWidth="1"/>
    <col min="14" max="14" width="11.140625" bestFit="1" customWidth="1"/>
    <col min="15" max="15" width="13.7109375" bestFit="1" customWidth="1"/>
  </cols>
  <sheetData>
    <row r="1" spans="1:14">
      <c r="A1" s="63" t="s">
        <v>168</v>
      </c>
      <c r="B1" s="64" t="s">
        <v>0</v>
      </c>
      <c r="C1" s="64" t="s">
        <v>169</v>
      </c>
      <c r="D1" s="65" t="s">
        <v>170</v>
      </c>
      <c r="E1" s="4" t="s">
        <v>171</v>
      </c>
      <c r="F1" s="65" t="s">
        <v>172</v>
      </c>
      <c r="G1" s="49" t="s">
        <v>173</v>
      </c>
      <c r="H1" s="66" t="s">
        <v>157</v>
      </c>
      <c r="I1" s="66" t="s">
        <v>5</v>
      </c>
      <c r="J1" s="66" t="s">
        <v>6</v>
      </c>
      <c r="K1" s="66" t="s">
        <v>7</v>
      </c>
      <c r="L1" s="66" t="s">
        <v>8</v>
      </c>
      <c r="N1" s="36" t="s">
        <v>174</v>
      </c>
    </row>
    <row r="2" spans="1:14" s="40" customFormat="1">
      <c r="A2" s="50" t="s">
        <v>23</v>
      </c>
      <c r="B2" s="50" t="s">
        <v>23</v>
      </c>
      <c r="C2" s="13" t="s">
        <v>175</v>
      </c>
      <c r="D2" s="67" t="s">
        <v>176</v>
      </c>
      <c r="F2" s="67">
        <f>(1/0.05)+1</f>
        <v>21</v>
      </c>
      <c r="G2" s="68">
        <v>1547.91</v>
      </c>
      <c r="H2" s="69" t="s">
        <v>177</v>
      </c>
      <c r="I2" s="69" t="s">
        <v>178</v>
      </c>
      <c r="J2" s="69" t="s">
        <v>179</v>
      </c>
      <c r="K2" s="69" t="s">
        <v>180</v>
      </c>
      <c r="L2" s="69" t="s">
        <v>179</v>
      </c>
    </row>
    <row r="3" spans="1:14">
      <c r="A3" s="52"/>
      <c r="B3" s="52"/>
      <c r="C3" s="34" t="s">
        <v>181</v>
      </c>
      <c r="D3" s="1" t="s">
        <v>176</v>
      </c>
      <c r="F3" s="1">
        <f>1/0.1+1</f>
        <v>11</v>
      </c>
      <c r="G3" s="48">
        <v>921.77099999999996</v>
      </c>
      <c r="H3" s="15" t="s">
        <v>182</v>
      </c>
      <c r="I3" s="15" t="s">
        <v>183</v>
      </c>
      <c r="J3" s="15" t="s">
        <v>179</v>
      </c>
      <c r="K3" s="15" t="s">
        <v>180</v>
      </c>
      <c r="L3" s="15" t="s">
        <v>179</v>
      </c>
    </row>
    <row r="4" spans="1:14">
      <c r="A4" s="52"/>
      <c r="B4" s="52"/>
      <c r="C4" s="34" t="s">
        <v>184</v>
      </c>
      <c r="D4" s="1" t="s">
        <v>176</v>
      </c>
      <c r="F4" s="1">
        <f>1/0.1+1</f>
        <v>11</v>
      </c>
      <c r="G4" s="48">
        <v>982.66600000000005</v>
      </c>
      <c r="H4" s="15" t="s">
        <v>182</v>
      </c>
      <c r="I4" s="15" t="s">
        <v>185</v>
      </c>
      <c r="J4" s="15" t="s">
        <v>179</v>
      </c>
      <c r="K4" s="15" t="s">
        <v>180</v>
      </c>
      <c r="L4" s="15" t="s">
        <v>179</v>
      </c>
    </row>
    <row r="5" spans="1:14" s="41" customFormat="1">
      <c r="A5" s="51"/>
      <c r="B5" s="51"/>
      <c r="C5" s="35" t="s">
        <v>186</v>
      </c>
      <c r="D5" s="70" t="s">
        <v>176</v>
      </c>
      <c r="F5" s="70">
        <f>1/0.1+1</f>
        <v>11</v>
      </c>
      <c r="G5" s="71">
        <v>1086.02</v>
      </c>
      <c r="H5" s="72" t="s">
        <v>182</v>
      </c>
      <c r="I5" s="72" t="s">
        <v>187</v>
      </c>
      <c r="J5" s="72" t="s">
        <v>179</v>
      </c>
      <c r="K5" s="72" t="s">
        <v>180</v>
      </c>
      <c r="L5" s="72" t="s">
        <v>179</v>
      </c>
    </row>
    <row r="6" spans="1:14">
      <c r="A6" s="62" t="s">
        <v>9</v>
      </c>
      <c r="B6" s="73" t="s">
        <v>188</v>
      </c>
      <c r="C6" s="13" t="s">
        <v>189</v>
      </c>
      <c r="D6" s="67" t="s">
        <v>176</v>
      </c>
      <c r="E6" s="40"/>
      <c r="F6" s="67"/>
      <c r="G6" s="68">
        <v>600</v>
      </c>
      <c r="H6" s="69" t="s">
        <v>177</v>
      </c>
      <c r="I6" s="69" t="s">
        <v>178</v>
      </c>
      <c r="J6" s="69" t="s">
        <v>179</v>
      </c>
      <c r="K6" s="69" t="s">
        <v>180</v>
      </c>
      <c r="L6" s="69" t="s">
        <v>179</v>
      </c>
      <c r="M6" s="40"/>
      <c r="N6" s="16"/>
    </row>
    <row r="7" spans="1:14">
      <c r="A7" s="39"/>
      <c r="B7" s="51"/>
      <c r="C7" s="35" t="s">
        <v>190</v>
      </c>
      <c r="D7" s="70" t="s">
        <v>191</v>
      </c>
      <c r="E7" s="41"/>
      <c r="F7" s="70"/>
      <c r="G7" s="71">
        <v>15</v>
      </c>
      <c r="H7" s="72"/>
      <c r="I7" s="72"/>
      <c r="J7" s="72"/>
      <c r="K7" s="72"/>
      <c r="L7" s="72"/>
      <c r="M7" s="41"/>
      <c r="N7" s="33"/>
    </row>
    <row r="8" spans="1:14">
      <c r="A8" s="52"/>
      <c r="B8" s="50" t="s">
        <v>10</v>
      </c>
      <c r="C8" s="16" t="s">
        <v>192</v>
      </c>
      <c r="D8" s="40" t="s">
        <v>193</v>
      </c>
      <c r="E8" s="40"/>
      <c r="F8" s="40">
        <v>1</v>
      </c>
      <c r="G8" s="68">
        <v>41.522300000000001</v>
      </c>
      <c r="H8" s="69"/>
      <c r="I8" s="69" t="s">
        <v>185</v>
      </c>
      <c r="J8" s="69" t="s">
        <v>180</v>
      </c>
      <c r="K8" s="69"/>
      <c r="L8" s="69"/>
      <c r="M8" s="40"/>
      <c r="N8" s="16"/>
    </row>
    <row r="9" spans="1:14">
      <c r="A9" s="52"/>
      <c r="B9" s="52"/>
      <c r="C9" s="32" t="s">
        <v>194</v>
      </c>
      <c r="D9" t="s">
        <v>193</v>
      </c>
      <c r="F9">
        <v>1</v>
      </c>
      <c r="G9" s="48">
        <v>41.316299999999998</v>
      </c>
      <c r="K9" s="15" t="s">
        <v>185</v>
      </c>
      <c r="L9" s="15" t="s">
        <v>180</v>
      </c>
      <c r="N9" s="32"/>
    </row>
    <row r="10" spans="1:14">
      <c r="A10" s="52"/>
      <c r="B10" s="52"/>
      <c r="C10" s="32" t="s">
        <v>195</v>
      </c>
      <c r="D10" t="s">
        <v>193</v>
      </c>
      <c r="F10">
        <v>1</v>
      </c>
      <c r="G10" s="48">
        <v>54.264800000000001</v>
      </c>
      <c r="H10" s="15" t="s">
        <v>187</v>
      </c>
      <c r="K10" s="15" t="s">
        <v>180</v>
      </c>
      <c r="N10" s="32"/>
    </row>
    <row r="11" spans="1:14">
      <c r="A11" s="52"/>
      <c r="B11" s="52"/>
      <c r="C11" s="32" t="s">
        <v>196</v>
      </c>
      <c r="D11" t="s">
        <v>193</v>
      </c>
      <c r="F11">
        <v>1</v>
      </c>
      <c r="G11" s="48">
        <v>55.015099999999997</v>
      </c>
      <c r="H11" s="15" t="s">
        <v>187</v>
      </c>
      <c r="I11" s="15" t="s">
        <v>180</v>
      </c>
      <c r="N11" s="32"/>
    </row>
    <row r="12" spans="1:14">
      <c r="A12" s="52"/>
      <c r="B12" s="52"/>
      <c r="C12" s="32" t="s">
        <v>197</v>
      </c>
      <c r="D12" t="s">
        <v>193</v>
      </c>
      <c r="F12">
        <v>1</v>
      </c>
      <c r="G12" s="48">
        <v>57.929400000000001</v>
      </c>
      <c r="H12" s="15" t="s">
        <v>180</v>
      </c>
      <c r="I12" s="15" t="s">
        <v>187</v>
      </c>
      <c r="K12" s="15" t="s">
        <v>180</v>
      </c>
      <c r="N12" s="32"/>
    </row>
    <row r="13" spans="1:14">
      <c r="A13" s="52"/>
      <c r="B13" s="52"/>
      <c r="C13" s="32" t="s">
        <v>198</v>
      </c>
      <c r="D13" t="s">
        <v>193</v>
      </c>
      <c r="F13">
        <v>1</v>
      </c>
      <c r="G13" s="48">
        <v>50.990299999999998</v>
      </c>
      <c r="I13" s="15" t="s">
        <v>187</v>
      </c>
      <c r="K13" s="15" t="s">
        <v>180</v>
      </c>
      <c r="N13" s="32"/>
    </row>
    <row r="14" spans="1:14">
      <c r="A14" s="52"/>
      <c r="B14" s="51"/>
      <c r="C14" s="33" t="s">
        <v>199</v>
      </c>
      <c r="D14" s="41" t="s">
        <v>200</v>
      </c>
      <c r="E14" s="41"/>
      <c r="F14" s="41"/>
      <c r="G14" s="71"/>
      <c r="H14" s="72"/>
      <c r="I14" s="72"/>
      <c r="J14" s="72"/>
      <c r="K14" s="72"/>
      <c r="L14" s="72"/>
      <c r="M14" s="41"/>
      <c r="N14" s="33"/>
    </row>
    <row r="15" spans="1:14">
      <c r="A15" s="52"/>
      <c r="B15" s="50" t="s">
        <v>166</v>
      </c>
      <c r="C15" s="13" t="s">
        <v>201</v>
      </c>
      <c r="D15" s="67" t="s">
        <v>176</v>
      </c>
      <c r="E15" s="40"/>
      <c r="F15" s="67">
        <v>1</v>
      </c>
      <c r="G15" s="68">
        <v>103.48699999999999</v>
      </c>
      <c r="H15" s="69" t="s">
        <v>187</v>
      </c>
      <c r="I15" s="69" t="s">
        <v>180</v>
      </c>
      <c r="J15" s="69" t="s">
        <v>179</v>
      </c>
      <c r="K15" s="69" t="s">
        <v>180</v>
      </c>
      <c r="L15" s="69" t="s">
        <v>179</v>
      </c>
      <c r="M15" s="40"/>
      <c r="N15" s="16"/>
    </row>
    <row r="16" spans="1:14">
      <c r="A16" s="52"/>
      <c r="B16" s="52"/>
      <c r="C16" s="34" t="s">
        <v>202</v>
      </c>
      <c r="D16" s="1" t="s">
        <v>203</v>
      </c>
      <c r="F16" s="1"/>
      <c r="H16" s="15" t="s">
        <v>187</v>
      </c>
      <c r="I16" s="15" t="s">
        <v>180</v>
      </c>
      <c r="K16" s="15" t="s">
        <v>180</v>
      </c>
      <c r="N16" s="32"/>
    </row>
    <row r="17" spans="1:14">
      <c r="A17" s="52"/>
      <c r="B17" s="52"/>
      <c r="C17" s="34" t="s">
        <v>204</v>
      </c>
      <c r="D17" s="1" t="s">
        <v>176</v>
      </c>
      <c r="F17" s="1">
        <v>1</v>
      </c>
      <c r="G17" s="48">
        <v>92.689899999999994</v>
      </c>
      <c r="H17" s="15" t="s">
        <v>187</v>
      </c>
      <c r="I17" s="15" t="s">
        <v>205</v>
      </c>
      <c r="J17" s="15" t="s">
        <v>179</v>
      </c>
      <c r="K17" s="15" t="s">
        <v>180</v>
      </c>
      <c r="L17" s="15" t="s">
        <v>179</v>
      </c>
      <c r="N17" s="32"/>
    </row>
    <row r="18" spans="1:14">
      <c r="A18" s="52"/>
      <c r="B18" s="52"/>
      <c r="C18" s="34" t="s">
        <v>206</v>
      </c>
      <c r="D18" s="1" t="s">
        <v>203</v>
      </c>
      <c r="F18" s="1"/>
      <c r="H18" s="15" t="s">
        <v>187</v>
      </c>
      <c r="I18" s="15" t="s">
        <v>205</v>
      </c>
      <c r="K18" s="15" t="s">
        <v>180</v>
      </c>
      <c r="N18" s="32"/>
    </row>
    <row r="19" spans="1:14">
      <c r="A19" s="52"/>
      <c r="B19" s="52"/>
      <c r="C19" s="34" t="s">
        <v>207</v>
      </c>
      <c r="D19" s="1" t="s">
        <v>176</v>
      </c>
      <c r="F19" s="1">
        <v>1</v>
      </c>
      <c r="G19" s="48">
        <v>98.132099999999994</v>
      </c>
      <c r="H19" s="15" t="s">
        <v>187</v>
      </c>
      <c r="I19" s="15" t="s">
        <v>183</v>
      </c>
      <c r="J19" s="15" t="s">
        <v>179</v>
      </c>
      <c r="K19" s="15" t="s">
        <v>180</v>
      </c>
      <c r="L19" s="15" t="s">
        <v>179</v>
      </c>
      <c r="N19" s="32"/>
    </row>
    <row r="20" spans="1:14">
      <c r="A20" s="52"/>
      <c r="B20" s="52"/>
      <c r="C20" s="34" t="s">
        <v>208</v>
      </c>
      <c r="D20" s="1" t="s">
        <v>203</v>
      </c>
      <c r="F20" s="1"/>
      <c r="H20" s="15" t="s">
        <v>187</v>
      </c>
      <c r="I20" s="15" t="s">
        <v>183</v>
      </c>
      <c r="K20" s="15" t="s">
        <v>180</v>
      </c>
      <c r="N20" s="32"/>
    </row>
    <row r="21" spans="1:14">
      <c r="A21" s="52"/>
      <c r="B21" s="52"/>
      <c r="C21" s="34" t="s">
        <v>209</v>
      </c>
      <c r="D21" s="1" t="s">
        <v>176</v>
      </c>
      <c r="F21" s="1">
        <v>1</v>
      </c>
      <c r="G21" s="48">
        <v>100.773</v>
      </c>
      <c r="H21" s="15" t="s">
        <v>187</v>
      </c>
      <c r="I21" s="15" t="s">
        <v>210</v>
      </c>
      <c r="J21" s="15" t="s">
        <v>179</v>
      </c>
      <c r="K21" s="15" t="s">
        <v>180</v>
      </c>
      <c r="L21" s="15" t="s">
        <v>179</v>
      </c>
      <c r="N21" s="32"/>
    </row>
    <row r="22" spans="1:14">
      <c r="A22" s="52"/>
      <c r="B22" s="52"/>
      <c r="C22" s="34" t="s">
        <v>211</v>
      </c>
      <c r="D22" s="1" t="s">
        <v>203</v>
      </c>
      <c r="F22" s="1"/>
      <c r="H22" s="15" t="s">
        <v>187</v>
      </c>
      <c r="I22" s="15" t="s">
        <v>210</v>
      </c>
      <c r="K22" s="15" t="s">
        <v>180</v>
      </c>
      <c r="N22" s="32"/>
    </row>
    <row r="23" spans="1:14">
      <c r="A23" s="52"/>
      <c r="B23" s="52"/>
      <c r="C23" s="34" t="s">
        <v>212</v>
      </c>
      <c r="D23" s="1" t="s">
        <v>176</v>
      </c>
      <c r="F23" s="1">
        <v>1</v>
      </c>
      <c r="G23" s="48">
        <v>75.372</v>
      </c>
      <c r="H23" s="15" t="s">
        <v>187</v>
      </c>
      <c r="I23" s="15" t="s">
        <v>178</v>
      </c>
      <c r="J23" s="15" t="s">
        <v>179</v>
      </c>
      <c r="K23" s="15" t="s">
        <v>180</v>
      </c>
      <c r="L23" s="15" t="s">
        <v>179</v>
      </c>
      <c r="N23" s="32"/>
    </row>
    <row r="24" spans="1:14">
      <c r="A24" s="52"/>
      <c r="B24" s="52"/>
      <c r="C24" s="34" t="s">
        <v>213</v>
      </c>
      <c r="D24" s="1" t="s">
        <v>203</v>
      </c>
      <c r="F24" s="1"/>
      <c r="H24" s="15" t="s">
        <v>187</v>
      </c>
      <c r="I24" s="15" t="s">
        <v>178</v>
      </c>
      <c r="K24" s="15" t="s">
        <v>180</v>
      </c>
      <c r="N24" s="32"/>
    </row>
    <row r="25" spans="1:14">
      <c r="A25" s="52"/>
      <c r="B25" s="52"/>
      <c r="C25" s="34" t="s">
        <v>214</v>
      </c>
      <c r="D25" s="1" t="s">
        <v>176</v>
      </c>
      <c r="F25" s="1">
        <v>1</v>
      </c>
      <c r="G25" s="48">
        <v>85.988699999999994</v>
      </c>
      <c r="H25" s="15" t="s">
        <v>187</v>
      </c>
      <c r="I25" s="15" t="s">
        <v>180</v>
      </c>
      <c r="J25" s="15" t="s">
        <v>179</v>
      </c>
      <c r="K25" s="15" t="s">
        <v>180</v>
      </c>
      <c r="L25" s="15" t="s">
        <v>179</v>
      </c>
      <c r="N25" s="32"/>
    </row>
    <row r="26" spans="1:14">
      <c r="A26" s="52"/>
      <c r="B26" s="52"/>
      <c r="C26" s="34" t="s">
        <v>215</v>
      </c>
      <c r="D26" s="1" t="s">
        <v>203</v>
      </c>
      <c r="F26" s="1"/>
      <c r="H26" s="15" t="s">
        <v>187</v>
      </c>
      <c r="I26" s="15" t="s">
        <v>180</v>
      </c>
      <c r="K26" s="15" t="s">
        <v>180</v>
      </c>
      <c r="N26" s="32"/>
    </row>
    <row r="27" spans="1:14">
      <c r="A27" s="52"/>
      <c r="B27" s="52"/>
      <c r="C27" s="34" t="s">
        <v>216</v>
      </c>
      <c r="D27" s="1" t="s">
        <v>176</v>
      </c>
      <c r="F27" s="1">
        <v>1</v>
      </c>
      <c r="G27" s="48">
        <v>4728.33</v>
      </c>
      <c r="H27" s="15" t="s">
        <v>217</v>
      </c>
      <c r="I27" s="15" t="s">
        <v>178</v>
      </c>
      <c r="J27" s="15" t="s">
        <v>179</v>
      </c>
      <c r="K27" s="15" t="s">
        <v>180</v>
      </c>
      <c r="L27" s="15" t="s">
        <v>179</v>
      </c>
      <c r="N27" s="32"/>
    </row>
    <row r="28" spans="1:14">
      <c r="A28" s="52"/>
      <c r="B28" s="52"/>
      <c r="C28" s="34" t="s">
        <v>218</v>
      </c>
      <c r="D28" s="1" t="s">
        <v>219</v>
      </c>
      <c r="F28" s="1"/>
      <c r="K28" s="15" t="s">
        <v>180</v>
      </c>
      <c r="N28" s="32"/>
    </row>
    <row r="29" spans="1:14">
      <c r="A29" s="52"/>
      <c r="B29" s="52"/>
      <c r="C29" s="34" t="s">
        <v>220</v>
      </c>
      <c r="D29" s="1"/>
      <c r="F29" s="1"/>
      <c r="N29" s="32"/>
    </row>
    <row r="30" spans="1:14">
      <c r="A30" s="52"/>
      <c r="B30" s="52"/>
      <c r="C30" s="34" t="s">
        <v>221</v>
      </c>
      <c r="D30" s="1" t="s">
        <v>203</v>
      </c>
      <c r="F30" s="1"/>
      <c r="H30" s="15" t="s">
        <v>220</v>
      </c>
      <c r="I30" s="15" t="s">
        <v>178</v>
      </c>
      <c r="K30" s="15" t="s">
        <v>180</v>
      </c>
      <c r="N30" s="32"/>
    </row>
    <row r="31" spans="1:14">
      <c r="A31" s="52"/>
      <c r="B31" s="52"/>
      <c r="C31" s="34" t="s">
        <v>222</v>
      </c>
      <c r="D31" s="1" t="s">
        <v>203</v>
      </c>
      <c r="F31" s="1"/>
      <c r="H31" s="15" t="s">
        <v>220</v>
      </c>
      <c r="I31" s="15" t="s">
        <v>178</v>
      </c>
      <c r="K31" s="15" t="s">
        <v>180</v>
      </c>
      <c r="N31" s="32"/>
    </row>
    <row r="32" spans="1:14">
      <c r="A32" s="52"/>
      <c r="B32" s="51"/>
      <c r="C32" s="35" t="s">
        <v>223</v>
      </c>
      <c r="D32" s="70" t="s">
        <v>200</v>
      </c>
      <c r="E32" s="41"/>
      <c r="F32" s="70"/>
      <c r="G32" s="71"/>
      <c r="H32" s="72"/>
      <c r="I32" s="72"/>
      <c r="J32" s="72"/>
      <c r="K32" s="72"/>
      <c r="L32" s="72"/>
      <c r="M32" s="41"/>
      <c r="N32" s="33"/>
    </row>
    <row r="33" spans="1:19">
      <c r="A33" s="52"/>
      <c r="B33" s="50" t="s">
        <v>167</v>
      </c>
      <c r="C33" s="13" t="s">
        <v>224</v>
      </c>
      <c r="D33" s="40" t="s">
        <v>176</v>
      </c>
      <c r="E33" s="40"/>
      <c r="F33" s="67">
        <v>1</v>
      </c>
      <c r="G33" s="68">
        <v>75.7684</v>
      </c>
      <c r="H33" s="74" t="s">
        <v>225</v>
      </c>
      <c r="I33" s="40" t="s">
        <v>178</v>
      </c>
      <c r="J33" s="69" t="s">
        <v>179</v>
      </c>
      <c r="K33" s="69" t="s">
        <v>180</v>
      </c>
      <c r="L33" s="69" t="s">
        <v>179</v>
      </c>
      <c r="M33" s="40"/>
      <c r="N33" s="16"/>
    </row>
    <row r="34" spans="1:19">
      <c r="A34" s="52"/>
      <c r="B34" s="52"/>
      <c r="C34" s="34" t="s">
        <v>226</v>
      </c>
      <c r="D34" t="s">
        <v>203</v>
      </c>
      <c r="F34"/>
      <c r="H34" s="3" t="s">
        <v>225</v>
      </c>
      <c r="I34" t="s">
        <v>178</v>
      </c>
      <c r="K34" s="15" t="s">
        <v>180</v>
      </c>
      <c r="N34" s="32"/>
      <c r="P34" t="s">
        <v>227</v>
      </c>
      <c r="Q34" t="s">
        <v>228</v>
      </c>
      <c r="R34" t="s">
        <v>229</v>
      </c>
    </row>
    <row r="35" spans="1:19">
      <c r="A35" s="52"/>
      <c r="B35" s="52"/>
      <c r="C35" s="34" t="s">
        <v>230</v>
      </c>
      <c r="D35" t="s">
        <v>176</v>
      </c>
      <c r="F35" s="1">
        <v>1</v>
      </c>
      <c r="G35" s="48">
        <v>4208.09</v>
      </c>
      <c r="H35" s="3" t="s">
        <v>217</v>
      </c>
      <c r="I35" t="s">
        <v>185</v>
      </c>
      <c r="J35" s="15" t="s">
        <v>179</v>
      </c>
      <c r="K35" s="15" t="s">
        <v>180</v>
      </c>
      <c r="L35" s="15" t="s">
        <v>179</v>
      </c>
      <c r="N35" s="32"/>
      <c r="O35">
        <f>G35*3</f>
        <v>12624.27</v>
      </c>
      <c r="P35">
        <f>G35/5</f>
        <v>841.61800000000005</v>
      </c>
      <c r="Q35">
        <f>P35</f>
        <v>841.61800000000005</v>
      </c>
      <c r="R35">
        <f>Q35</f>
        <v>841.61800000000005</v>
      </c>
    </row>
    <row r="36" spans="1:19">
      <c r="A36" s="52"/>
      <c r="B36" s="52"/>
      <c r="C36" s="34" t="s">
        <v>231</v>
      </c>
      <c r="D36" t="s">
        <v>219</v>
      </c>
      <c r="F36"/>
      <c r="H36" s="3" t="s">
        <v>217</v>
      </c>
      <c r="I36" t="s">
        <v>185</v>
      </c>
      <c r="K36" s="15" t="s">
        <v>180</v>
      </c>
      <c r="N36" s="32"/>
      <c r="O36" t="s">
        <v>232</v>
      </c>
      <c r="P36">
        <v>300</v>
      </c>
      <c r="Q36">
        <v>300</v>
      </c>
      <c r="R36">
        <v>300</v>
      </c>
    </row>
    <row r="37" spans="1:19">
      <c r="A37" s="52"/>
      <c r="B37" s="52"/>
      <c r="C37" s="34" t="s">
        <v>233</v>
      </c>
      <c r="D37"/>
      <c r="F37"/>
      <c r="H37" s="3"/>
      <c r="I37"/>
      <c r="N37" s="32"/>
      <c r="O37" t="s">
        <v>234</v>
      </c>
      <c r="P37">
        <v>600</v>
      </c>
    </row>
    <row r="38" spans="1:19">
      <c r="A38" s="52"/>
      <c r="B38" s="52"/>
      <c r="C38" s="34" t="s">
        <v>235</v>
      </c>
      <c r="D38" t="s">
        <v>203</v>
      </c>
      <c r="F38"/>
      <c r="H38" s="3" t="s">
        <v>233</v>
      </c>
      <c r="I38" t="s">
        <v>185</v>
      </c>
      <c r="K38" s="15" t="s">
        <v>180</v>
      </c>
      <c r="N38" s="32"/>
      <c r="O38" t="s">
        <v>236</v>
      </c>
      <c r="Q38">
        <v>600</v>
      </c>
      <c r="R38">
        <v>600</v>
      </c>
    </row>
    <row r="39" spans="1:19">
      <c r="A39" s="52"/>
      <c r="B39" s="51"/>
      <c r="C39" s="34" t="s">
        <v>237</v>
      </c>
      <c r="D39" t="s">
        <v>200</v>
      </c>
      <c r="F39"/>
      <c r="H39" s="3"/>
      <c r="I39"/>
      <c r="N39" s="32"/>
      <c r="O39" t="s">
        <v>238</v>
      </c>
      <c r="Q39">
        <v>600</v>
      </c>
      <c r="R39">
        <v>600</v>
      </c>
    </row>
    <row r="40" spans="1:19">
      <c r="A40" s="52"/>
      <c r="B40" s="39" t="s">
        <v>13</v>
      </c>
      <c r="C40" s="75" t="s">
        <v>239</v>
      </c>
      <c r="D40" s="40" t="s">
        <v>193</v>
      </c>
      <c r="E40" s="40"/>
      <c r="F40" s="40">
        <v>1</v>
      </c>
      <c r="G40" s="68">
        <v>200.27799999999999</v>
      </c>
      <c r="H40" s="74" t="s">
        <v>180</v>
      </c>
      <c r="I40" s="40" t="s">
        <v>185</v>
      </c>
      <c r="J40" s="69"/>
      <c r="K40" s="69"/>
      <c r="L40" s="69"/>
      <c r="M40" s="40"/>
      <c r="N40" s="16"/>
      <c r="O40" t="s">
        <v>240</v>
      </c>
      <c r="Q40">
        <v>600</v>
      </c>
      <c r="R40">
        <v>600</v>
      </c>
    </row>
    <row r="41" spans="1:19">
      <c r="A41" s="52"/>
      <c r="B41" s="39"/>
      <c r="C41" s="76" t="s">
        <v>241</v>
      </c>
      <c r="D41"/>
      <c r="F41"/>
      <c r="H41" s="3"/>
      <c r="I41"/>
      <c r="N41" s="32"/>
    </row>
    <row r="42" spans="1:19">
      <c r="A42" s="52"/>
      <c r="B42" s="39"/>
      <c r="C42" s="76" t="s">
        <v>242</v>
      </c>
      <c r="D42"/>
      <c r="F42"/>
      <c r="H42" s="3"/>
      <c r="I42"/>
      <c r="N42" s="32"/>
      <c r="S42">
        <f>SUM(P35:R40)</f>
        <v>7624.8540000000003</v>
      </c>
    </row>
    <row r="43" spans="1:19">
      <c r="A43" s="52"/>
      <c r="B43" s="39"/>
      <c r="C43" s="76" t="s">
        <v>243</v>
      </c>
      <c r="D43" t="s">
        <v>193</v>
      </c>
      <c r="F43" s="1">
        <v>1</v>
      </c>
      <c r="G43" s="48">
        <v>53.270200000000003</v>
      </c>
      <c r="H43" s="3" t="s">
        <v>244</v>
      </c>
      <c r="I43" t="s">
        <v>185</v>
      </c>
      <c r="N43" s="32"/>
    </row>
    <row r="44" spans="1:19">
      <c r="A44" s="52"/>
      <c r="B44" s="39"/>
      <c r="C44" s="76" t="s">
        <v>245</v>
      </c>
      <c r="D44" t="s">
        <v>193</v>
      </c>
      <c r="F44" s="1">
        <v>1</v>
      </c>
      <c r="G44" s="48">
        <v>50.950600000000001</v>
      </c>
      <c r="H44" s="3" t="s">
        <v>246</v>
      </c>
      <c r="I44" t="s">
        <v>185</v>
      </c>
      <c r="N44" s="32"/>
    </row>
    <row r="45" spans="1:19">
      <c r="A45" s="52"/>
      <c r="B45" s="39"/>
      <c r="C45" s="76" t="s">
        <v>247</v>
      </c>
      <c r="D45" t="s">
        <v>193</v>
      </c>
      <c r="F45" s="1">
        <v>1</v>
      </c>
      <c r="G45" s="48">
        <v>95.314700000000002</v>
      </c>
      <c r="H45" s="45" t="s">
        <v>248</v>
      </c>
      <c r="I45" t="s">
        <v>185</v>
      </c>
      <c r="N45" s="32"/>
    </row>
    <row r="46" spans="1:19">
      <c r="A46" s="52"/>
      <c r="B46" s="39"/>
      <c r="C46" s="76" t="s">
        <v>249</v>
      </c>
      <c r="D46" t="s">
        <v>193</v>
      </c>
      <c r="F46" s="1">
        <v>1</v>
      </c>
      <c r="G46" s="48">
        <v>92.903999999999996</v>
      </c>
      <c r="H46" s="3" t="s">
        <v>185</v>
      </c>
      <c r="I46" t="s">
        <v>180</v>
      </c>
      <c r="N46" s="32"/>
    </row>
    <row r="47" spans="1:19">
      <c r="A47" s="52"/>
      <c r="B47" s="39"/>
      <c r="C47" s="76" t="s">
        <v>250</v>
      </c>
      <c r="D47" t="s">
        <v>176</v>
      </c>
      <c r="F47" s="1">
        <v>4</v>
      </c>
      <c r="G47" s="48">
        <v>165.78899999999999</v>
      </c>
      <c r="H47" s="3" t="s">
        <v>251</v>
      </c>
      <c r="I47" t="s">
        <v>178</v>
      </c>
      <c r="J47" s="15" t="s">
        <v>179</v>
      </c>
      <c r="K47" s="15" t="s">
        <v>180</v>
      </c>
      <c r="L47" s="15" t="s">
        <v>179</v>
      </c>
      <c r="N47" s="32"/>
    </row>
    <row r="48" spans="1:19">
      <c r="A48" s="52"/>
      <c r="B48" s="39"/>
      <c r="C48" s="76" t="s">
        <v>252</v>
      </c>
      <c r="D48" t="s">
        <v>203</v>
      </c>
      <c r="F48"/>
      <c r="H48" s="3" t="s">
        <v>185</v>
      </c>
      <c r="I48" t="s">
        <v>178</v>
      </c>
      <c r="N48" s="32"/>
    </row>
    <row r="49" spans="1:14">
      <c r="A49" s="52"/>
      <c r="B49" s="39"/>
      <c r="C49" s="76" t="s">
        <v>253</v>
      </c>
      <c r="D49" t="s">
        <v>203</v>
      </c>
      <c r="F49"/>
      <c r="H49" s="3" t="s">
        <v>254</v>
      </c>
      <c r="I49" t="s">
        <v>178</v>
      </c>
      <c r="N49" s="32"/>
    </row>
    <row r="50" spans="1:14">
      <c r="A50" s="52"/>
      <c r="B50" s="39"/>
      <c r="C50" s="76" t="s">
        <v>255</v>
      </c>
      <c r="D50" t="s">
        <v>203</v>
      </c>
      <c r="F50"/>
      <c r="H50" s="3" t="s">
        <v>256</v>
      </c>
      <c r="I50" t="s">
        <v>178</v>
      </c>
      <c r="N50" s="32"/>
    </row>
    <row r="51" spans="1:14">
      <c r="A51" s="52"/>
      <c r="B51" s="39"/>
      <c r="C51" s="76" t="s">
        <v>257</v>
      </c>
      <c r="D51" t="s">
        <v>203</v>
      </c>
      <c r="F51"/>
      <c r="H51" s="3" t="s">
        <v>258</v>
      </c>
      <c r="I51" t="s">
        <v>178</v>
      </c>
      <c r="N51" s="32"/>
    </row>
    <row r="52" spans="1:14">
      <c r="A52" s="52"/>
      <c r="B52" s="39"/>
      <c r="C52" s="76" t="s">
        <v>259</v>
      </c>
      <c r="D52" t="s">
        <v>176</v>
      </c>
      <c r="F52" s="1">
        <v>4</v>
      </c>
      <c r="G52" s="48">
        <v>169.65799999999999</v>
      </c>
      <c r="H52" s="3" t="s">
        <v>251</v>
      </c>
      <c r="I52" t="s">
        <v>185</v>
      </c>
      <c r="J52" s="15" t="s">
        <v>179</v>
      </c>
      <c r="K52" s="15" t="s">
        <v>180</v>
      </c>
      <c r="L52" s="15" t="s">
        <v>179</v>
      </c>
      <c r="N52" s="32"/>
    </row>
    <row r="53" spans="1:14">
      <c r="A53" s="52"/>
      <c r="B53" s="39"/>
      <c r="C53" s="76" t="s">
        <v>260</v>
      </c>
      <c r="D53" t="s">
        <v>203</v>
      </c>
      <c r="F53"/>
      <c r="H53" s="3" t="s">
        <v>185</v>
      </c>
      <c r="I53" t="s">
        <v>185</v>
      </c>
      <c r="N53" s="32"/>
    </row>
    <row r="54" spans="1:14">
      <c r="A54" s="52"/>
      <c r="B54" s="39"/>
      <c r="C54" s="76" t="s">
        <v>261</v>
      </c>
      <c r="D54" t="s">
        <v>203</v>
      </c>
      <c r="F54"/>
      <c r="H54" s="3" t="s">
        <v>254</v>
      </c>
      <c r="I54" t="s">
        <v>185</v>
      </c>
      <c r="N54" s="32"/>
    </row>
    <row r="55" spans="1:14">
      <c r="A55" s="52"/>
      <c r="B55" s="39"/>
      <c r="C55" s="76" t="s">
        <v>262</v>
      </c>
      <c r="D55" t="s">
        <v>203</v>
      </c>
      <c r="F55"/>
      <c r="H55" s="3" t="s">
        <v>256</v>
      </c>
      <c r="I55" t="s">
        <v>185</v>
      </c>
      <c r="N55" s="32"/>
    </row>
    <row r="56" spans="1:14">
      <c r="A56" s="52"/>
      <c r="B56" s="39"/>
      <c r="C56" s="76" t="s">
        <v>263</v>
      </c>
      <c r="D56" t="s">
        <v>203</v>
      </c>
      <c r="F56"/>
      <c r="H56" s="3" t="s">
        <v>258</v>
      </c>
      <c r="I56" t="s">
        <v>185</v>
      </c>
      <c r="N56" s="32"/>
    </row>
    <row r="57" spans="1:14">
      <c r="A57" s="52"/>
      <c r="B57" s="39"/>
      <c r="C57" s="76" t="s">
        <v>264</v>
      </c>
      <c r="D57" t="s">
        <v>176</v>
      </c>
      <c r="F57" s="1">
        <v>4</v>
      </c>
      <c r="G57" s="48">
        <v>170.47900000000001</v>
      </c>
      <c r="H57" s="3" t="s">
        <v>265</v>
      </c>
      <c r="I57" t="s">
        <v>185</v>
      </c>
      <c r="J57" s="15" t="s">
        <v>179</v>
      </c>
      <c r="K57" s="15" t="s">
        <v>180</v>
      </c>
      <c r="L57" s="15" t="s">
        <v>179</v>
      </c>
      <c r="N57" s="32"/>
    </row>
    <row r="58" spans="1:14">
      <c r="A58" s="52"/>
      <c r="B58" s="39"/>
      <c r="C58" s="76" t="s">
        <v>266</v>
      </c>
      <c r="D58" t="s">
        <v>203</v>
      </c>
      <c r="F58"/>
      <c r="H58" s="3" t="s">
        <v>267</v>
      </c>
      <c r="I58" t="s">
        <v>185</v>
      </c>
      <c r="N58" s="32"/>
    </row>
    <row r="59" spans="1:14">
      <c r="A59" s="52"/>
      <c r="B59" s="39"/>
      <c r="C59" s="76" t="s">
        <v>268</v>
      </c>
      <c r="D59" t="s">
        <v>203</v>
      </c>
      <c r="F59"/>
      <c r="H59" s="3" t="s">
        <v>269</v>
      </c>
      <c r="I59" t="s">
        <v>185</v>
      </c>
      <c r="N59" s="32"/>
    </row>
    <row r="60" spans="1:14">
      <c r="A60" s="52"/>
      <c r="B60" s="39"/>
      <c r="C60" s="76" t="s">
        <v>270</v>
      </c>
      <c r="D60" t="s">
        <v>203</v>
      </c>
      <c r="F60"/>
      <c r="H60" s="3" t="s">
        <v>271</v>
      </c>
      <c r="I60" t="s">
        <v>185</v>
      </c>
      <c r="N60" s="32"/>
    </row>
    <row r="61" spans="1:14">
      <c r="A61" s="52"/>
      <c r="B61" s="39"/>
      <c r="C61" s="76" t="s">
        <v>272</v>
      </c>
      <c r="D61" t="s">
        <v>203</v>
      </c>
      <c r="F61"/>
      <c r="H61" s="3" t="s">
        <v>183</v>
      </c>
      <c r="I61" t="s">
        <v>185</v>
      </c>
      <c r="N61" s="32"/>
    </row>
    <row r="62" spans="1:14">
      <c r="A62" s="52"/>
      <c r="B62" s="39"/>
      <c r="C62" s="76" t="s">
        <v>273</v>
      </c>
      <c r="D62" t="s">
        <v>176</v>
      </c>
      <c r="F62" s="1">
        <v>4</v>
      </c>
      <c r="G62" s="48">
        <v>171.91</v>
      </c>
      <c r="H62" s="3" t="s">
        <v>251</v>
      </c>
      <c r="I62" t="s">
        <v>267</v>
      </c>
      <c r="J62" s="15" t="s">
        <v>179</v>
      </c>
      <c r="K62" s="15" t="s">
        <v>180</v>
      </c>
      <c r="L62" s="15" t="s">
        <v>179</v>
      </c>
      <c r="N62" s="32"/>
    </row>
    <row r="63" spans="1:14">
      <c r="A63" s="52"/>
      <c r="B63" s="39"/>
      <c r="C63" s="76" t="s">
        <v>274</v>
      </c>
      <c r="D63" t="s">
        <v>203</v>
      </c>
      <c r="F63"/>
      <c r="H63" s="3" t="s">
        <v>185</v>
      </c>
      <c r="I63" t="s">
        <v>267</v>
      </c>
      <c r="N63" s="32"/>
    </row>
    <row r="64" spans="1:14">
      <c r="A64" s="52"/>
      <c r="B64" s="39"/>
      <c r="C64" s="76" t="s">
        <v>275</v>
      </c>
      <c r="D64" t="s">
        <v>203</v>
      </c>
      <c r="F64"/>
      <c r="H64" s="3" t="s">
        <v>254</v>
      </c>
      <c r="I64" t="s">
        <v>267</v>
      </c>
      <c r="N64" s="32"/>
    </row>
    <row r="65" spans="1:14">
      <c r="A65" s="52"/>
      <c r="B65" s="39"/>
      <c r="C65" s="76" t="s">
        <v>276</v>
      </c>
      <c r="D65" t="s">
        <v>203</v>
      </c>
      <c r="F65"/>
      <c r="H65" s="3" t="s">
        <v>256</v>
      </c>
      <c r="I65" t="s">
        <v>267</v>
      </c>
      <c r="N65" s="32"/>
    </row>
    <row r="66" spans="1:14">
      <c r="A66" s="52"/>
      <c r="B66" s="39"/>
      <c r="C66" s="76" t="s">
        <v>277</v>
      </c>
      <c r="D66" t="s">
        <v>203</v>
      </c>
      <c r="F66"/>
      <c r="H66" s="3" t="s">
        <v>258</v>
      </c>
      <c r="I66" t="s">
        <v>267</v>
      </c>
      <c r="N66" s="32"/>
    </row>
    <row r="67" spans="1:14">
      <c r="A67" s="52"/>
      <c r="B67" s="39"/>
      <c r="C67" s="76" t="s">
        <v>278</v>
      </c>
      <c r="D67" t="s">
        <v>279</v>
      </c>
      <c r="F67"/>
      <c r="H67" s="3"/>
      <c r="I67"/>
      <c r="N67" s="32"/>
    </row>
    <row r="68" spans="1:14">
      <c r="A68" s="52"/>
      <c r="B68" s="39"/>
      <c r="C68" s="76" t="s">
        <v>280</v>
      </c>
      <c r="D68" t="s">
        <v>279</v>
      </c>
      <c r="F68"/>
      <c r="H68" s="3"/>
      <c r="I68"/>
      <c r="N68" s="32"/>
    </row>
    <row r="69" spans="1:14">
      <c r="A69" s="52"/>
      <c r="B69" s="39"/>
      <c r="C69" s="76" t="s">
        <v>281</v>
      </c>
      <c r="D69" t="s">
        <v>279</v>
      </c>
      <c r="F69"/>
      <c r="H69" s="3"/>
      <c r="I69"/>
      <c r="N69" s="32"/>
    </row>
    <row r="70" spans="1:14">
      <c r="A70" s="52"/>
      <c r="B70" s="39"/>
      <c r="C70" s="76" t="s">
        <v>282</v>
      </c>
      <c r="D70" t="s">
        <v>279</v>
      </c>
      <c r="F70"/>
      <c r="H70" s="3"/>
      <c r="I70"/>
      <c r="N70" s="32"/>
    </row>
    <row r="71" spans="1:14">
      <c r="A71" s="52"/>
      <c r="B71" s="39"/>
      <c r="C71" s="76" t="s">
        <v>283</v>
      </c>
      <c r="D71" t="s">
        <v>176</v>
      </c>
      <c r="F71" s="1">
        <v>1</v>
      </c>
      <c r="G71" s="48">
        <v>68.386399999999995</v>
      </c>
      <c r="H71" s="3" t="s">
        <v>190</v>
      </c>
      <c r="I71" t="s">
        <v>178</v>
      </c>
      <c r="J71" s="15" t="s">
        <v>179</v>
      </c>
      <c r="K71" s="15" t="s">
        <v>180</v>
      </c>
      <c r="L71" s="15" t="s">
        <v>179</v>
      </c>
      <c r="N71" s="32"/>
    </row>
    <row r="72" spans="1:14">
      <c r="A72" s="52"/>
      <c r="B72" s="39"/>
      <c r="C72" s="76" t="s">
        <v>284</v>
      </c>
      <c r="D72" t="s">
        <v>203</v>
      </c>
      <c r="F72"/>
      <c r="H72" s="3" t="s">
        <v>190</v>
      </c>
      <c r="I72" t="s">
        <v>178</v>
      </c>
      <c r="N72" s="32"/>
    </row>
    <row r="73" spans="1:14">
      <c r="A73" s="52"/>
      <c r="B73" s="39"/>
      <c r="C73" s="76" t="s">
        <v>285</v>
      </c>
      <c r="D73" t="s">
        <v>286</v>
      </c>
      <c r="F73"/>
      <c r="H73" s="3" t="s">
        <v>287</v>
      </c>
      <c r="I73" t="s">
        <v>185</v>
      </c>
      <c r="N73" s="32"/>
    </row>
    <row r="74" spans="1:14">
      <c r="A74" s="52"/>
      <c r="B74" s="39"/>
      <c r="C74" s="76" t="s">
        <v>288</v>
      </c>
      <c r="D74" t="s">
        <v>286</v>
      </c>
      <c r="F74"/>
      <c r="H74" s="3" t="s">
        <v>289</v>
      </c>
      <c r="I74" t="s">
        <v>178</v>
      </c>
      <c r="N74" s="32"/>
    </row>
    <row r="75" spans="1:14">
      <c r="A75" s="52"/>
      <c r="B75" s="39"/>
      <c r="C75" s="76" t="s">
        <v>290</v>
      </c>
      <c r="D75" t="s">
        <v>286</v>
      </c>
      <c r="F75"/>
      <c r="H75" s="3" t="s">
        <v>289</v>
      </c>
      <c r="I75" t="s">
        <v>178</v>
      </c>
      <c r="N75" s="32"/>
    </row>
    <row r="76" spans="1:14">
      <c r="A76" s="52"/>
      <c r="B76" s="39"/>
      <c r="C76" s="76" t="s">
        <v>291</v>
      </c>
      <c r="D76" t="s">
        <v>203</v>
      </c>
      <c r="F76"/>
      <c r="H76" s="3" t="s">
        <v>288</v>
      </c>
      <c r="I76" t="s">
        <v>178</v>
      </c>
      <c r="N76" s="32"/>
    </row>
    <row r="77" spans="1:14">
      <c r="A77" s="52"/>
      <c r="B77" s="39"/>
      <c r="C77" s="76" t="s">
        <v>292</v>
      </c>
      <c r="D77" t="s">
        <v>193</v>
      </c>
      <c r="F77" s="1">
        <v>1</v>
      </c>
      <c r="G77" s="48">
        <v>96.375100000000003</v>
      </c>
      <c r="H77" s="3" t="s">
        <v>288</v>
      </c>
      <c r="I77" t="s">
        <v>178</v>
      </c>
      <c r="N77" s="32"/>
    </row>
    <row r="78" spans="1:14" s="15" customFormat="1">
      <c r="A78" s="52"/>
      <c r="B78" s="39"/>
      <c r="C78" s="76" t="s">
        <v>293</v>
      </c>
      <c r="D78" t="s">
        <v>203</v>
      </c>
      <c r="E78"/>
      <c r="F78"/>
      <c r="G78" s="48"/>
      <c r="H78" s="3" t="s">
        <v>294</v>
      </c>
      <c r="I78" t="s">
        <v>178</v>
      </c>
      <c r="M78"/>
      <c r="N78" s="32"/>
    </row>
    <row r="79" spans="1:14" s="15" customFormat="1">
      <c r="A79" s="52"/>
      <c r="B79" s="39"/>
      <c r="C79" s="76" t="s">
        <v>295</v>
      </c>
      <c r="D79" t="s">
        <v>203</v>
      </c>
      <c r="E79"/>
      <c r="F79"/>
      <c r="G79" s="48"/>
      <c r="H79" s="3" t="s">
        <v>296</v>
      </c>
      <c r="I79" t="s">
        <v>178</v>
      </c>
      <c r="M79"/>
      <c r="N79" s="32"/>
    </row>
    <row r="80" spans="1:14" s="15" customFormat="1">
      <c r="A80" s="52"/>
      <c r="B80" s="39"/>
      <c r="C80" s="76" t="s">
        <v>297</v>
      </c>
      <c r="D80" t="s">
        <v>203</v>
      </c>
      <c r="E80"/>
      <c r="F80"/>
      <c r="G80" s="48"/>
      <c r="H80" s="3" t="s">
        <v>298</v>
      </c>
      <c r="I80" t="s">
        <v>178</v>
      </c>
      <c r="M80"/>
      <c r="N80" s="32"/>
    </row>
    <row r="81" spans="1:17" s="15" customFormat="1">
      <c r="A81" s="52"/>
      <c r="B81" s="39"/>
      <c r="C81" s="76" t="s">
        <v>299</v>
      </c>
      <c r="D81" t="s">
        <v>203</v>
      </c>
      <c r="E81"/>
      <c r="F81"/>
      <c r="G81" s="48"/>
      <c r="H81" s="3" t="s">
        <v>300</v>
      </c>
      <c r="I81" t="s">
        <v>178</v>
      </c>
      <c r="M81"/>
      <c r="N81" s="32"/>
    </row>
    <row r="82" spans="1:17" s="15" customFormat="1">
      <c r="A82" s="52"/>
      <c r="B82" s="39"/>
      <c r="C82" s="76" t="s">
        <v>301</v>
      </c>
      <c r="D82" t="s">
        <v>286</v>
      </c>
      <c r="E82"/>
      <c r="F82"/>
      <c r="G82" s="48"/>
      <c r="H82" s="3" t="s">
        <v>302</v>
      </c>
      <c r="I82" t="s">
        <v>185</v>
      </c>
      <c r="M82"/>
      <c r="N82" s="32"/>
    </row>
    <row r="83" spans="1:17" s="15" customFormat="1">
      <c r="A83" s="52"/>
      <c r="B83" s="39"/>
      <c r="C83" s="76" t="s">
        <v>303</v>
      </c>
      <c r="D83" t="s">
        <v>286</v>
      </c>
      <c r="E83"/>
      <c r="F83"/>
      <c r="G83" s="48"/>
      <c r="H83" s="3" t="s">
        <v>302</v>
      </c>
      <c r="I83" t="s">
        <v>185</v>
      </c>
      <c r="M83"/>
      <c r="N83" s="32"/>
    </row>
    <row r="84" spans="1:17" s="15" customFormat="1">
      <c r="A84" s="52"/>
      <c r="B84" s="39"/>
      <c r="C84" s="76" t="s">
        <v>304</v>
      </c>
      <c r="D84" t="s">
        <v>203</v>
      </c>
      <c r="E84"/>
      <c r="F84"/>
      <c r="G84" s="48"/>
      <c r="H84" s="3" t="s">
        <v>301</v>
      </c>
      <c r="I84" t="s">
        <v>185</v>
      </c>
      <c r="M84"/>
      <c r="N84" s="32"/>
    </row>
    <row r="85" spans="1:17" s="15" customFormat="1">
      <c r="A85" s="52"/>
      <c r="B85" s="39"/>
      <c r="C85" s="76" t="s">
        <v>305</v>
      </c>
      <c r="D85" t="s">
        <v>203</v>
      </c>
      <c r="E85"/>
      <c r="F85"/>
      <c r="G85" s="48"/>
      <c r="H85" s="3" t="s">
        <v>301</v>
      </c>
      <c r="I85" t="s">
        <v>185</v>
      </c>
      <c r="M85"/>
      <c r="N85" s="32"/>
    </row>
    <row r="86" spans="1:17" s="15" customFormat="1">
      <c r="A86" s="52"/>
      <c r="B86" s="39"/>
      <c r="C86" s="76" t="s">
        <v>306</v>
      </c>
      <c r="D86" t="s">
        <v>203</v>
      </c>
      <c r="E86"/>
      <c r="F86"/>
      <c r="G86" s="48"/>
      <c r="H86" s="3" t="s">
        <v>307</v>
      </c>
      <c r="I86" t="s">
        <v>185</v>
      </c>
      <c r="M86"/>
      <c r="N86" s="32"/>
    </row>
    <row r="87" spans="1:17" s="15" customFormat="1">
      <c r="A87" s="52"/>
      <c r="B87" s="39"/>
      <c r="C87" s="76" t="s">
        <v>308</v>
      </c>
      <c r="D87" t="s">
        <v>203</v>
      </c>
      <c r="E87"/>
      <c r="F87"/>
      <c r="G87" s="48"/>
      <c r="H87" s="3" t="s">
        <v>309</v>
      </c>
      <c r="I87" t="s">
        <v>185</v>
      </c>
      <c r="M87"/>
      <c r="N87" s="32"/>
    </row>
    <row r="88" spans="1:17" s="15" customFormat="1">
      <c r="A88" s="52"/>
      <c r="B88" s="39"/>
      <c r="C88" s="76" t="s">
        <v>310</v>
      </c>
      <c r="D88" t="s">
        <v>203</v>
      </c>
      <c r="E88"/>
      <c r="F88"/>
      <c r="G88" s="48"/>
      <c r="H88" s="3" t="s">
        <v>311</v>
      </c>
      <c r="I88" t="s">
        <v>185</v>
      </c>
      <c r="M88"/>
      <c r="N88" s="32"/>
    </row>
    <row r="89" spans="1:17" s="15" customFormat="1">
      <c r="A89" s="52"/>
      <c r="B89" s="39"/>
      <c r="C89" s="76" t="s">
        <v>312</v>
      </c>
      <c r="D89" t="s">
        <v>203</v>
      </c>
      <c r="E89"/>
      <c r="F89"/>
      <c r="G89" s="48"/>
      <c r="H89" s="3" t="s">
        <v>313</v>
      </c>
      <c r="I89" t="s">
        <v>185</v>
      </c>
      <c r="M89"/>
      <c r="N89" s="32"/>
    </row>
    <row r="90" spans="1:17" s="15" customFormat="1">
      <c r="A90" s="52"/>
      <c r="B90" s="39"/>
      <c r="C90" s="76" t="s">
        <v>314</v>
      </c>
      <c r="D90" t="s">
        <v>279</v>
      </c>
      <c r="E90"/>
      <c r="F90"/>
      <c r="G90" s="48"/>
      <c r="H90" s="3"/>
      <c r="I90"/>
      <c r="M90"/>
      <c r="N90" s="32"/>
    </row>
    <row r="91" spans="1:17" s="15" customFormat="1">
      <c r="A91" s="52"/>
      <c r="B91" s="39"/>
      <c r="C91" s="76" t="s">
        <v>315</v>
      </c>
      <c r="D91" t="s">
        <v>279</v>
      </c>
      <c r="E91"/>
      <c r="F91"/>
      <c r="G91" s="48"/>
      <c r="H91" s="3"/>
      <c r="I91"/>
      <c r="M91"/>
      <c r="N91" s="32"/>
    </row>
    <row r="92" spans="1:17" s="15" customFormat="1">
      <c r="A92" s="52"/>
      <c r="B92" s="39"/>
      <c r="C92" s="76" t="s">
        <v>316</v>
      </c>
      <c r="D92" t="s">
        <v>279</v>
      </c>
      <c r="E92"/>
      <c r="F92"/>
      <c r="G92" s="48"/>
      <c r="H92" s="3"/>
      <c r="I92"/>
      <c r="M92"/>
      <c r="N92" s="32"/>
    </row>
    <row r="93" spans="1:17">
      <c r="A93" s="52"/>
      <c r="B93" s="39"/>
      <c r="C93" s="76" t="s">
        <v>317</v>
      </c>
      <c r="D93" t="s">
        <v>279</v>
      </c>
      <c r="F93"/>
      <c r="H93" s="3"/>
      <c r="I93"/>
      <c r="N93" s="32"/>
    </row>
    <row r="94" spans="1:17">
      <c r="A94" s="52"/>
      <c r="B94" s="39"/>
      <c r="C94" s="76" t="s">
        <v>318</v>
      </c>
      <c r="D94" t="s">
        <v>193</v>
      </c>
      <c r="F94" s="1">
        <v>1</v>
      </c>
      <c r="G94" s="48">
        <v>95.685400000000001</v>
      </c>
      <c r="H94" s="3" t="s">
        <v>319</v>
      </c>
      <c r="I94" t="s">
        <v>185</v>
      </c>
      <c r="N94" s="32"/>
    </row>
    <row r="95" spans="1:17">
      <c r="A95" s="52"/>
      <c r="B95" s="39"/>
      <c r="C95" s="84" t="s">
        <v>320</v>
      </c>
      <c r="D95" s="18" t="s">
        <v>176</v>
      </c>
      <c r="E95" s="18"/>
      <c r="F95" s="55">
        <v>6</v>
      </c>
      <c r="G95" s="54">
        <v>252.827</v>
      </c>
      <c r="H95" s="46" t="s">
        <v>321</v>
      </c>
      <c r="I95" s="18" t="s">
        <v>178</v>
      </c>
      <c r="J95" s="94" t="s">
        <v>179</v>
      </c>
      <c r="K95" s="94" t="s">
        <v>180</v>
      </c>
      <c r="L95" s="94" t="s">
        <v>179</v>
      </c>
      <c r="N95" s="32"/>
      <c r="Q95" s="48"/>
    </row>
    <row r="96" spans="1:17">
      <c r="A96" s="52"/>
      <c r="B96" s="39"/>
      <c r="C96" s="76" t="s">
        <v>322</v>
      </c>
      <c r="D96" t="s">
        <v>203</v>
      </c>
      <c r="F96"/>
      <c r="H96" s="3" t="s">
        <v>323</v>
      </c>
      <c r="I96" t="s">
        <v>178</v>
      </c>
      <c r="N96" s="32"/>
    </row>
    <row r="97" spans="1:14">
      <c r="A97" s="52"/>
      <c r="B97" s="39"/>
      <c r="C97" s="76" t="s">
        <v>324</v>
      </c>
      <c r="D97" t="s">
        <v>203</v>
      </c>
      <c r="F97"/>
      <c r="H97" s="3" t="s">
        <v>325</v>
      </c>
      <c r="I97" t="s">
        <v>178</v>
      </c>
      <c r="N97" s="32"/>
    </row>
    <row r="98" spans="1:14">
      <c r="A98" s="52"/>
      <c r="B98" s="39"/>
      <c r="C98" s="76" t="s">
        <v>326</v>
      </c>
      <c r="D98" t="s">
        <v>203</v>
      </c>
      <c r="F98"/>
      <c r="H98" s="3" t="s">
        <v>327</v>
      </c>
      <c r="I98" t="s">
        <v>178</v>
      </c>
      <c r="N98" s="32"/>
    </row>
    <row r="99" spans="1:14">
      <c r="A99" s="52"/>
      <c r="B99" s="39"/>
      <c r="C99" s="84" t="s">
        <v>328</v>
      </c>
      <c r="D99" s="18" t="s">
        <v>176</v>
      </c>
      <c r="E99" s="18"/>
      <c r="F99" s="55">
        <v>6</v>
      </c>
      <c r="G99" s="54">
        <v>231.37100000000001</v>
      </c>
      <c r="H99" s="46" t="s">
        <v>329</v>
      </c>
      <c r="I99" s="18" t="s">
        <v>185</v>
      </c>
      <c r="J99" s="94" t="s">
        <v>179</v>
      </c>
      <c r="K99" s="94" t="s">
        <v>180</v>
      </c>
      <c r="L99" s="94" t="s">
        <v>179</v>
      </c>
      <c r="N99" s="32"/>
    </row>
    <row r="100" spans="1:14">
      <c r="A100" s="52"/>
      <c r="B100" s="39"/>
      <c r="C100" s="76" t="s">
        <v>330</v>
      </c>
      <c r="D100" t="s">
        <v>203</v>
      </c>
      <c r="F100"/>
      <c r="H100" s="3" t="s">
        <v>331</v>
      </c>
      <c r="I100" t="s">
        <v>185</v>
      </c>
      <c r="N100" s="32"/>
    </row>
    <row r="101" spans="1:14">
      <c r="A101" s="52"/>
      <c r="B101" s="39"/>
      <c r="C101" s="76" t="s">
        <v>332</v>
      </c>
      <c r="D101" t="s">
        <v>203</v>
      </c>
      <c r="F101"/>
      <c r="H101" s="3" t="s">
        <v>333</v>
      </c>
      <c r="I101" t="s">
        <v>185</v>
      </c>
      <c r="N101" s="32"/>
    </row>
    <row r="102" spans="1:14">
      <c r="A102" s="52"/>
      <c r="B102" s="39"/>
      <c r="C102" s="76" t="s">
        <v>334</v>
      </c>
      <c r="D102" t="s">
        <v>203</v>
      </c>
      <c r="F102"/>
      <c r="H102" s="3" t="s">
        <v>225</v>
      </c>
      <c r="I102" t="s">
        <v>185</v>
      </c>
      <c r="N102" s="32"/>
    </row>
    <row r="103" spans="1:14">
      <c r="A103" s="52"/>
      <c r="B103" s="39"/>
      <c r="C103" s="76" t="s">
        <v>335</v>
      </c>
      <c r="D103" t="s">
        <v>176</v>
      </c>
      <c r="F103" s="1">
        <v>2</v>
      </c>
      <c r="G103" s="48">
        <v>106.18899999999999</v>
      </c>
      <c r="H103" s="3" t="s">
        <v>336</v>
      </c>
      <c r="I103" t="s">
        <v>178</v>
      </c>
      <c r="J103" s="15" t="s">
        <v>179</v>
      </c>
      <c r="K103" s="15" t="s">
        <v>180</v>
      </c>
      <c r="L103" s="15" t="s">
        <v>179</v>
      </c>
      <c r="N103" s="32"/>
    </row>
    <row r="104" spans="1:14">
      <c r="A104" s="52"/>
      <c r="B104" s="39"/>
      <c r="C104" s="76" t="s">
        <v>337</v>
      </c>
      <c r="D104" t="s">
        <v>176</v>
      </c>
      <c r="F104">
        <f>(1.1-0.65)/0.05+1</f>
        <v>10</v>
      </c>
      <c r="G104" s="48">
        <v>360.38400000000001</v>
      </c>
      <c r="H104" s="3" t="s">
        <v>338</v>
      </c>
      <c r="I104" t="s">
        <v>178</v>
      </c>
      <c r="J104" s="15" t="s">
        <v>179</v>
      </c>
      <c r="K104" s="15" t="s">
        <v>180</v>
      </c>
      <c r="L104" s="15" t="s">
        <v>179</v>
      </c>
      <c r="N104" s="32"/>
    </row>
    <row r="105" spans="1:14">
      <c r="A105" s="52"/>
      <c r="B105" s="39"/>
      <c r="C105" s="76" t="s">
        <v>339</v>
      </c>
      <c r="D105" t="s">
        <v>203</v>
      </c>
      <c r="F105"/>
      <c r="H105" s="3" t="s">
        <v>340</v>
      </c>
      <c r="I105" t="s">
        <v>178</v>
      </c>
      <c r="N105" s="32"/>
    </row>
    <row r="106" spans="1:14">
      <c r="A106" s="52"/>
      <c r="B106" s="39"/>
      <c r="C106" s="76" t="s">
        <v>341</v>
      </c>
      <c r="D106" t="s">
        <v>203</v>
      </c>
      <c r="F106"/>
      <c r="H106" s="3" t="s">
        <v>342</v>
      </c>
      <c r="I106" t="s">
        <v>178</v>
      </c>
      <c r="N106" s="32"/>
    </row>
    <row r="107" spans="1:14">
      <c r="A107" s="52"/>
      <c r="B107" s="39"/>
      <c r="C107" s="76" t="s">
        <v>343</v>
      </c>
      <c r="D107" t="s">
        <v>203</v>
      </c>
      <c r="F107"/>
      <c r="H107" s="3" t="s">
        <v>344</v>
      </c>
      <c r="I107" t="s">
        <v>178</v>
      </c>
      <c r="N107" s="32"/>
    </row>
    <row r="108" spans="1:14">
      <c r="A108" s="52"/>
      <c r="B108" s="39"/>
      <c r="C108" s="76" t="s">
        <v>345</v>
      </c>
      <c r="D108" t="s">
        <v>203</v>
      </c>
      <c r="F108"/>
      <c r="H108" s="3" t="s">
        <v>346</v>
      </c>
      <c r="I108" t="s">
        <v>178</v>
      </c>
      <c r="N108" s="32"/>
    </row>
    <row r="109" spans="1:14">
      <c r="A109" s="52"/>
      <c r="B109" s="39"/>
      <c r="C109" s="76" t="s">
        <v>347</v>
      </c>
      <c r="D109" t="s">
        <v>203</v>
      </c>
      <c r="F109"/>
      <c r="H109" s="3" t="s">
        <v>348</v>
      </c>
      <c r="I109" t="s">
        <v>178</v>
      </c>
      <c r="N109" s="32"/>
    </row>
    <row r="110" spans="1:14">
      <c r="A110" s="52"/>
      <c r="B110" s="39"/>
      <c r="C110" s="76" t="s">
        <v>349</v>
      </c>
      <c r="D110" t="s">
        <v>203</v>
      </c>
      <c r="F110"/>
      <c r="H110" s="3" t="s">
        <v>350</v>
      </c>
      <c r="I110" t="s">
        <v>178</v>
      </c>
      <c r="N110" s="32"/>
    </row>
    <row r="111" spans="1:14">
      <c r="A111" s="52"/>
      <c r="B111" s="39"/>
      <c r="C111" s="76" t="s">
        <v>351</v>
      </c>
      <c r="D111" t="s">
        <v>203</v>
      </c>
      <c r="F111"/>
      <c r="H111" s="3" t="s">
        <v>352</v>
      </c>
      <c r="I111" t="s">
        <v>178</v>
      </c>
      <c r="N111" s="32"/>
    </row>
    <row r="112" spans="1:14">
      <c r="A112" s="52"/>
      <c r="B112" s="39"/>
      <c r="C112" s="76" t="s">
        <v>353</v>
      </c>
      <c r="D112" t="s">
        <v>203</v>
      </c>
      <c r="F112"/>
      <c r="H112" s="3" t="s">
        <v>354</v>
      </c>
      <c r="I112" t="s">
        <v>178</v>
      </c>
      <c r="N112" s="32"/>
    </row>
    <row r="113" spans="1:14">
      <c r="A113" s="52"/>
      <c r="B113" s="39"/>
      <c r="C113" s="76" t="s">
        <v>355</v>
      </c>
      <c r="D113" t="s">
        <v>203</v>
      </c>
      <c r="F113"/>
      <c r="H113" s="3" t="s">
        <v>356</v>
      </c>
      <c r="I113" t="s">
        <v>178</v>
      </c>
      <c r="N113" s="32"/>
    </row>
    <row r="114" spans="1:14">
      <c r="A114" s="52"/>
      <c r="B114" s="39"/>
      <c r="C114" s="76" t="s">
        <v>357</v>
      </c>
      <c r="D114" t="s">
        <v>176</v>
      </c>
      <c r="F114" s="1">
        <v>2</v>
      </c>
      <c r="G114" s="48">
        <v>108.983</v>
      </c>
      <c r="H114" s="3" t="s">
        <v>358</v>
      </c>
      <c r="I114" t="s">
        <v>178</v>
      </c>
      <c r="J114" s="15" t="s">
        <v>179</v>
      </c>
      <c r="K114" s="15" t="s">
        <v>180</v>
      </c>
      <c r="L114" s="15" t="s">
        <v>179</v>
      </c>
      <c r="N114" s="32"/>
    </row>
    <row r="115" spans="1:14">
      <c r="A115" s="52"/>
      <c r="B115" s="39"/>
      <c r="C115" s="76" t="s">
        <v>359</v>
      </c>
      <c r="D115" t="s">
        <v>176</v>
      </c>
      <c r="F115" s="1">
        <v>2</v>
      </c>
      <c r="G115" s="48">
        <v>107.95099999999999</v>
      </c>
      <c r="H115" s="3" t="s">
        <v>360</v>
      </c>
      <c r="I115" t="s">
        <v>185</v>
      </c>
      <c r="J115" s="15" t="s">
        <v>179</v>
      </c>
      <c r="K115" s="15" t="s">
        <v>180</v>
      </c>
      <c r="L115" s="15" t="s">
        <v>179</v>
      </c>
      <c r="N115" s="32"/>
    </row>
    <row r="116" spans="1:14">
      <c r="A116" s="52"/>
      <c r="B116" s="39"/>
      <c r="C116" s="76" t="s">
        <v>361</v>
      </c>
      <c r="D116" t="s">
        <v>203</v>
      </c>
      <c r="F116"/>
      <c r="H116" s="3" t="s">
        <v>362</v>
      </c>
      <c r="I116" t="s">
        <v>178</v>
      </c>
      <c r="N116" s="32"/>
    </row>
    <row r="117" spans="1:14">
      <c r="A117" s="52"/>
      <c r="B117" s="39"/>
      <c r="C117" s="76" t="s">
        <v>363</v>
      </c>
      <c r="D117" t="s">
        <v>203</v>
      </c>
      <c r="F117"/>
      <c r="H117" s="3" t="s">
        <v>364</v>
      </c>
      <c r="I117" t="s">
        <v>178</v>
      </c>
      <c r="N117" s="32"/>
    </row>
    <row r="118" spans="1:14">
      <c r="A118" s="52"/>
      <c r="B118" s="39"/>
      <c r="C118" s="76" t="s">
        <v>365</v>
      </c>
      <c r="D118" t="s">
        <v>203</v>
      </c>
      <c r="F118"/>
      <c r="H118" s="3" t="s">
        <v>366</v>
      </c>
      <c r="I118" t="s">
        <v>185</v>
      </c>
      <c r="N118" s="32"/>
    </row>
    <row r="119" spans="1:14">
      <c r="A119" s="52"/>
      <c r="B119" s="39"/>
      <c r="C119" s="76" t="s">
        <v>367</v>
      </c>
      <c r="D119" t="s">
        <v>203</v>
      </c>
      <c r="F119"/>
      <c r="H119" s="3" t="s">
        <v>368</v>
      </c>
      <c r="I119" t="s">
        <v>185</v>
      </c>
      <c r="N119" s="32"/>
    </row>
    <row r="120" spans="1:14">
      <c r="A120" s="52"/>
      <c r="B120" s="39"/>
      <c r="C120" s="76" t="s">
        <v>369</v>
      </c>
      <c r="D120" t="s">
        <v>176</v>
      </c>
      <c r="F120" s="1">
        <v>2</v>
      </c>
      <c r="G120" s="48">
        <v>103.82</v>
      </c>
      <c r="H120" s="3" t="s">
        <v>370</v>
      </c>
      <c r="I120" t="s">
        <v>185</v>
      </c>
      <c r="J120" s="15" t="s">
        <v>179</v>
      </c>
      <c r="K120" s="15" t="s">
        <v>180</v>
      </c>
      <c r="L120" s="15" t="s">
        <v>179</v>
      </c>
      <c r="N120" s="32"/>
    </row>
    <row r="121" spans="1:14">
      <c r="A121" s="52"/>
      <c r="B121" s="39"/>
      <c r="C121" s="76" t="s">
        <v>371</v>
      </c>
      <c r="D121" t="s">
        <v>176</v>
      </c>
      <c r="F121" s="1">
        <v>1</v>
      </c>
      <c r="G121" s="48">
        <v>74.339200000000005</v>
      </c>
      <c r="H121" s="3" t="s">
        <v>366</v>
      </c>
      <c r="I121" t="s">
        <v>185</v>
      </c>
      <c r="J121" s="15" t="s">
        <v>179</v>
      </c>
      <c r="K121" s="15" t="s">
        <v>180</v>
      </c>
      <c r="L121" s="15" t="s">
        <v>179</v>
      </c>
      <c r="N121" s="32"/>
    </row>
    <row r="122" spans="1:14">
      <c r="A122" s="52"/>
      <c r="B122" s="39"/>
      <c r="C122" s="76" t="s">
        <v>372</v>
      </c>
      <c r="D122" t="s">
        <v>203</v>
      </c>
      <c r="F122"/>
      <c r="H122" s="3" t="s">
        <v>373</v>
      </c>
      <c r="I122" t="s">
        <v>185</v>
      </c>
      <c r="N122" s="32"/>
    </row>
    <row r="123" spans="1:14">
      <c r="A123" s="52"/>
      <c r="B123" s="39"/>
      <c r="C123" s="76" t="s">
        <v>374</v>
      </c>
      <c r="D123" t="s">
        <v>203</v>
      </c>
      <c r="F123"/>
      <c r="H123" s="3" t="s">
        <v>375</v>
      </c>
      <c r="I123" t="s">
        <v>185</v>
      </c>
      <c r="N123" s="32"/>
    </row>
    <row r="124" spans="1:14">
      <c r="A124" s="52"/>
      <c r="B124" s="39"/>
      <c r="C124" s="76" t="s">
        <v>376</v>
      </c>
      <c r="D124" t="s">
        <v>203</v>
      </c>
      <c r="F124"/>
      <c r="H124" s="3" t="s">
        <v>366</v>
      </c>
      <c r="I124" t="s">
        <v>185</v>
      </c>
      <c r="N124" s="32"/>
    </row>
    <row r="125" spans="1:14">
      <c r="A125" s="52"/>
      <c r="B125" s="39"/>
      <c r="C125" s="76" t="s">
        <v>377</v>
      </c>
      <c r="D125" t="s">
        <v>176</v>
      </c>
      <c r="F125" s="1">
        <v>2</v>
      </c>
      <c r="G125" s="48">
        <v>102.636</v>
      </c>
      <c r="H125" s="3" t="s">
        <v>370</v>
      </c>
      <c r="I125" t="s">
        <v>187</v>
      </c>
      <c r="J125" s="15" t="s">
        <v>179</v>
      </c>
      <c r="K125" s="15" t="s">
        <v>180</v>
      </c>
      <c r="L125" s="15" t="s">
        <v>179</v>
      </c>
      <c r="N125" s="32"/>
    </row>
    <row r="126" spans="1:14">
      <c r="A126" s="52"/>
      <c r="B126" s="39"/>
      <c r="C126" s="76" t="s">
        <v>378</v>
      </c>
      <c r="D126" t="s">
        <v>176</v>
      </c>
      <c r="F126" s="1">
        <v>1</v>
      </c>
      <c r="G126" s="48">
        <v>74.065200000000004</v>
      </c>
      <c r="H126" s="3" t="s">
        <v>366</v>
      </c>
      <c r="I126" t="s">
        <v>187</v>
      </c>
      <c r="J126" s="15" t="s">
        <v>179</v>
      </c>
      <c r="K126" s="15" t="s">
        <v>180</v>
      </c>
      <c r="L126" s="15" t="s">
        <v>179</v>
      </c>
      <c r="N126" s="32"/>
    </row>
    <row r="127" spans="1:14">
      <c r="A127" s="52"/>
      <c r="B127" s="39"/>
      <c r="C127" s="76" t="s">
        <v>379</v>
      </c>
      <c r="D127" t="s">
        <v>203</v>
      </c>
      <c r="F127"/>
      <c r="H127" s="3" t="s">
        <v>373</v>
      </c>
      <c r="I127" t="s">
        <v>187</v>
      </c>
      <c r="N127" s="32"/>
    </row>
    <row r="128" spans="1:14">
      <c r="A128" s="52"/>
      <c r="B128" s="39"/>
      <c r="C128" s="76" t="s">
        <v>380</v>
      </c>
      <c r="D128" t="s">
        <v>203</v>
      </c>
      <c r="F128"/>
      <c r="H128" s="3" t="s">
        <v>375</v>
      </c>
      <c r="I128" t="s">
        <v>187</v>
      </c>
      <c r="N128" s="32"/>
    </row>
    <row r="129" spans="1:14">
      <c r="A129" s="52"/>
      <c r="B129" s="39"/>
      <c r="C129" s="76" t="s">
        <v>381</v>
      </c>
      <c r="D129" t="s">
        <v>203</v>
      </c>
      <c r="F129"/>
      <c r="H129" s="3" t="s">
        <v>366</v>
      </c>
      <c r="I129" t="s">
        <v>187</v>
      </c>
      <c r="N129" s="32"/>
    </row>
    <row r="130" spans="1:14">
      <c r="A130" s="39"/>
      <c r="B130" s="50" t="s">
        <v>382</v>
      </c>
      <c r="C130" s="40" t="s">
        <v>383</v>
      </c>
      <c r="D130" s="40" t="s">
        <v>176</v>
      </c>
      <c r="E130" s="40"/>
      <c r="F130" s="40">
        <f>0.6/0.02+1</f>
        <v>31</v>
      </c>
      <c r="G130" s="68">
        <v>986.60400000000004</v>
      </c>
      <c r="H130" s="74" t="s">
        <v>384</v>
      </c>
      <c r="I130" s="40" t="s">
        <v>178</v>
      </c>
      <c r="J130" s="69" t="s">
        <v>179</v>
      </c>
      <c r="K130" s="69" t="s">
        <v>180</v>
      </c>
      <c r="L130" s="69" t="s">
        <v>179</v>
      </c>
      <c r="M130" s="40"/>
      <c r="N130" s="16"/>
    </row>
    <row r="131" spans="1:14">
      <c r="A131" s="39"/>
      <c r="B131" s="52"/>
      <c r="C131" t="s">
        <v>385</v>
      </c>
      <c r="D131" t="s">
        <v>386</v>
      </c>
      <c r="F131"/>
      <c r="H131" s="3"/>
      <c r="I131"/>
      <c r="N131" s="32"/>
    </row>
    <row r="132" spans="1:14">
      <c r="A132" s="39"/>
      <c r="B132" s="52"/>
      <c r="C132" t="s">
        <v>387</v>
      </c>
      <c r="D132"/>
      <c r="F132"/>
      <c r="H132" s="3"/>
      <c r="I132"/>
      <c r="N132" s="32"/>
    </row>
    <row r="133" spans="1:14">
      <c r="A133" s="39"/>
      <c r="B133" s="51"/>
      <c r="C133" s="41" t="s">
        <v>388</v>
      </c>
      <c r="D133" s="41"/>
      <c r="E133" s="41"/>
      <c r="F133" s="41"/>
      <c r="G133" s="71"/>
      <c r="H133" s="77"/>
      <c r="I133" s="41"/>
      <c r="J133" s="72"/>
      <c r="K133" s="72"/>
      <c r="L133" s="72"/>
      <c r="M133" s="41"/>
      <c r="N133" s="33"/>
    </row>
    <row r="134" spans="1:14">
      <c r="A134" s="52"/>
      <c r="B134" s="50" t="s">
        <v>389</v>
      </c>
      <c r="C134" s="13" t="s">
        <v>390</v>
      </c>
      <c r="D134" s="40" t="s">
        <v>176</v>
      </c>
      <c r="E134" s="40"/>
      <c r="F134" s="40">
        <f>0.2/0.05+1</f>
        <v>5</v>
      </c>
      <c r="G134" s="68">
        <v>199.61199999999999</v>
      </c>
      <c r="H134" s="74" t="s">
        <v>391</v>
      </c>
      <c r="I134" s="40" t="s">
        <v>205</v>
      </c>
      <c r="J134" s="69" t="s">
        <v>179</v>
      </c>
      <c r="K134" s="69" t="s">
        <v>180</v>
      </c>
      <c r="L134" s="69" t="s">
        <v>179</v>
      </c>
      <c r="M134" s="40"/>
      <c r="N134" s="16"/>
    </row>
    <row r="135" spans="1:14">
      <c r="A135" s="52"/>
      <c r="B135" s="52"/>
      <c r="C135" s="34" t="s">
        <v>392</v>
      </c>
      <c r="D135" t="s">
        <v>176</v>
      </c>
      <c r="F135">
        <f t="shared" ref="F135:F140" si="0">0.2/0.05+1</f>
        <v>5</v>
      </c>
      <c r="G135" s="48">
        <v>199.101</v>
      </c>
      <c r="H135" s="3" t="s">
        <v>391</v>
      </c>
      <c r="I135" t="s">
        <v>246</v>
      </c>
      <c r="J135" s="15" t="s">
        <v>179</v>
      </c>
      <c r="K135" s="15" t="s">
        <v>180</v>
      </c>
      <c r="L135" s="15" t="s">
        <v>179</v>
      </c>
      <c r="N135" s="32"/>
    </row>
    <row r="136" spans="1:14">
      <c r="A136" s="52"/>
      <c r="B136" s="52"/>
      <c r="C136" s="34" t="s">
        <v>393</v>
      </c>
      <c r="D136" t="s">
        <v>176</v>
      </c>
      <c r="F136">
        <f t="shared" si="0"/>
        <v>5</v>
      </c>
      <c r="G136" s="48">
        <v>199.09</v>
      </c>
      <c r="H136" s="3" t="s">
        <v>391</v>
      </c>
      <c r="I136" t="s">
        <v>394</v>
      </c>
      <c r="J136" s="15" t="s">
        <v>179</v>
      </c>
      <c r="K136" s="15" t="s">
        <v>180</v>
      </c>
      <c r="L136" s="15" t="s">
        <v>179</v>
      </c>
      <c r="N136" s="32"/>
    </row>
    <row r="137" spans="1:14">
      <c r="A137" s="52"/>
      <c r="B137" s="52"/>
      <c r="C137" s="34" t="s">
        <v>395</v>
      </c>
      <c r="D137" t="s">
        <v>176</v>
      </c>
      <c r="F137">
        <f t="shared" si="0"/>
        <v>5</v>
      </c>
      <c r="G137" s="48">
        <v>197.84700000000001</v>
      </c>
      <c r="H137" s="3" t="s">
        <v>391</v>
      </c>
      <c r="I137" t="s">
        <v>183</v>
      </c>
      <c r="J137" s="15" t="s">
        <v>179</v>
      </c>
      <c r="K137" s="15" t="s">
        <v>180</v>
      </c>
      <c r="L137" s="15" t="s">
        <v>179</v>
      </c>
      <c r="N137" s="32"/>
    </row>
    <row r="138" spans="1:14">
      <c r="A138" s="52"/>
      <c r="B138" s="52"/>
      <c r="C138" s="34" t="s">
        <v>396</v>
      </c>
      <c r="D138" t="s">
        <v>176</v>
      </c>
      <c r="F138">
        <f t="shared" si="0"/>
        <v>5</v>
      </c>
      <c r="G138" s="48">
        <v>198.30500000000001</v>
      </c>
      <c r="H138" s="3" t="s">
        <v>391</v>
      </c>
      <c r="I138" t="s">
        <v>397</v>
      </c>
      <c r="J138" s="15" t="s">
        <v>179</v>
      </c>
      <c r="K138" s="15" t="s">
        <v>180</v>
      </c>
      <c r="L138" s="15" t="s">
        <v>179</v>
      </c>
      <c r="N138" s="32"/>
    </row>
    <row r="139" spans="1:14">
      <c r="A139" s="52"/>
      <c r="B139" s="52"/>
      <c r="C139" s="34" t="s">
        <v>398</v>
      </c>
      <c r="D139" t="s">
        <v>176</v>
      </c>
      <c r="F139">
        <f t="shared" si="0"/>
        <v>5</v>
      </c>
      <c r="G139" s="48">
        <v>198.05600000000001</v>
      </c>
      <c r="H139" s="3" t="s">
        <v>391</v>
      </c>
      <c r="I139" t="s">
        <v>267</v>
      </c>
      <c r="J139" s="15" t="s">
        <v>179</v>
      </c>
      <c r="K139" s="15" t="s">
        <v>180</v>
      </c>
      <c r="L139" s="15" t="s">
        <v>179</v>
      </c>
      <c r="N139" s="32"/>
    </row>
    <row r="140" spans="1:14">
      <c r="A140" s="52"/>
      <c r="B140" s="52"/>
      <c r="C140" s="34" t="s">
        <v>399</v>
      </c>
      <c r="D140" t="s">
        <v>176</v>
      </c>
      <c r="F140">
        <f t="shared" si="0"/>
        <v>5</v>
      </c>
      <c r="G140" s="48">
        <v>198.887</v>
      </c>
      <c r="H140" s="3" t="s">
        <v>391</v>
      </c>
      <c r="I140" t="s">
        <v>210</v>
      </c>
      <c r="J140" s="15" t="s">
        <v>179</v>
      </c>
      <c r="K140" s="15" t="s">
        <v>180</v>
      </c>
      <c r="L140" s="15" t="s">
        <v>179</v>
      </c>
      <c r="N140" s="32"/>
    </row>
    <row r="141" spans="1:14">
      <c r="A141" s="52"/>
      <c r="B141" s="52"/>
      <c r="C141" s="34" t="s">
        <v>400</v>
      </c>
      <c r="D141" t="s">
        <v>203</v>
      </c>
      <c r="F141"/>
      <c r="H141" s="3" t="s">
        <v>401</v>
      </c>
      <c r="I141" t="s">
        <v>205</v>
      </c>
      <c r="K141" s="15" t="s">
        <v>180</v>
      </c>
      <c r="N141" s="32"/>
    </row>
    <row r="142" spans="1:14">
      <c r="A142" s="52"/>
      <c r="B142" s="52"/>
      <c r="C142" s="34" t="s">
        <v>402</v>
      </c>
      <c r="D142" t="s">
        <v>203</v>
      </c>
      <c r="F142"/>
      <c r="H142" s="3" t="s">
        <v>403</v>
      </c>
      <c r="I142" t="s">
        <v>205</v>
      </c>
      <c r="K142" s="15" t="s">
        <v>180</v>
      </c>
      <c r="N142" s="32"/>
    </row>
    <row r="143" spans="1:14" s="15" customFormat="1">
      <c r="A143" s="52"/>
      <c r="B143" s="52"/>
      <c r="C143" s="34" t="s">
        <v>404</v>
      </c>
      <c r="D143" t="s">
        <v>203</v>
      </c>
      <c r="E143"/>
      <c r="F143"/>
      <c r="G143" s="48"/>
      <c r="H143" s="3" t="s">
        <v>331</v>
      </c>
      <c r="I143" t="s">
        <v>205</v>
      </c>
      <c r="K143" s="15" t="s">
        <v>180</v>
      </c>
      <c r="M143"/>
      <c r="N143" s="32"/>
    </row>
    <row r="144" spans="1:14" s="15" customFormat="1">
      <c r="A144" s="52"/>
      <c r="B144" s="52"/>
      <c r="C144" s="34" t="s">
        <v>405</v>
      </c>
      <c r="D144" t="s">
        <v>203</v>
      </c>
      <c r="E144"/>
      <c r="F144"/>
      <c r="G144" s="48"/>
      <c r="H144" s="3" t="s">
        <v>406</v>
      </c>
      <c r="I144" t="s">
        <v>205</v>
      </c>
      <c r="K144" s="15" t="s">
        <v>180</v>
      </c>
      <c r="M144"/>
      <c r="N144" s="32"/>
    </row>
    <row r="145" spans="1:14" s="15" customFormat="1">
      <c r="A145" s="52"/>
      <c r="B145" s="52"/>
      <c r="C145" s="34" t="s">
        <v>407</v>
      </c>
      <c r="D145" t="s">
        <v>203</v>
      </c>
      <c r="E145"/>
      <c r="F145"/>
      <c r="G145" s="48"/>
      <c r="H145" s="3" t="s">
        <v>408</v>
      </c>
      <c r="I145" t="s">
        <v>205</v>
      </c>
      <c r="K145" s="15" t="s">
        <v>180</v>
      </c>
      <c r="M145"/>
      <c r="N145" s="32"/>
    </row>
    <row r="146" spans="1:14" s="15" customFormat="1">
      <c r="A146" s="52"/>
      <c r="B146" s="52"/>
      <c r="C146" s="34" t="s">
        <v>409</v>
      </c>
      <c r="D146" t="s">
        <v>203</v>
      </c>
      <c r="E146"/>
      <c r="F146"/>
      <c r="G146" s="48"/>
      <c r="H146" s="3" t="s">
        <v>401</v>
      </c>
      <c r="I146" t="s">
        <v>246</v>
      </c>
      <c r="K146" s="15" t="s">
        <v>180</v>
      </c>
      <c r="M146"/>
      <c r="N146" s="32"/>
    </row>
    <row r="147" spans="1:14" s="15" customFormat="1">
      <c r="A147" s="52"/>
      <c r="B147" s="52"/>
      <c r="C147" s="34" t="s">
        <v>410</v>
      </c>
      <c r="D147" t="s">
        <v>203</v>
      </c>
      <c r="E147"/>
      <c r="F147"/>
      <c r="G147" s="48"/>
      <c r="H147" s="3" t="s">
        <v>403</v>
      </c>
      <c r="I147" t="s">
        <v>246</v>
      </c>
      <c r="K147" s="15" t="s">
        <v>180</v>
      </c>
      <c r="M147"/>
      <c r="N147" s="32"/>
    </row>
    <row r="148" spans="1:14" s="15" customFormat="1">
      <c r="A148" s="52"/>
      <c r="B148" s="52"/>
      <c r="C148" s="34" t="s">
        <v>411</v>
      </c>
      <c r="D148" t="s">
        <v>203</v>
      </c>
      <c r="E148"/>
      <c r="F148"/>
      <c r="G148" s="48"/>
      <c r="H148" s="3" t="s">
        <v>331</v>
      </c>
      <c r="I148" t="s">
        <v>246</v>
      </c>
      <c r="K148" s="15" t="s">
        <v>180</v>
      </c>
      <c r="M148"/>
      <c r="N148" s="32"/>
    </row>
    <row r="149" spans="1:14" s="15" customFormat="1">
      <c r="A149" s="52"/>
      <c r="B149" s="52"/>
      <c r="C149" s="34" t="s">
        <v>412</v>
      </c>
      <c r="D149" t="s">
        <v>203</v>
      </c>
      <c r="E149"/>
      <c r="F149"/>
      <c r="G149" s="48"/>
      <c r="H149" s="3" t="s">
        <v>406</v>
      </c>
      <c r="I149" t="s">
        <v>246</v>
      </c>
      <c r="K149" s="15" t="s">
        <v>180</v>
      </c>
      <c r="M149"/>
      <c r="N149" s="32"/>
    </row>
    <row r="150" spans="1:14" s="15" customFormat="1">
      <c r="A150" s="52"/>
      <c r="B150" s="52"/>
      <c r="C150" s="34" t="s">
        <v>413</v>
      </c>
      <c r="D150" t="s">
        <v>203</v>
      </c>
      <c r="E150"/>
      <c r="F150"/>
      <c r="G150" s="48"/>
      <c r="H150" s="3" t="s">
        <v>408</v>
      </c>
      <c r="I150" t="s">
        <v>246</v>
      </c>
      <c r="K150" s="15" t="s">
        <v>180</v>
      </c>
      <c r="M150"/>
      <c r="N150" s="32"/>
    </row>
    <row r="151" spans="1:14" s="15" customFormat="1">
      <c r="A151" s="52"/>
      <c r="B151" s="52"/>
      <c r="C151" s="34" t="s">
        <v>414</v>
      </c>
      <c r="D151" t="s">
        <v>203</v>
      </c>
      <c r="E151"/>
      <c r="F151"/>
      <c r="G151" s="48"/>
      <c r="H151" s="3" t="s">
        <v>401</v>
      </c>
      <c r="I151" t="s">
        <v>394</v>
      </c>
      <c r="K151" s="15" t="s">
        <v>180</v>
      </c>
      <c r="M151"/>
      <c r="N151" s="32"/>
    </row>
    <row r="152" spans="1:14" s="15" customFormat="1">
      <c r="A152" s="52"/>
      <c r="B152" s="52"/>
      <c r="C152" s="34" t="s">
        <v>415</v>
      </c>
      <c r="D152" t="s">
        <v>203</v>
      </c>
      <c r="E152"/>
      <c r="F152"/>
      <c r="G152" s="48"/>
      <c r="H152" s="3" t="s">
        <v>403</v>
      </c>
      <c r="I152" t="s">
        <v>394</v>
      </c>
      <c r="K152" s="15" t="s">
        <v>180</v>
      </c>
      <c r="M152"/>
      <c r="N152" s="32"/>
    </row>
    <row r="153" spans="1:14" s="15" customFormat="1">
      <c r="A153" s="52"/>
      <c r="B153" s="52"/>
      <c r="C153" s="34" t="s">
        <v>416</v>
      </c>
      <c r="D153" t="s">
        <v>203</v>
      </c>
      <c r="E153"/>
      <c r="F153"/>
      <c r="G153" s="48"/>
      <c r="H153" s="3" t="s">
        <v>331</v>
      </c>
      <c r="I153" t="s">
        <v>394</v>
      </c>
      <c r="K153" s="15" t="s">
        <v>180</v>
      </c>
      <c r="M153"/>
      <c r="N153" s="32"/>
    </row>
    <row r="154" spans="1:14" s="15" customFormat="1">
      <c r="A154" s="52"/>
      <c r="B154" s="52"/>
      <c r="C154" s="34" t="s">
        <v>417</v>
      </c>
      <c r="D154" t="s">
        <v>203</v>
      </c>
      <c r="E154"/>
      <c r="F154"/>
      <c r="G154" s="48"/>
      <c r="H154" s="3" t="s">
        <v>406</v>
      </c>
      <c r="I154" t="s">
        <v>394</v>
      </c>
      <c r="K154" s="15" t="s">
        <v>180</v>
      </c>
      <c r="M154"/>
      <c r="N154" s="32"/>
    </row>
    <row r="155" spans="1:14" s="15" customFormat="1">
      <c r="A155" s="52"/>
      <c r="B155" s="52"/>
      <c r="C155" s="34" t="s">
        <v>418</v>
      </c>
      <c r="D155" t="s">
        <v>203</v>
      </c>
      <c r="E155"/>
      <c r="F155"/>
      <c r="G155" s="48"/>
      <c r="H155" s="3" t="s">
        <v>408</v>
      </c>
      <c r="I155" t="s">
        <v>394</v>
      </c>
      <c r="K155" s="15" t="s">
        <v>180</v>
      </c>
      <c r="M155"/>
      <c r="N155" s="32"/>
    </row>
    <row r="156" spans="1:14" s="15" customFormat="1">
      <c r="A156" s="52"/>
      <c r="B156" s="52"/>
      <c r="C156" s="34" t="s">
        <v>419</v>
      </c>
      <c r="D156" t="s">
        <v>203</v>
      </c>
      <c r="E156"/>
      <c r="F156"/>
      <c r="G156" s="48"/>
      <c r="H156" s="3" t="s">
        <v>401</v>
      </c>
      <c r="I156" t="s">
        <v>183</v>
      </c>
      <c r="K156" s="15" t="s">
        <v>180</v>
      </c>
      <c r="M156"/>
      <c r="N156" s="32"/>
    </row>
    <row r="157" spans="1:14" s="15" customFormat="1">
      <c r="A157" s="52"/>
      <c r="B157" s="52"/>
      <c r="C157" s="34" t="s">
        <v>420</v>
      </c>
      <c r="D157" t="s">
        <v>203</v>
      </c>
      <c r="E157"/>
      <c r="F157"/>
      <c r="G157" s="48"/>
      <c r="H157" s="3" t="s">
        <v>403</v>
      </c>
      <c r="I157" t="s">
        <v>183</v>
      </c>
      <c r="K157" s="15" t="s">
        <v>180</v>
      </c>
      <c r="M157"/>
      <c r="N157" s="32"/>
    </row>
    <row r="158" spans="1:14" s="15" customFormat="1">
      <c r="A158" s="52"/>
      <c r="B158" s="52"/>
      <c r="C158" s="34" t="s">
        <v>421</v>
      </c>
      <c r="D158" t="s">
        <v>203</v>
      </c>
      <c r="E158"/>
      <c r="F158"/>
      <c r="G158" s="48"/>
      <c r="H158" s="3" t="s">
        <v>331</v>
      </c>
      <c r="I158" t="s">
        <v>183</v>
      </c>
      <c r="K158" s="15" t="s">
        <v>180</v>
      </c>
      <c r="M158"/>
      <c r="N158" s="32"/>
    </row>
    <row r="159" spans="1:14" s="15" customFormat="1">
      <c r="A159" s="52"/>
      <c r="B159" s="52"/>
      <c r="C159" s="34" t="s">
        <v>422</v>
      </c>
      <c r="D159" t="s">
        <v>203</v>
      </c>
      <c r="E159"/>
      <c r="F159"/>
      <c r="G159" s="48"/>
      <c r="H159" s="3" t="s">
        <v>406</v>
      </c>
      <c r="I159" t="s">
        <v>183</v>
      </c>
      <c r="K159" s="15" t="s">
        <v>180</v>
      </c>
      <c r="M159"/>
      <c r="N159" s="32"/>
    </row>
    <row r="160" spans="1:14" s="15" customFormat="1">
      <c r="A160" s="52"/>
      <c r="B160" s="52"/>
      <c r="C160" s="34" t="s">
        <v>423</v>
      </c>
      <c r="D160" t="s">
        <v>203</v>
      </c>
      <c r="E160"/>
      <c r="F160"/>
      <c r="G160" s="48"/>
      <c r="H160" s="3" t="s">
        <v>408</v>
      </c>
      <c r="I160" t="s">
        <v>183</v>
      </c>
      <c r="K160" s="15" t="s">
        <v>180</v>
      </c>
      <c r="M160"/>
      <c r="N160" s="32"/>
    </row>
    <row r="161" spans="1:14" s="15" customFormat="1">
      <c r="A161" s="52"/>
      <c r="B161" s="52"/>
      <c r="C161" s="34" t="s">
        <v>424</v>
      </c>
      <c r="D161" t="s">
        <v>203</v>
      </c>
      <c r="E161"/>
      <c r="F161"/>
      <c r="G161" s="48"/>
      <c r="H161" s="3" t="s">
        <v>401</v>
      </c>
      <c r="I161" t="s">
        <v>397</v>
      </c>
      <c r="K161" s="15" t="s">
        <v>180</v>
      </c>
      <c r="M161"/>
      <c r="N161" s="32"/>
    </row>
    <row r="162" spans="1:14" s="15" customFormat="1">
      <c r="A162" s="52"/>
      <c r="B162" s="52"/>
      <c r="C162" s="34" t="s">
        <v>425</v>
      </c>
      <c r="D162" t="s">
        <v>203</v>
      </c>
      <c r="E162"/>
      <c r="F162"/>
      <c r="G162" s="48"/>
      <c r="H162" s="3" t="s">
        <v>403</v>
      </c>
      <c r="I162" t="s">
        <v>397</v>
      </c>
      <c r="K162" s="15" t="s">
        <v>180</v>
      </c>
      <c r="M162"/>
      <c r="N162" s="32"/>
    </row>
    <row r="163" spans="1:14" s="15" customFormat="1">
      <c r="A163" s="52"/>
      <c r="B163" s="52"/>
      <c r="C163" s="34" t="s">
        <v>426</v>
      </c>
      <c r="D163" t="s">
        <v>203</v>
      </c>
      <c r="E163"/>
      <c r="F163"/>
      <c r="G163" s="48"/>
      <c r="H163" s="3" t="s">
        <v>331</v>
      </c>
      <c r="I163" t="s">
        <v>397</v>
      </c>
      <c r="K163" s="15" t="s">
        <v>180</v>
      </c>
      <c r="M163"/>
      <c r="N163" s="32"/>
    </row>
    <row r="164" spans="1:14" s="15" customFormat="1">
      <c r="A164" s="52"/>
      <c r="B164" s="52"/>
      <c r="C164" s="34" t="s">
        <v>427</v>
      </c>
      <c r="D164" t="s">
        <v>203</v>
      </c>
      <c r="E164"/>
      <c r="F164"/>
      <c r="G164" s="48"/>
      <c r="H164" s="3" t="s">
        <v>406</v>
      </c>
      <c r="I164" t="s">
        <v>397</v>
      </c>
      <c r="K164" s="15" t="s">
        <v>180</v>
      </c>
      <c r="M164"/>
      <c r="N164" s="32"/>
    </row>
    <row r="165" spans="1:14" s="15" customFormat="1">
      <c r="A165" s="52"/>
      <c r="B165" s="52"/>
      <c r="C165" s="34" t="s">
        <v>428</v>
      </c>
      <c r="D165" t="s">
        <v>203</v>
      </c>
      <c r="E165"/>
      <c r="F165"/>
      <c r="G165" s="48"/>
      <c r="H165" s="3" t="s">
        <v>408</v>
      </c>
      <c r="I165" t="s">
        <v>397</v>
      </c>
      <c r="K165" s="15" t="s">
        <v>180</v>
      </c>
      <c r="M165"/>
      <c r="N165" s="32"/>
    </row>
    <row r="166" spans="1:14" s="15" customFormat="1">
      <c r="A166" s="52"/>
      <c r="B166" s="52"/>
      <c r="C166" s="34" t="s">
        <v>429</v>
      </c>
      <c r="D166" t="s">
        <v>203</v>
      </c>
      <c r="E166"/>
      <c r="F166"/>
      <c r="G166" s="48"/>
      <c r="H166" s="3" t="s">
        <v>401</v>
      </c>
      <c r="I166" t="s">
        <v>267</v>
      </c>
      <c r="K166" s="15" t="s">
        <v>180</v>
      </c>
      <c r="M166"/>
      <c r="N166" s="32"/>
    </row>
    <row r="167" spans="1:14" s="15" customFormat="1">
      <c r="A167" s="52"/>
      <c r="B167" s="52"/>
      <c r="C167" s="34" t="s">
        <v>430</v>
      </c>
      <c r="D167" t="s">
        <v>203</v>
      </c>
      <c r="E167"/>
      <c r="F167"/>
      <c r="G167" s="48"/>
      <c r="H167" s="3" t="s">
        <v>403</v>
      </c>
      <c r="I167" t="s">
        <v>267</v>
      </c>
      <c r="K167" s="15" t="s">
        <v>180</v>
      </c>
      <c r="M167"/>
      <c r="N167" s="32"/>
    </row>
    <row r="168" spans="1:14" s="15" customFormat="1">
      <c r="A168" s="52"/>
      <c r="B168" s="52"/>
      <c r="C168" s="34" t="s">
        <v>431</v>
      </c>
      <c r="D168" t="s">
        <v>203</v>
      </c>
      <c r="E168"/>
      <c r="F168"/>
      <c r="G168" s="48"/>
      <c r="H168" s="3" t="s">
        <v>331</v>
      </c>
      <c r="I168" t="s">
        <v>267</v>
      </c>
      <c r="K168" s="15" t="s">
        <v>180</v>
      </c>
      <c r="M168"/>
      <c r="N168" s="32"/>
    </row>
    <row r="169" spans="1:14" s="15" customFormat="1">
      <c r="A169" s="52"/>
      <c r="B169" s="52"/>
      <c r="C169" s="34" t="s">
        <v>432</v>
      </c>
      <c r="D169" t="s">
        <v>203</v>
      </c>
      <c r="E169"/>
      <c r="F169"/>
      <c r="G169" s="48"/>
      <c r="H169" s="3" t="s">
        <v>406</v>
      </c>
      <c r="I169" t="s">
        <v>267</v>
      </c>
      <c r="K169" s="15" t="s">
        <v>180</v>
      </c>
      <c r="M169"/>
      <c r="N169" s="32"/>
    </row>
    <row r="170" spans="1:14" s="15" customFormat="1">
      <c r="A170" s="52"/>
      <c r="B170" s="52"/>
      <c r="C170" s="34" t="s">
        <v>433</v>
      </c>
      <c r="D170" t="s">
        <v>203</v>
      </c>
      <c r="E170"/>
      <c r="F170"/>
      <c r="G170" s="48"/>
      <c r="H170" s="3" t="s">
        <v>408</v>
      </c>
      <c r="I170" t="s">
        <v>267</v>
      </c>
      <c r="K170" s="15" t="s">
        <v>180</v>
      </c>
      <c r="M170"/>
      <c r="N170" s="32"/>
    </row>
    <row r="171" spans="1:14" s="15" customFormat="1">
      <c r="A171" s="52"/>
      <c r="B171" s="52"/>
      <c r="C171" s="34" t="s">
        <v>434</v>
      </c>
      <c r="D171" t="s">
        <v>203</v>
      </c>
      <c r="E171"/>
      <c r="F171"/>
      <c r="G171" s="48"/>
      <c r="H171" s="3" t="s">
        <v>401</v>
      </c>
      <c r="I171" t="s">
        <v>210</v>
      </c>
      <c r="K171" s="15" t="s">
        <v>180</v>
      </c>
      <c r="M171"/>
      <c r="N171" s="32"/>
    </row>
    <row r="172" spans="1:14" s="15" customFormat="1">
      <c r="A172" s="52"/>
      <c r="B172" s="52"/>
      <c r="C172" s="34" t="s">
        <v>435</v>
      </c>
      <c r="D172" t="s">
        <v>203</v>
      </c>
      <c r="E172"/>
      <c r="F172"/>
      <c r="G172" s="48"/>
      <c r="H172" s="3" t="s">
        <v>403</v>
      </c>
      <c r="I172" t="s">
        <v>210</v>
      </c>
      <c r="K172" s="15" t="s">
        <v>180</v>
      </c>
      <c r="M172"/>
      <c r="N172" s="32"/>
    </row>
    <row r="173" spans="1:14" s="15" customFormat="1">
      <c r="A173" s="52"/>
      <c r="B173" s="52"/>
      <c r="C173" s="34" t="s">
        <v>436</v>
      </c>
      <c r="D173" t="s">
        <v>203</v>
      </c>
      <c r="E173"/>
      <c r="F173"/>
      <c r="G173" s="48"/>
      <c r="H173" s="3" t="s">
        <v>331</v>
      </c>
      <c r="I173" t="s">
        <v>210</v>
      </c>
      <c r="K173" s="15" t="s">
        <v>180</v>
      </c>
      <c r="M173"/>
      <c r="N173" s="32"/>
    </row>
    <row r="174" spans="1:14" s="15" customFormat="1">
      <c r="A174" s="52"/>
      <c r="B174" s="52"/>
      <c r="C174" s="34" t="s">
        <v>437</v>
      </c>
      <c r="D174" t="s">
        <v>203</v>
      </c>
      <c r="E174"/>
      <c r="F174"/>
      <c r="G174" s="48"/>
      <c r="H174" s="3" t="s">
        <v>406</v>
      </c>
      <c r="I174" t="s">
        <v>210</v>
      </c>
      <c r="K174" s="15" t="s">
        <v>180</v>
      </c>
      <c r="M174"/>
      <c r="N174" s="32"/>
    </row>
    <row r="175" spans="1:14" s="15" customFormat="1">
      <c r="A175" s="52"/>
      <c r="B175" s="52"/>
      <c r="C175" s="34" t="s">
        <v>438</v>
      </c>
      <c r="D175" t="s">
        <v>203</v>
      </c>
      <c r="E175"/>
      <c r="F175"/>
      <c r="G175" s="48"/>
      <c r="H175" s="3" t="s">
        <v>408</v>
      </c>
      <c r="I175" t="s">
        <v>210</v>
      </c>
      <c r="K175" s="15" t="s">
        <v>180</v>
      </c>
      <c r="M175"/>
      <c r="N175" s="32"/>
    </row>
    <row r="176" spans="1:14" s="15" customFormat="1">
      <c r="A176" s="52"/>
      <c r="B176" s="52"/>
      <c r="C176" s="34" t="s">
        <v>439</v>
      </c>
      <c r="D176" t="s">
        <v>279</v>
      </c>
      <c r="E176"/>
      <c r="F176"/>
      <c r="G176" s="48"/>
      <c r="H176" s="3"/>
      <c r="I176"/>
      <c r="M176"/>
      <c r="N176" s="32"/>
    </row>
    <row r="177" spans="1:14" s="15" customFormat="1">
      <c r="A177" s="52"/>
      <c r="B177" s="52"/>
      <c r="C177" s="34" t="s">
        <v>440</v>
      </c>
      <c r="D177" t="s">
        <v>279</v>
      </c>
      <c r="E177"/>
      <c r="F177"/>
      <c r="G177" s="48"/>
      <c r="H177" s="3"/>
      <c r="I177"/>
      <c r="M177"/>
      <c r="N177" s="32"/>
    </row>
    <row r="178" spans="1:14" s="15" customFormat="1">
      <c r="A178" s="52"/>
      <c r="B178" s="52"/>
      <c r="C178" s="34" t="s">
        <v>441</v>
      </c>
      <c r="D178" t="s">
        <v>279</v>
      </c>
      <c r="E178"/>
      <c r="F178"/>
      <c r="G178" s="48"/>
      <c r="H178" s="3"/>
      <c r="I178"/>
      <c r="M178"/>
      <c r="N178" s="32"/>
    </row>
    <row r="179" spans="1:14" s="15" customFormat="1">
      <c r="A179" s="52"/>
      <c r="B179" s="52"/>
      <c r="C179" s="34" t="s">
        <v>442</v>
      </c>
      <c r="D179" t="s">
        <v>279</v>
      </c>
      <c r="E179"/>
      <c r="F179"/>
      <c r="G179" s="48"/>
      <c r="H179" s="3"/>
      <c r="I179"/>
      <c r="M179"/>
      <c r="N179" s="32"/>
    </row>
    <row r="180" spans="1:14" s="15" customFormat="1">
      <c r="A180" s="52"/>
      <c r="B180" s="52"/>
      <c r="C180" s="34" t="s">
        <v>443</v>
      </c>
      <c r="D180" t="s">
        <v>279</v>
      </c>
      <c r="E180"/>
      <c r="F180"/>
      <c r="G180" s="48"/>
      <c r="H180" s="3"/>
      <c r="I180"/>
      <c r="M180"/>
      <c r="N180" s="32"/>
    </row>
    <row r="181" spans="1:14" s="15" customFormat="1">
      <c r="A181" s="52"/>
      <c r="B181" s="52"/>
      <c r="C181" s="34" t="s">
        <v>444</v>
      </c>
      <c r="D181" t="s">
        <v>279</v>
      </c>
      <c r="E181"/>
      <c r="F181"/>
      <c r="G181" s="48"/>
      <c r="H181" s="3"/>
      <c r="I181"/>
      <c r="M181"/>
      <c r="N181" s="32"/>
    </row>
    <row r="182" spans="1:14" s="15" customFormat="1">
      <c r="A182" s="52"/>
      <c r="B182" s="52"/>
      <c r="C182" s="34" t="s">
        <v>445</v>
      </c>
      <c r="D182" t="s">
        <v>279</v>
      </c>
      <c r="E182"/>
      <c r="F182"/>
      <c r="G182" s="48"/>
      <c r="H182" s="3"/>
      <c r="I182"/>
      <c r="M182"/>
      <c r="N182" s="32"/>
    </row>
    <row r="183" spans="1:14" s="15" customFormat="1">
      <c r="A183" s="52"/>
      <c r="B183" s="52"/>
      <c r="C183" s="34" t="s">
        <v>446</v>
      </c>
      <c r="D183" t="s">
        <v>279</v>
      </c>
      <c r="E183"/>
      <c r="F183"/>
      <c r="G183" s="48"/>
      <c r="H183" s="3"/>
      <c r="I183"/>
      <c r="M183"/>
      <c r="N183" s="32"/>
    </row>
    <row r="184" spans="1:14" s="15" customFormat="1">
      <c r="A184" s="52"/>
      <c r="B184" s="52"/>
      <c r="C184" s="34" t="s">
        <v>447</v>
      </c>
      <c r="D184" t="s">
        <v>279</v>
      </c>
      <c r="E184"/>
      <c r="F184"/>
      <c r="G184" s="48"/>
      <c r="H184" s="3"/>
      <c r="I184"/>
      <c r="M184"/>
      <c r="N184" s="32"/>
    </row>
    <row r="185" spans="1:14" s="15" customFormat="1">
      <c r="A185" s="52"/>
      <c r="B185" s="52"/>
      <c r="C185" s="34" t="s">
        <v>448</v>
      </c>
      <c r="D185" t="s">
        <v>279</v>
      </c>
      <c r="E185"/>
      <c r="F185"/>
      <c r="G185" s="48"/>
      <c r="H185" s="3"/>
      <c r="I185"/>
      <c r="M185"/>
      <c r="N185" s="32"/>
    </row>
    <row r="186" spans="1:14" s="15" customFormat="1">
      <c r="A186" s="52"/>
      <c r="B186" s="52"/>
      <c r="C186" s="34" t="s">
        <v>449</v>
      </c>
      <c r="D186" t="s">
        <v>279</v>
      </c>
      <c r="E186"/>
      <c r="F186"/>
      <c r="G186" s="48"/>
      <c r="H186" s="3"/>
      <c r="I186"/>
      <c r="M186"/>
      <c r="N186" s="32"/>
    </row>
    <row r="187" spans="1:14" s="15" customFormat="1">
      <c r="A187" s="52"/>
      <c r="B187" s="52"/>
      <c r="C187" s="34" t="s">
        <v>450</v>
      </c>
      <c r="D187" t="s">
        <v>279</v>
      </c>
      <c r="E187"/>
      <c r="F187"/>
      <c r="G187" s="48"/>
      <c r="H187" s="3"/>
      <c r="I187"/>
      <c r="M187"/>
      <c r="N187" s="32"/>
    </row>
    <row r="188" spans="1:14" s="15" customFormat="1">
      <c r="A188" s="52"/>
      <c r="B188" s="52"/>
      <c r="C188" s="34" t="s">
        <v>451</v>
      </c>
      <c r="D188" t="s">
        <v>279</v>
      </c>
      <c r="E188"/>
      <c r="F188"/>
      <c r="G188" s="48"/>
      <c r="H188" s="3"/>
      <c r="I188"/>
      <c r="M188"/>
      <c r="N188" s="32"/>
    </row>
    <row r="189" spans="1:14" s="15" customFormat="1">
      <c r="A189" s="52"/>
      <c r="B189" s="52"/>
      <c r="C189" s="34" t="s">
        <v>452</v>
      </c>
      <c r="D189" t="s">
        <v>279</v>
      </c>
      <c r="E189"/>
      <c r="F189"/>
      <c r="G189" s="48"/>
      <c r="H189" s="3"/>
      <c r="I189"/>
      <c r="M189"/>
      <c r="N189" s="32"/>
    </row>
    <row r="190" spans="1:14" s="15" customFormat="1">
      <c r="A190" s="52"/>
      <c r="B190" s="52"/>
      <c r="C190" s="34" t="s">
        <v>453</v>
      </c>
      <c r="D190" t="s">
        <v>279</v>
      </c>
      <c r="E190"/>
      <c r="F190"/>
      <c r="G190" s="48"/>
      <c r="H190" s="3"/>
      <c r="I190"/>
      <c r="M190"/>
      <c r="N190" s="32"/>
    </row>
    <row r="191" spans="1:14" s="15" customFormat="1">
      <c r="A191" s="52"/>
      <c r="B191" s="52"/>
      <c r="C191" s="34" t="s">
        <v>454</v>
      </c>
      <c r="D191" t="s">
        <v>279</v>
      </c>
      <c r="E191"/>
      <c r="F191"/>
      <c r="G191" s="48"/>
      <c r="H191" s="3"/>
      <c r="I191"/>
      <c r="M191"/>
      <c r="N191" s="32"/>
    </row>
    <row r="192" spans="1:14" s="15" customFormat="1">
      <c r="A192" s="52"/>
      <c r="B192" s="52"/>
      <c r="C192" s="34" t="s">
        <v>455</v>
      </c>
      <c r="D192" t="s">
        <v>279</v>
      </c>
      <c r="E192"/>
      <c r="F192"/>
      <c r="G192" s="48"/>
      <c r="H192" s="3"/>
      <c r="I192"/>
      <c r="M192"/>
      <c r="N192" s="32"/>
    </row>
    <row r="193" spans="1:14" s="15" customFormat="1">
      <c r="A193" s="52"/>
      <c r="B193" s="52"/>
      <c r="C193" s="34" t="s">
        <v>456</v>
      </c>
      <c r="D193" t="s">
        <v>279</v>
      </c>
      <c r="E193"/>
      <c r="F193"/>
      <c r="G193" s="48"/>
      <c r="H193" s="3"/>
      <c r="I193"/>
      <c r="M193"/>
      <c r="N193" s="32"/>
    </row>
    <row r="194" spans="1:14" s="15" customFormat="1">
      <c r="A194" s="52"/>
      <c r="B194" s="52"/>
      <c r="C194" s="34" t="s">
        <v>457</v>
      </c>
      <c r="D194" t="s">
        <v>279</v>
      </c>
      <c r="E194"/>
      <c r="F194"/>
      <c r="G194" s="48"/>
      <c r="H194" s="3"/>
      <c r="I194"/>
      <c r="M194"/>
      <c r="N194" s="32"/>
    </row>
    <row r="195" spans="1:14" s="15" customFormat="1">
      <c r="A195" s="52"/>
      <c r="B195" s="52"/>
      <c r="C195" s="34" t="s">
        <v>458</v>
      </c>
      <c r="D195" t="s">
        <v>279</v>
      </c>
      <c r="E195"/>
      <c r="F195"/>
      <c r="G195" s="48"/>
      <c r="H195" s="3"/>
      <c r="I195"/>
      <c r="M195"/>
      <c r="N195" s="32"/>
    </row>
    <row r="196" spans="1:14" s="15" customFormat="1">
      <c r="A196" s="52"/>
      <c r="B196" s="52"/>
      <c r="C196" s="34" t="s">
        <v>459</v>
      </c>
      <c r="D196" t="s">
        <v>279</v>
      </c>
      <c r="E196"/>
      <c r="F196"/>
      <c r="G196" s="48"/>
      <c r="H196" s="3"/>
      <c r="I196"/>
      <c r="M196"/>
      <c r="N196" s="32"/>
    </row>
    <row r="197" spans="1:14" s="15" customFormat="1">
      <c r="A197" s="52"/>
      <c r="B197" s="52"/>
      <c r="C197" s="34" t="s">
        <v>460</v>
      </c>
      <c r="D197" t="s">
        <v>279</v>
      </c>
      <c r="E197"/>
      <c r="F197"/>
      <c r="G197" s="48"/>
      <c r="H197" s="3"/>
      <c r="I197"/>
      <c r="M197"/>
      <c r="N197" s="32"/>
    </row>
    <row r="198" spans="1:14" s="15" customFormat="1">
      <c r="A198" s="52"/>
      <c r="B198" s="52"/>
      <c r="C198" s="34" t="s">
        <v>461</v>
      </c>
      <c r="D198" t="s">
        <v>279</v>
      </c>
      <c r="E198"/>
      <c r="F198"/>
      <c r="G198" s="48"/>
      <c r="H198" s="3"/>
      <c r="I198"/>
      <c r="M198"/>
      <c r="N198" s="32"/>
    </row>
    <row r="199" spans="1:14" s="15" customFormat="1">
      <c r="A199" s="52"/>
      <c r="B199" s="52"/>
      <c r="C199" s="34" t="s">
        <v>462</v>
      </c>
      <c r="D199" t="s">
        <v>279</v>
      </c>
      <c r="E199"/>
      <c r="F199"/>
      <c r="G199" s="48"/>
      <c r="H199" s="3"/>
      <c r="I199"/>
      <c r="M199"/>
      <c r="N199" s="32"/>
    </row>
    <row r="200" spans="1:14" s="15" customFormat="1">
      <c r="A200" s="52"/>
      <c r="B200" s="52"/>
      <c r="C200" s="34" t="s">
        <v>463</v>
      </c>
      <c r="D200" t="s">
        <v>279</v>
      </c>
      <c r="E200"/>
      <c r="F200"/>
      <c r="G200" s="48"/>
      <c r="H200" s="3"/>
      <c r="I200"/>
      <c r="M200"/>
      <c r="N200" s="32"/>
    </row>
    <row r="201" spans="1:14" s="15" customFormat="1">
      <c r="A201" s="52"/>
      <c r="B201" s="52"/>
      <c r="C201" s="34" t="s">
        <v>464</v>
      </c>
      <c r="D201" t="s">
        <v>279</v>
      </c>
      <c r="E201"/>
      <c r="F201"/>
      <c r="G201" s="48"/>
      <c r="H201" s="3"/>
      <c r="I201"/>
      <c r="M201"/>
      <c r="N201" s="32"/>
    </row>
    <row r="202" spans="1:14" s="15" customFormat="1">
      <c r="A202" s="52"/>
      <c r="B202" s="52"/>
      <c r="C202" s="34" t="s">
        <v>465</v>
      </c>
      <c r="D202" t="s">
        <v>279</v>
      </c>
      <c r="E202"/>
      <c r="F202"/>
      <c r="G202" s="48"/>
      <c r="H202" s="3"/>
      <c r="I202"/>
      <c r="M202"/>
      <c r="N202" s="32"/>
    </row>
    <row r="203" spans="1:14" s="15" customFormat="1">
      <c r="A203" s="52"/>
      <c r="B203" s="52"/>
      <c r="C203" s="34" t="s">
        <v>466</v>
      </c>
      <c r="D203" t="s">
        <v>279</v>
      </c>
      <c r="E203"/>
      <c r="F203"/>
      <c r="G203" s="48"/>
      <c r="H203" s="3"/>
      <c r="I203"/>
      <c r="M203"/>
      <c r="N203" s="32"/>
    </row>
    <row r="204" spans="1:14" s="15" customFormat="1">
      <c r="A204" s="52"/>
      <c r="B204" s="52"/>
      <c r="C204" s="34" t="s">
        <v>467</v>
      </c>
      <c r="D204" t="s">
        <v>279</v>
      </c>
      <c r="E204"/>
      <c r="F204"/>
      <c r="G204" s="48"/>
      <c r="H204" s="3"/>
      <c r="I204"/>
      <c r="M204"/>
      <c r="N204" s="32"/>
    </row>
    <row r="205" spans="1:14" s="15" customFormat="1">
      <c r="A205" s="52"/>
      <c r="B205" s="52"/>
      <c r="C205" s="34" t="s">
        <v>468</v>
      </c>
      <c r="D205" t="s">
        <v>279</v>
      </c>
      <c r="E205"/>
      <c r="F205"/>
      <c r="G205" s="48"/>
      <c r="H205" s="3"/>
      <c r="I205"/>
      <c r="M205"/>
      <c r="N205" s="32"/>
    </row>
    <row r="206" spans="1:14" s="15" customFormat="1">
      <c r="A206" s="52"/>
      <c r="B206" s="52"/>
      <c r="C206" s="34" t="s">
        <v>469</v>
      </c>
      <c r="D206" t="s">
        <v>279</v>
      </c>
      <c r="E206"/>
      <c r="F206"/>
      <c r="G206" s="48"/>
      <c r="H206" s="3"/>
      <c r="I206"/>
      <c r="M206"/>
      <c r="N206" s="32"/>
    </row>
    <row r="207" spans="1:14">
      <c r="A207" s="52"/>
      <c r="B207" s="52"/>
      <c r="C207" s="34" t="s">
        <v>470</v>
      </c>
      <c r="D207" t="s">
        <v>279</v>
      </c>
      <c r="F207"/>
      <c r="H207" s="3"/>
      <c r="I207"/>
      <c r="N207" s="32"/>
    </row>
    <row r="208" spans="1:14">
      <c r="A208" s="52"/>
      <c r="B208" s="52"/>
      <c r="C208" s="34" t="s">
        <v>471</v>
      </c>
      <c r="D208" t="s">
        <v>279</v>
      </c>
      <c r="F208"/>
      <c r="H208" s="3"/>
      <c r="I208"/>
      <c r="N208" s="32"/>
    </row>
    <row r="209" spans="1:14">
      <c r="A209" s="52"/>
      <c r="B209" s="52"/>
      <c r="C209" s="34" t="s">
        <v>472</v>
      </c>
      <c r="D209" t="s">
        <v>279</v>
      </c>
      <c r="F209"/>
      <c r="H209" s="3"/>
      <c r="I209"/>
      <c r="N209" s="32"/>
    </row>
    <row r="210" spans="1:14">
      <c r="A210" s="52"/>
      <c r="B210" s="52"/>
      <c r="C210" s="34" t="s">
        <v>473</v>
      </c>
      <c r="D210" t="s">
        <v>279</v>
      </c>
      <c r="F210"/>
      <c r="H210" s="3"/>
      <c r="I210"/>
      <c r="N210" s="32"/>
    </row>
    <row r="211" spans="1:14">
      <c r="A211" s="52"/>
      <c r="B211" s="52"/>
      <c r="C211" s="34" t="s">
        <v>474</v>
      </c>
      <c r="D211" t="s">
        <v>279</v>
      </c>
      <c r="F211"/>
      <c r="H211" s="3"/>
      <c r="I211"/>
      <c r="N211" s="32"/>
    </row>
    <row r="212" spans="1:14">
      <c r="A212" s="52"/>
      <c r="B212" s="52"/>
      <c r="C212" s="34" t="s">
        <v>475</v>
      </c>
      <c r="D212" t="s">
        <v>279</v>
      </c>
      <c r="F212"/>
      <c r="H212" s="3"/>
      <c r="I212"/>
      <c r="N212" s="32"/>
    </row>
    <row r="213" spans="1:14">
      <c r="A213" s="52"/>
      <c r="B213" s="52"/>
      <c r="C213" s="34" t="s">
        <v>476</v>
      </c>
      <c r="D213" t="s">
        <v>279</v>
      </c>
      <c r="F213"/>
      <c r="H213" s="3"/>
      <c r="I213"/>
      <c r="N213" s="32"/>
    </row>
    <row r="214" spans="1:14">
      <c r="A214" s="52"/>
      <c r="B214" s="52"/>
      <c r="C214" s="34" t="s">
        <v>477</v>
      </c>
      <c r="D214" t="s">
        <v>279</v>
      </c>
      <c r="F214"/>
      <c r="H214" s="3"/>
      <c r="I214"/>
      <c r="N214" s="32"/>
    </row>
    <row r="215" spans="1:14">
      <c r="A215" s="52"/>
      <c r="B215" s="52"/>
      <c r="C215" s="34" t="s">
        <v>478</v>
      </c>
      <c r="D215" t="s">
        <v>279</v>
      </c>
      <c r="F215"/>
      <c r="H215" s="3"/>
      <c r="I215"/>
      <c r="N215" s="32"/>
    </row>
    <row r="216" spans="1:14">
      <c r="A216" s="52"/>
      <c r="B216" s="52"/>
      <c r="C216" s="34" t="s">
        <v>479</v>
      </c>
      <c r="D216" t="s">
        <v>279</v>
      </c>
      <c r="F216"/>
      <c r="H216" s="3"/>
      <c r="I216"/>
      <c r="N216" s="32"/>
    </row>
    <row r="217" spans="1:14">
      <c r="A217" s="52"/>
      <c r="B217" s="52"/>
      <c r="C217" s="34" t="s">
        <v>480</v>
      </c>
      <c r="D217" t="s">
        <v>279</v>
      </c>
      <c r="F217"/>
      <c r="H217" s="3"/>
      <c r="I217"/>
      <c r="N217" s="32"/>
    </row>
    <row r="218" spans="1:14">
      <c r="A218" s="52"/>
      <c r="B218" s="52"/>
      <c r="C218" s="34" t="s">
        <v>481</v>
      </c>
      <c r="D218" t="s">
        <v>279</v>
      </c>
      <c r="F218"/>
      <c r="H218" s="3"/>
      <c r="I218"/>
      <c r="N218" s="32"/>
    </row>
    <row r="219" spans="1:14">
      <c r="A219" s="52"/>
      <c r="B219" s="52"/>
      <c r="C219" s="34" t="s">
        <v>482</v>
      </c>
      <c r="D219" t="s">
        <v>279</v>
      </c>
      <c r="F219"/>
      <c r="H219" s="3"/>
      <c r="I219"/>
      <c r="N219" s="32"/>
    </row>
    <row r="220" spans="1:14">
      <c r="A220" s="52"/>
      <c r="B220" s="52"/>
      <c r="C220" s="34" t="s">
        <v>483</v>
      </c>
      <c r="D220" t="s">
        <v>279</v>
      </c>
      <c r="F220"/>
      <c r="H220" s="3"/>
      <c r="I220"/>
      <c r="N220" s="32"/>
    </row>
    <row r="221" spans="1:14">
      <c r="A221" s="52"/>
      <c r="B221" s="52"/>
      <c r="C221" s="34" t="s">
        <v>484</v>
      </c>
      <c r="D221" t="s">
        <v>176</v>
      </c>
      <c r="F221">
        <v>1</v>
      </c>
      <c r="G221" s="48">
        <v>79.1875</v>
      </c>
      <c r="H221" s="3" t="s">
        <v>256</v>
      </c>
      <c r="I221" t="s">
        <v>178</v>
      </c>
      <c r="J221" s="15" t="s">
        <v>179</v>
      </c>
      <c r="K221" s="15" t="s">
        <v>180</v>
      </c>
      <c r="L221" s="15" t="s">
        <v>179</v>
      </c>
      <c r="N221" s="32"/>
    </row>
    <row r="222" spans="1:14">
      <c r="A222" s="52"/>
      <c r="B222" s="52"/>
      <c r="C222" s="34" t="s">
        <v>485</v>
      </c>
      <c r="D222" t="s">
        <v>203</v>
      </c>
      <c r="F222"/>
      <c r="H222" s="3" t="s">
        <v>256</v>
      </c>
      <c r="I222" t="s">
        <v>178</v>
      </c>
      <c r="K222" s="15" t="s">
        <v>180</v>
      </c>
      <c r="N222" s="32"/>
    </row>
    <row r="223" spans="1:14">
      <c r="A223" s="52"/>
      <c r="B223" s="52"/>
      <c r="C223" s="34" t="s">
        <v>486</v>
      </c>
      <c r="D223" t="s">
        <v>176</v>
      </c>
      <c r="F223">
        <v>1</v>
      </c>
      <c r="G223" s="48">
        <v>78.494699999999995</v>
      </c>
      <c r="H223" s="3">
        <v>0.85</v>
      </c>
      <c r="I223" t="s">
        <v>256</v>
      </c>
      <c r="J223" s="15" t="s">
        <v>179</v>
      </c>
      <c r="K223" s="15" t="s">
        <v>180</v>
      </c>
      <c r="L223" s="15" t="s">
        <v>179</v>
      </c>
      <c r="N223" s="32"/>
    </row>
    <row r="224" spans="1:14">
      <c r="A224" s="52"/>
      <c r="B224" s="52"/>
      <c r="C224" s="34" t="s">
        <v>487</v>
      </c>
      <c r="D224" t="s">
        <v>203</v>
      </c>
      <c r="F224"/>
      <c r="H224" s="3">
        <v>0.85</v>
      </c>
      <c r="I224" t="s">
        <v>256</v>
      </c>
      <c r="K224" s="15" t="s">
        <v>180</v>
      </c>
      <c r="N224" s="32"/>
    </row>
    <row r="225" spans="1:14">
      <c r="A225" s="51"/>
      <c r="B225" s="51"/>
      <c r="C225" s="35" t="s">
        <v>488</v>
      </c>
      <c r="D225" s="41" t="s">
        <v>193</v>
      </c>
      <c r="E225" s="41"/>
      <c r="F225" s="70">
        <v>1</v>
      </c>
      <c r="G225" s="71">
        <v>159.625</v>
      </c>
      <c r="H225" s="77">
        <v>0</v>
      </c>
      <c r="I225" s="41" t="s">
        <v>256</v>
      </c>
      <c r="J225" s="72"/>
      <c r="K225" s="72" t="s">
        <v>180</v>
      </c>
      <c r="L225" s="72"/>
      <c r="M225" s="41"/>
      <c r="N225" s="33"/>
    </row>
    <row r="226" spans="1:14">
      <c r="A226" s="50" t="s">
        <v>21</v>
      </c>
      <c r="B226" s="50" t="s">
        <v>21</v>
      </c>
      <c r="C226" s="13" t="s">
        <v>489</v>
      </c>
      <c r="D226" s="40" t="s">
        <v>286</v>
      </c>
      <c r="E226" s="40"/>
      <c r="F226" s="40"/>
      <c r="G226" s="68"/>
      <c r="H226" s="74" t="s">
        <v>490</v>
      </c>
      <c r="I226" s="40" t="s">
        <v>185</v>
      </c>
      <c r="J226" s="69"/>
      <c r="K226" s="69" t="s">
        <v>180</v>
      </c>
      <c r="L226" s="69"/>
      <c r="M226" s="40"/>
      <c r="N226" s="16"/>
    </row>
    <row r="227" spans="1:14">
      <c r="A227" s="52"/>
      <c r="B227" s="52"/>
      <c r="C227" s="34" t="s">
        <v>491</v>
      </c>
      <c r="D227" t="s">
        <v>176</v>
      </c>
      <c r="F227">
        <v>1</v>
      </c>
      <c r="G227" s="48">
        <v>73.101399999999998</v>
      </c>
      <c r="H227" s="3" t="s">
        <v>492</v>
      </c>
      <c r="I227" t="s">
        <v>178</v>
      </c>
      <c r="J227" s="15" t="s">
        <v>179</v>
      </c>
      <c r="K227" s="15" t="s">
        <v>180</v>
      </c>
      <c r="L227" s="15" t="s">
        <v>179</v>
      </c>
      <c r="N227" s="32"/>
    </row>
    <row r="228" spans="1:14">
      <c r="A228" s="52"/>
      <c r="B228" s="52"/>
      <c r="C228" s="34" t="s">
        <v>493</v>
      </c>
      <c r="D228" t="s">
        <v>203</v>
      </c>
      <c r="F228"/>
      <c r="H228" s="3" t="s">
        <v>492</v>
      </c>
      <c r="I228" t="s">
        <v>178</v>
      </c>
      <c r="K228" s="15" t="s">
        <v>180</v>
      </c>
      <c r="N228" s="32"/>
    </row>
    <row r="229" spans="1:14">
      <c r="A229" s="52"/>
      <c r="B229" s="52"/>
      <c r="C229" s="34" t="s">
        <v>494</v>
      </c>
      <c r="D229" t="s">
        <v>176</v>
      </c>
      <c r="F229">
        <v>1</v>
      </c>
      <c r="G229" s="48">
        <v>71.224900000000005</v>
      </c>
      <c r="H229" s="3" t="s">
        <v>495</v>
      </c>
      <c r="I229" t="s">
        <v>185</v>
      </c>
      <c r="J229" s="15" t="s">
        <v>179</v>
      </c>
      <c r="K229" s="15" t="s">
        <v>180</v>
      </c>
      <c r="L229" s="15" t="s">
        <v>179</v>
      </c>
      <c r="N229" s="32"/>
    </row>
    <row r="230" spans="1:14">
      <c r="A230" s="52"/>
      <c r="B230" s="52"/>
      <c r="C230" s="34" t="s">
        <v>496</v>
      </c>
      <c r="D230" t="s">
        <v>203</v>
      </c>
      <c r="F230"/>
      <c r="H230" s="3" t="s">
        <v>495</v>
      </c>
      <c r="I230" t="s">
        <v>185</v>
      </c>
      <c r="K230" s="15" t="s">
        <v>180</v>
      </c>
      <c r="N230" s="32"/>
    </row>
    <row r="231" spans="1:14">
      <c r="A231" s="52"/>
      <c r="B231" s="52"/>
      <c r="C231" s="34" t="s">
        <v>497</v>
      </c>
      <c r="D231" t="s">
        <v>176</v>
      </c>
      <c r="F231">
        <v>1</v>
      </c>
      <c r="G231" s="48">
        <v>72.438599999999994</v>
      </c>
      <c r="H231" s="3" t="s">
        <v>498</v>
      </c>
      <c r="I231" t="s">
        <v>267</v>
      </c>
      <c r="J231" s="15" t="s">
        <v>179</v>
      </c>
      <c r="K231" s="15" t="s">
        <v>180</v>
      </c>
      <c r="L231" s="15" t="s">
        <v>179</v>
      </c>
      <c r="N231" s="32"/>
    </row>
    <row r="232" spans="1:14">
      <c r="A232" s="52"/>
      <c r="B232" s="52"/>
      <c r="C232" s="34" t="s">
        <v>499</v>
      </c>
      <c r="D232" t="s">
        <v>203</v>
      </c>
      <c r="F232"/>
      <c r="H232" s="3" t="s">
        <v>498</v>
      </c>
      <c r="I232" t="s">
        <v>267</v>
      </c>
      <c r="K232" s="15" t="s">
        <v>180</v>
      </c>
      <c r="N232" s="32"/>
    </row>
    <row r="233" spans="1:14">
      <c r="A233" s="52"/>
      <c r="B233" s="52"/>
      <c r="C233" s="34" t="s">
        <v>500</v>
      </c>
      <c r="D233" t="s">
        <v>279</v>
      </c>
      <c r="F233"/>
      <c r="H233" s="3"/>
      <c r="I233"/>
      <c r="N233" s="32"/>
    </row>
    <row r="234" spans="1:14">
      <c r="A234" s="52"/>
      <c r="B234" s="52"/>
      <c r="C234" s="34" t="s">
        <v>501</v>
      </c>
      <c r="D234" t="s">
        <v>176</v>
      </c>
      <c r="F234">
        <v>1</v>
      </c>
      <c r="G234" s="48">
        <v>71.872900000000001</v>
      </c>
      <c r="H234" s="3" t="s">
        <v>498</v>
      </c>
      <c r="I234" t="s">
        <v>185</v>
      </c>
      <c r="J234" s="15" t="s">
        <v>179</v>
      </c>
      <c r="K234" s="15" t="s">
        <v>180</v>
      </c>
      <c r="L234" s="15" t="s">
        <v>179</v>
      </c>
      <c r="N234" s="32"/>
    </row>
    <row r="235" spans="1:14">
      <c r="A235" s="52"/>
      <c r="B235" s="52"/>
      <c r="C235" s="34" t="s">
        <v>502</v>
      </c>
      <c r="D235" t="s">
        <v>203</v>
      </c>
      <c r="F235"/>
      <c r="H235" s="3" t="s">
        <v>498</v>
      </c>
      <c r="I235" t="s">
        <v>185</v>
      </c>
      <c r="K235" s="15" t="s">
        <v>180</v>
      </c>
      <c r="N235" s="32"/>
    </row>
    <row r="236" spans="1:14">
      <c r="A236" s="51"/>
      <c r="B236" s="52"/>
      <c r="C236" s="34" t="s">
        <v>503</v>
      </c>
      <c r="D236" t="s">
        <v>279</v>
      </c>
      <c r="F236"/>
      <c r="H236" s="3"/>
      <c r="I236"/>
      <c r="N236" s="32"/>
    </row>
    <row r="237" spans="1:14">
      <c r="A237" s="39" t="s">
        <v>9</v>
      </c>
      <c r="B237" s="50" t="s">
        <v>14</v>
      </c>
      <c r="C237" s="40" t="s">
        <v>504</v>
      </c>
      <c r="D237" s="40" t="s">
        <v>193</v>
      </c>
      <c r="E237" s="40"/>
      <c r="F237" s="40">
        <v>1</v>
      </c>
      <c r="G237" s="68">
        <v>199.934</v>
      </c>
      <c r="H237" s="74">
        <v>0</v>
      </c>
      <c r="I237" s="40" t="s">
        <v>187</v>
      </c>
      <c r="J237" s="69"/>
      <c r="K237" s="69" t="s">
        <v>180</v>
      </c>
      <c r="L237" s="69"/>
      <c r="M237" s="40"/>
      <c r="N237" s="16"/>
    </row>
    <row r="238" spans="1:14">
      <c r="A238" s="39"/>
      <c r="B238" s="52"/>
      <c r="C238" t="s">
        <v>505</v>
      </c>
      <c r="D238"/>
      <c r="F238"/>
      <c r="H238" s="3"/>
      <c r="I238"/>
      <c r="N238" s="32"/>
    </row>
    <row r="239" spans="1:14">
      <c r="A239" s="39"/>
      <c r="B239" s="52"/>
      <c r="C239" t="s">
        <v>506</v>
      </c>
      <c r="D239"/>
      <c r="F239"/>
      <c r="H239" s="3"/>
      <c r="I239"/>
      <c r="N239" s="32"/>
    </row>
    <row r="240" spans="1:14">
      <c r="A240" s="39"/>
      <c r="B240" s="52"/>
      <c r="C240" t="s">
        <v>507</v>
      </c>
      <c r="D240" t="s">
        <v>193</v>
      </c>
      <c r="F240" s="1">
        <v>1</v>
      </c>
      <c r="G240" s="48">
        <v>92.910899999999998</v>
      </c>
      <c r="H240" s="3">
        <v>-0.1</v>
      </c>
      <c r="I240" t="s">
        <v>187</v>
      </c>
      <c r="K240" s="15" t="s">
        <v>180</v>
      </c>
      <c r="N240" s="32"/>
    </row>
    <row r="241" spans="1:14">
      <c r="A241" s="39"/>
      <c r="B241" s="52"/>
      <c r="C241" t="s">
        <v>508</v>
      </c>
      <c r="D241" t="s">
        <v>193</v>
      </c>
      <c r="F241" s="1">
        <v>1</v>
      </c>
      <c r="G241" s="48">
        <v>60.077300000000001</v>
      </c>
      <c r="H241" s="3" t="s">
        <v>187</v>
      </c>
      <c r="I241" t="s">
        <v>180</v>
      </c>
      <c r="K241" s="15" t="s">
        <v>180</v>
      </c>
      <c r="N241" s="32"/>
    </row>
    <row r="242" spans="1:14">
      <c r="A242" s="39"/>
      <c r="B242" s="52"/>
      <c r="C242" t="s">
        <v>509</v>
      </c>
      <c r="D242" t="s">
        <v>176</v>
      </c>
      <c r="F242" s="1">
        <v>4</v>
      </c>
      <c r="G242" s="48">
        <v>174.477</v>
      </c>
      <c r="H242" s="3" t="s">
        <v>510</v>
      </c>
      <c r="I242" t="s">
        <v>178</v>
      </c>
      <c r="J242" s="15" t="s">
        <v>179</v>
      </c>
      <c r="K242" s="15" t="s">
        <v>180</v>
      </c>
      <c r="L242" s="15" t="s">
        <v>179</v>
      </c>
      <c r="N242" s="32"/>
    </row>
    <row r="243" spans="1:14">
      <c r="A243" s="39"/>
      <c r="B243" s="52"/>
      <c r="C243" t="s">
        <v>213</v>
      </c>
      <c r="D243" t="s">
        <v>203</v>
      </c>
      <c r="F243"/>
      <c r="H243" s="3" t="s">
        <v>187</v>
      </c>
      <c r="I243" t="s">
        <v>178</v>
      </c>
      <c r="K243" s="15" t="s">
        <v>180</v>
      </c>
      <c r="N243" s="32"/>
    </row>
    <row r="244" spans="1:14">
      <c r="A244" s="39"/>
      <c r="B244" s="52"/>
      <c r="C244" t="s">
        <v>511</v>
      </c>
      <c r="D244" t="s">
        <v>203</v>
      </c>
      <c r="F244"/>
      <c r="H244" s="3" t="s">
        <v>512</v>
      </c>
      <c r="I244" t="s">
        <v>178</v>
      </c>
      <c r="K244" s="15" t="s">
        <v>180</v>
      </c>
      <c r="N244" s="32"/>
    </row>
    <row r="245" spans="1:14">
      <c r="A245" s="39"/>
      <c r="B245" s="52"/>
      <c r="C245" t="s">
        <v>513</v>
      </c>
      <c r="D245" t="s">
        <v>176</v>
      </c>
      <c r="F245" s="1">
        <v>2</v>
      </c>
      <c r="G245" s="48">
        <v>167.572</v>
      </c>
      <c r="H245" s="3" t="s">
        <v>514</v>
      </c>
      <c r="I245" t="s">
        <v>187</v>
      </c>
      <c r="J245" s="15" t="s">
        <v>179</v>
      </c>
      <c r="K245" s="15" t="s">
        <v>180</v>
      </c>
      <c r="L245" s="15" t="s">
        <v>179</v>
      </c>
      <c r="N245" s="32"/>
    </row>
    <row r="246" spans="1:14">
      <c r="A246" s="39"/>
      <c r="B246" s="52"/>
      <c r="C246" t="s">
        <v>515</v>
      </c>
      <c r="D246" t="s">
        <v>203</v>
      </c>
      <c r="F246"/>
      <c r="H246" s="3">
        <v>1.1000000000000001</v>
      </c>
      <c r="I246" t="s">
        <v>187</v>
      </c>
      <c r="K246" s="15" t="s">
        <v>180</v>
      </c>
      <c r="N246" s="32"/>
    </row>
    <row r="247" spans="1:14">
      <c r="A247" s="39"/>
      <c r="B247" s="52"/>
      <c r="C247" t="s">
        <v>516</v>
      </c>
      <c r="D247" t="s">
        <v>203</v>
      </c>
      <c r="F247"/>
      <c r="H247" s="3">
        <v>1</v>
      </c>
      <c r="I247" t="s">
        <v>187</v>
      </c>
      <c r="K247" s="15" t="s">
        <v>180</v>
      </c>
      <c r="N247" s="32"/>
    </row>
    <row r="248" spans="1:14">
      <c r="A248" s="39"/>
      <c r="B248" s="52"/>
      <c r="C248" t="s">
        <v>517</v>
      </c>
      <c r="D248" t="s">
        <v>176</v>
      </c>
      <c r="F248" s="1">
        <v>2</v>
      </c>
      <c r="G248" s="48">
        <v>169.511</v>
      </c>
      <c r="H248" s="3" t="s">
        <v>518</v>
      </c>
      <c r="I248" t="s">
        <v>187</v>
      </c>
      <c r="J248" s="15" t="s">
        <v>179</v>
      </c>
      <c r="K248" s="15" t="s">
        <v>180</v>
      </c>
      <c r="L248" s="15" t="s">
        <v>179</v>
      </c>
      <c r="N248" s="32"/>
    </row>
    <row r="249" spans="1:14">
      <c r="A249" s="39"/>
      <c r="B249" s="52"/>
      <c r="C249" t="s">
        <v>519</v>
      </c>
      <c r="D249" t="s">
        <v>203</v>
      </c>
      <c r="F249"/>
      <c r="H249" s="3">
        <v>0.65</v>
      </c>
      <c r="I249" t="s">
        <v>187</v>
      </c>
      <c r="K249" s="15" t="s">
        <v>180</v>
      </c>
      <c r="N249" s="32"/>
    </row>
    <row r="250" spans="1:14">
      <c r="A250" s="39"/>
      <c r="B250" s="52"/>
      <c r="C250" t="s">
        <v>520</v>
      </c>
      <c r="D250" t="s">
        <v>203</v>
      </c>
      <c r="F250"/>
      <c r="H250" s="3">
        <v>0.55000000000000004</v>
      </c>
      <c r="I250" t="s">
        <v>187</v>
      </c>
      <c r="K250" s="15" t="s">
        <v>180</v>
      </c>
      <c r="N250" s="32"/>
    </row>
    <row r="251" spans="1:14">
      <c r="A251" s="39"/>
      <c r="B251" s="52"/>
      <c r="C251" t="s">
        <v>521</v>
      </c>
      <c r="D251" t="s">
        <v>176</v>
      </c>
      <c r="F251" s="1">
        <v>2</v>
      </c>
      <c r="G251" s="48">
        <v>167.82900000000001</v>
      </c>
      <c r="H251" s="3" t="s">
        <v>514</v>
      </c>
      <c r="I251" t="s">
        <v>185</v>
      </c>
      <c r="J251" s="15" t="s">
        <v>179</v>
      </c>
      <c r="K251" s="15" t="s">
        <v>180</v>
      </c>
      <c r="L251" s="15" t="s">
        <v>179</v>
      </c>
      <c r="N251" s="32"/>
    </row>
    <row r="252" spans="1:14">
      <c r="A252" s="39"/>
      <c r="B252" s="52"/>
      <c r="C252" t="s">
        <v>522</v>
      </c>
      <c r="D252" t="s">
        <v>203</v>
      </c>
      <c r="F252"/>
      <c r="H252" s="3">
        <v>1.1000000000000001</v>
      </c>
      <c r="I252" t="s">
        <v>185</v>
      </c>
      <c r="K252" s="15" t="s">
        <v>180</v>
      </c>
      <c r="N252" s="32"/>
    </row>
    <row r="253" spans="1:14">
      <c r="A253" s="39"/>
      <c r="B253" s="52"/>
      <c r="C253" t="s">
        <v>523</v>
      </c>
      <c r="D253" t="s">
        <v>203</v>
      </c>
      <c r="F253"/>
      <c r="H253" s="3">
        <v>1</v>
      </c>
      <c r="I253" t="s">
        <v>185</v>
      </c>
      <c r="K253" s="15" t="s">
        <v>180</v>
      </c>
      <c r="N253" s="32"/>
    </row>
    <row r="254" spans="1:14">
      <c r="A254" s="39"/>
      <c r="B254" s="52"/>
      <c r="C254" t="s">
        <v>524</v>
      </c>
      <c r="D254" t="s">
        <v>279</v>
      </c>
      <c r="F254"/>
      <c r="H254" s="3"/>
      <c r="I254"/>
      <c r="N254" s="32"/>
    </row>
    <row r="255" spans="1:14">
      <c r="A255" s="39"/>
      <c r="B255" s="52"/>
      <c r="C255" t="s">
        <v>525</v>
      </c>
      <c r="D255" t="s">
        <v>279</v>
      </c>
      <c r="F255"/>
      <c r="H255" s="3"/>
      <c r="I255"/>
      <c r="N255" s="32"/>
    </row>
    <row r="256" spans="1:14">
      <c r="A256" s="39"/>
      <c r="B256" s="52"/>
      <c r="C256" t="s">
        <v>526</v>
      </c>
      <c r="D256" t="s">
        <v>176</v>
      </c>
      <c r="F256">
        <f>1.05/0.01+1</f>
        <v>106</v>
      </c>
      <c r="G256" s="48">
        <v>4134.37</v>
      </c>
      <c r="H256" s="3" t="s">
        <v>490</v>
      </c>
      <c r="I256" t="s">
        <v>187</v>
      </c>
      <c r="J256" s="15" t="s">
        <v>179</v>
      </c>
      <c r="K256" s="15" t="s">
        <v>180</v>
      </c>
      <c r="L256" s="15" t="s">
        <v>179</v>
      </c>
      <c r="N256" s="32"/>
    </row>
    <row r="257" spans="1:14">
      <c r="A257" s="39"/>
      <c r="B257" s="52"/>
      <c r="C257" t="s">
        <v>527</v>
      </c>
      <c r="D257" t="s">
        <v>286</v>
      </c>
      <c r="F257"/>
      <c r="H257" s="3"/>
      <c r="I257"/>
      <c r="N257" s="32"/>
    </row>
    <row r="258" spans="1:14">
      <c r="A258" s="39"/>
      <c r="B258" s="52"/>
      <c r="C258" t="s">
        <v>528</v>
      </c>
      <c r="D258" t="s">
        <v>286</v>
      </c>
      <c r="F258"/>
      <c r="H258" s="3" t="s">
        <v>490</v>
      </c>
      <c r="I258" t="s">
        <v>187</v>
      </c>
      <c r="K258" s="15" t="s">
        <v>180</v>
      </c>
      <c r="N258" s="32"/>
    </row>
    <row r="259" spans="1:14">
      <c r="A259" s="39"/>
      <c r="B259" s="52"/>
      <c r="C259" t="s">
        <v>529</v>
      </c>
      <c r="D259" t="s">
        <v>286</v>
      </c>
      <c r="F259"/>
      <c r="H259" s="3" t="s">
        <v>490</v>
      </c>
      <c r="I259" t="s">
        <v>187</v>
      </c>
      <c r="K259" s="15" t="s">
        <v>180</v>
      </c>
      <c r="N259" s="32"/>
    </row>
    <row r="260" spans="1:14">
      <c r="A260" s="39"/>
      <c r="B260" s="52"/>
      <c r="C260" t="s">
        <v>530</v>
      </c>
      <c r="D260" t="s">
        <v>279</v>
      </c>
      <c r="F260"/>
      <c r="H260" s="3"/>
      <c r="I260"/>
      <c r="N260" s="32"/>
    </row>
    <row r="261" spans="1:14">
      <c r="A261" s="39"/>
      <c r="B261" s="52"/>
      <c r="C261" t="s">
        <v>531</v>
      </c>
      <c r="D261" t="s">
        <v>279</v>
      </c>
      <c r="F261"/>
      <c r="H261" s="3"/>
      <c r="I261"/>
      <c r="N261" s="32"/>
    </row>
    <row r="262" spans="1:14">
      <c r="A262" s="39"/>
      <c r="B262" s="52"/>
      <c r="C262" t="s">
        <v>532</v>
      </c>
      <c r="D262" t="s">
        <v>279</v>
      </c>
      <c r="F262"/>
      <c r="H262" s="3"/>
      <c r="I262"/>
      <c r="N262" s="32"/>
    </row>
    <row r="263" spans="1:14">
      <c r="A263" s="39"/>
      <c r="B263" s="52"/>
      <c r="C263" t="s">
        <v>533</v>
      </c>
      <c r="D263" t="s">
        <v>176</v>
      </c>
      <c r="F263" s="1">
        <v>2</v>
      </c>
      <c r="G263" s="48">
        <v>103.395</v>
      </c>
      <c r="H263" s="3" t="s">
        <v>534</v>
      </c>
      <c r="I263" t="s">
        <v>187</v>
      </c>
      <c r="J263" s="15" t="s">
        <v>179</v>
      </c>
      <c r="K263" s="15" t="s">
        <v>180</v>
      </c>
      <c r="L263" s="15" t="s">
        <v>179</v>
      </c>
      <c r="N263" s="32"/>
    </row>
    <row r="264" spans="1:14">
      <c r="A264" s="39"/>
      <c r="B264" s="52"/>
      <c r="C264" t="s">
        <v>535</v>
      </c>
      <c r="D264" t="s">
        <v>176</v>
      </c>
      <c r="F264" s="1">
        <v>2</v>
      </c>
      <c r="G264" s="48">
        <v>105.57</v>
      </c>
      <c r="H264" s="3" t="s">
        <v>536</v>
      </c>
      <c r="I264" t="s">
        <v>187</v>
      </c>
      <c r="J264" s="15" t="s">
        <v>179</v>
      </c>
      <c r="K264" s="15" t="s">
        <v>180</v>
      </c>
      <c r="L264" s="15" t="s">
        <v>179</v>
      </c>
      <c r="N264" s="32"/>
    </row>
    <row r="265" spans="1:14">
      <c r="A265" s="39"/>
      <c r="B265" s="52"/>
      <c r="C265" t="s">
        <v>537</v>
      </c>
      <c r="D265" t="s">
        <v>203</v>
      </c>
      <c r="F265"/>
      <c r="H265" s="3" t="s">
        <v>538</v>
      </c>
      <c r="I265" t="s">
        <v>187</v>
      </c>
      <c r="K265" s="15" t="s">
        <v>180</v>
      </c>
      <c r="N265" s="32"/>
    </row>
    <row r="266" spans="1:14">
      <c r="A266" s="39"/>
      <c r="B266" s="52"/>
      <c r="C266" t="s">
        <v>539</v>
      </c>
      <c r="D266" t="s">
        <v>203</v>
      </c>
      <c r="F266"/>
      <c r="H266" s="3" t="s">
        <v>540</v>
      </c>
      <c r="I266" t="s">
        <v>187</v>
      </c>
      <c r="K266" s="15" t="s">
        <v>180</v>
      </c>
      <c r="N266" s="32"/>
    </row>
    <row r="267" spans="1:14">
      <c r="A267" s="39"/>
      <c r="B267" s="52"/>
      <c r="C267" t="s">
        <v>541</v>
      </c>
      <c r="D267" t="s">
        <v>203</v>
      </c>
      <c r="F267"/>
      <c r="H267" s="3" t="s">
        <v>542</v>
      </c>
      <c r="I267" t="s">
        <v>187</v>
      </c>
      <c r="K267" s="15" t="s">
        <v>180</v>
      </c>
      <c r="N267" s="32"/>
    </row>
    <row r="268" spans="1:14">
      <c r="A268" s="39"/>
      <c r="B268" s="52"/>
      <c r="C268" t="s">
        <v>543</v>
      </c>
      <c r="D268" t="s">
        <v>203</v>
      </c>
      <c r="F268"/>
      <c r="H268" s="3" t="s">
        <v>544</v>
      </c>
      <c r="I268" t="s">
        <v>187</v>
      </c>
      <c r="K268" s="15" t="s">
        <v>180</v>
      </c>
      <c r="N268" s="32"/>
    </row>
    <row r="269" spans="1:14">
      <c r="A269" s="39"/>
      <c r="B269" s="52"/>
      <c r="C269" t="s">
        <v>545</v>
      </c>
      <c r="D269" t="s">
        <v>219</v>
      </c>
      <c r="F269"/>
      <c r="H269" s="3" t="s">
        <v>490</v>
      </c>
      <c r="I269" t="s">
        <v>187</v>
      </c>
      <c r="K269" s="15" t="s">
        <v>180</v>
      </c>
      <c r="N269" s="32"/>
    </row>
    <row r="270" spans="1:14">
      <c r="A270" s="39"/>
      <c r="B270" s="52"/>
      <c r="C270" t="s">
        <v>546</v>
      </c>
      <c r="D270"/>
      <c r="F270"/>
      <c r="H270" s="3"/>
      <c r="I270"/>
      <c r="N270" s="32"/>
    </row>
    <row r="271" spans="1:14">
      <c r="A271" s="39"/>
      <c r="B271" s="51"/>
      <c r="C271" s="41" t="s">
        <v>547</v>
      </c>
      <c r="D271" s="41" t="s">
        <v>203</v>
      </c>
      <c r="E271" s="41"/>
      <c r="F271" s="41"/>
      <c r="G271" s="71"/>
      <c r="H271" s="77"/>
      <c r="I271" s="41"/>
      <c r="J271" s="72"/>
      <c r="K271" s="72"/>
      <c r="L271" s="72"/>
      <c r="M271" s="41"/>
      <c r="N271" s="33"/>
    </row>
    <row r="272" spans="1:14">
      <c r="A272" s="50" t="s">
        <v>22</v>
      </c>
      <c r="B272" s="50" t="s">
        <v>22</v>
      </c>
      <c r="C272" s="13" t="s">
        <v>548</v>
      </c>
      <c r="D272" s="40" t="s">
        <v>176</v>
      </c>
      <c r="E272" s="40"/>
      <c r="F272" s="40">
        <v>1</v>
      </c>
      <c r="G272" s="68">
        <v>73.277100000000004</v>
      </c>
      <c r="H272" s="74" t="s">
        <v>549</v>
      </c>
      <c r="I272" s="40" t="s">
        <v>178</v>
      </c>
      <c r="J272" s="69" t="s">
        <v>179</v>
      </c>
      <c r="K272" s="69" t="s">
        <v>180</v>
      </c>
      <c r="L272" s="69" t="s">
        <v>179</v>
      </c>
      <c r="M272" s="40"/>
      <c r="N272" s="16"/>
    </row>
    <row r="273" spans="1:14">
      <c r="A273" s="52"/>
      <c r="B273" s="52"/>
      <c r="C273" s="34" t="s">
        <v>550</v>
      </c>
      <c r="D273" t="s">
        <v>203</v>
      </c>
      <c r="F273"/>
      <c r="H273" s="3" t="s">
        <v>549</v>
      </c>
      <c r="I273" t="s">
        <v>178</v>
      </c>
      <c r="K273" s="15" t="s">
        <v>180</v>
      </c>
      <c r="N273" s="32"/>
    </row>
    <row r="274" spans="1:14">
      <c r="A274" s="52"/>
      <c r="B274" s="52"/>
      <c r="C274" s="34" t="s">
        <v>551</v>
      </c>
      <c r="D274" t="s">
        <v>176</v>
      </c>
      <c r="F274">
        <v>1</v>
      </c>
      <c r="G274" s="48">
        <v>71.831599999999995</v>
      </c>
      <c r="H274" s="3" t="s">
        <v>498</v>
      </c>
      <c r="I274" t="s">
        <v>187</v>
      </c>
      <c r="J274" s="15" t="s">
        <v>179</v>
      </c>
      <c r="K274" s="15" t="s">
        <v>180</v>
      </c>
      <c r="L274" s="15" t="s">
        <v>179</v>
      </c>
      <c r="N274" s="32"/>
    </row>
    <row r="275" spans="1:14">
      <c r="A275" s="52"/>
      <c r="B275" s="52"/>
      <c r="C275" s="34" t="s">
        <v>552</v>
      </c>
      <c r="D275" t="s">
        <v>203</v>
      </c>
      <c r="F275"/>
      <c r="H275" s="3" t="s">
        <v>498</v>
      </c>
      <c r="I275" t="s">
        <v>187</v>
      </c>
      <c r="K275" s="15" t="s">
        <v>180</v>
      </c>
      <c r="N275" s="32"/>
    </row>
    <row r="276" spans="1:14">
      <c r="A276" s="52"/>
      <c r="B276" s="52"/>
      <c r="C276" s="34" t="s">
        <v>553</v>
      </c>
      <c r="D276" t="s">
        <v>176</v>
      </c>
      <c r="F276">
        <v>1</v>
      </c>
      <c r="G276" s="48">
        <v>71.896799999999999</v>
      </c>
      <c r="H276" s="3" t="s">
        <v>554</v>
      </c>
      <c r="I276" t="s">
        <v>185</v>
      </c>
      <c r="J276" s="15" t="s">
        <v>179</v>
      </c>
      <c r="K276" s="15" t="s">
        <v>180</v>
      </c>
      <c r="L276" s="15" t="s">
        <v>179</v>
      </c>
      <c r="N276" s="32"/>
    </row>
    <row r="277" spans="1:14">
      <c r="A277" s="52"/>
      <c r="B277" s="52"/>
      <c r="C277" s="34" t="s">
        <v>555</v>
      </c>
      <c r="D277" t="s">
        <v>203</v>
      </c>
      <c r="F277"/>
      <c r="H277" s="3" t="s">
        <v>554</v>
      </c>
      <c r="I277" t="s">
        <v>185</v>
      </c>
      <c r="K277" s="15" t="s">
        <v>180</v>
      </c>
      <c r="N277" s="32"/>
    </row>
    <row r="278" spans="1:14">
      <c r="A278" s="52"/>
      <c r="B278" s="52"/>
      <c r="C278" s="34" t="s">
        <v>556</v>
      </c>
      <c r="D278" t="s">
        <v>279</v>
      </c>
      <c r="F278"/>
      <c r="H278" s="3"/>
      <c r="I278"/>
      <c r="N278" s="32"/>
    </row>
    <row r="279" spans="1:14">
      <c r="A279" s="52"/>
      <c r="B279" s="52"/>
      <c r="C279" s="34" t="s">
        <v>557</v>
      </c>
      <c r="D279" t="s">
        <v>176</v>
      </c>
      <c r="F279">
        <v>1</v>
      </c>
      <c r="G279" s="48">
        <v>71.729200000000006</v>
      </c>
      <c r="H279" s="3" t="s">
        <v>554</v>
      </c>
      <c r="I279" t="s">
        <v>187</v>
      </c>
      <c r="J279" s="15" t="s">
        <v>179</v>
      </c>
      <c r="K279" s="15" t="s">
        <v>180</v>
      </c>
      <c r="L279" s="15" t="s">
        <v>179</v>
      </c>
      <c r="N279" s="32"/>
    </row>
    <row r="280" spans="1:14">
      <c r="A280" s="51"/>
      <c r="B280" s="51"/>
      <c r="C280" s="35" t="s">
        <v>558</v>
      </c>
      <c r="D280" s="41" t="s">
        <v>203</v>
      </c>
      <c r="E280" s="41"/>
      <c r="F280" s="41"/>
      <c r="G280" s="71"/>
      <c r="H280" s="77" t="s">
        <v>554</v>
      </c>
      <c r="I280" s="41" t="s">
        <v>187</v>
      </c>
      <c r="J280" s="72"/>
      <c r="K280" s="72" t="s">
        <v>180</v>
      </c>
      <c r="L280" s="72"/>
      <c r="M280" s="41"/>
      <c r="N280" s="33"/>
    </row>
    <row r="282" spans="1:14">
      <c r="A282" s="73"/>
      <c r="B282" s="50" t="s">
        <v>559</v>
      </c>
      <c r="C282" s="40" t="s">
        <v>504</v>
      </c>
      <c r="D282" s="40" t="s">
        <v>193</v>
      </c>
      <c r="E282" s="40"/>
      <c r="F282" s="40">
        <v>1</v>
      </c>
      <c r="G282" s="68">
        <v>199.934</v>
      </c>
      <c r="H282" s="74">
        <v>0</v>
      </c>
      <c r="I282" s="40" t="s">
        <v>187</v>
      </c>
      <c r="J282" s="69"/>
      <c r="K282" s="69" t="s">
        <v>180</v>
      </c>
      <c r="L282" s="69"/>
      <c r="M282" s="40"/>
      <c r="N282" s="16"/>
    </row>
    <row r="283" spans="1:14">
      <c r="A283" s="39"/>
      <c r="B283" s="52"/>
      <c r="C283" t="s">
        <v>505</v>
      </c>
      <c r="D283"/>
      <c r="F283"/>
      <c r="H283" s="3"/>
      <c r="I283"/>
      <c r="N283" s="32"/>
    </row>
    <row r="284" spans="1:14">
      <c r="A284" s="39"/>
      <c r="B284" s="52"/>
      <c r="C284" t="s">
        <v>506</v>
      </c>
      <c r="D284"/>
      <c r="F284"/>
      <c r="H284" s="3"/>
      <c r="I284"/>
      <c r="N284" s="32"/>
    </row>
    <row r="285" spans="1:14">
      <c r="A285" s="39"/>
      <c r="B285" s="52"/>
      <c r="C285" t="s">
        <v>507</v>
      </c>
      <c r="D285" t="s">
        <v>193</v>
      </c>
      <c r="F285" s="1">
        <v>1</v>
      </c>
      <c r="G285" s="48">
        <v>92.910899999999998</v>
      </c>
      <c r="H285" s="3">
        <v>-0.1</v>
      </c>
      <c r="I285" t="s">
        <v>187</v>
      </c>
      <c r="K285" s="15" t="s">
        <v>180</v>
      </c>
      <c r="N285" s="32"/>
    </row>
    <row r="286" spans="1:14">
      <c r="A286" s="39"/>
      <c r="B286" s="52"/>
      <c r="C286" t="s">
        <v>508</v>
      </c>
      <c r="D286" t="s">
        <v>193</v>
      </c>
      <c r="F286" s="1">
        <v>1</v>
      </c>
      <c r="G286" s="48">
        <v>60.077300000000001</v>
      </c>
      <c r="H286" s="3" t="s">
        <v>187</v>
      </c>
      <c r="I286" t="s">
        <v>180</v>
      </c>
      <c r="K286" s="15" t="s">
        <v>180</v>
      </c>
      <c r="N286" s="32"/>
    </row>
    <row r="287" spans="1:14">
      <c r="A287" s="39"/>
      <c r="B287" s="52"/>
      <c r="C287" t="s">
        <v>509</v>
      </c>
      <c r="D287" t="s">
        <v>176</v>
      </c>
      <c r="F287" s="1">
        <v>4</v>
      </c>
      <c r="G287" s="48">
        <v>174.477</v>
      </c>
      <c r="H287" s="3" t="s">
        <v>510</v>
      </c>
      <c r="I287" t="s">
        <v>178</v>
      </c>
      <c r="J287" s="15" t="s">
        <v>179</v>
      </c>
      <c r="K287" s="15" t="s">
        <v>180</v>
      </c>
      <c r="L287" s="15" t="s">
        <v>179</v>
      </c>
      <c r="N287" s="32"/>
    </row>
    <row r="288" spans="1:14">
      <c r="A288" s="39"/>
      <c r="B288" s="52"/>
      <c r="C288" t="s">
        <v>213</v>
      </c>
      <c r="D288" t="s">
        <v>203</v>
      </c>
      <c r="F288"/>
      <c r="H288" s="3" t="s">
        <v>187</v>
      </c>
      <c r="I288" t="s">
        <v>178</v>
      </c>
      <c r="K288" s="15" t="s">
        <v>180</v>
      </c>
      <c r="N288" s="32"/>
    </row>
    <row r="289" spans="1:14">
      <c r="A289" s="39"/>
      <c r="B289" s="52"/>
      <c r="C289" t="s">
        <v>511</v>
      </c>
      <c r="D289" t="s">
        <v>203</v>
      </c>
      <c r="F289"/>
      <c r="H289" s="3" t="s">
        <v>512</v>
      </c>
      <c r="I289" t="s">
        <v>178</v>
      </c>
      <c r="K289" s="15" t="s">
        <v>180</v>
      </c>
      <c r="N289" s="32"/>
    </row>
    <row r="290" spans="1:14">
      <c r="A290" s="39"/>
      <c r="B290" s="52"/>
      <c r="C290" t="s">
        <v>513</v>
      </c>
      <c r="D290" t="s">
        <v>176</v>
      </c>
      <c r="F290" s="1">
        <v>2</v>
      </c>
      <c r="G290" s="48">
        <v>167.572</v>
      </c>
      <c r="H290" s="3" t="s">
        <v>514</v>
      </c>
      <c r="I290" t="s">
        <v>187</v>
      </c>
      <c r="J290" s="15" t="s">
        <v>179</v>
      </c>
      <c r="K290" s="15" t="s">
        <v>180</v>
      </c>
      <c r="L290" s="15" t="s">
        <v>179</v>
      </c>
      <c r="N290" s="32"/>
    </row>
    <row r="291" spans="1:14">
      <c r="A291" s="39"/>
      <c r="B291" s="52"/>
      <c r="C291" t="s">
        <v>515</v>
      </c>
      <c r="D291" t="s">
        <v>203</v>
      </c>
      <c r="F291"/>
      <c r="H291" s="3">
        <v>1.1000000000000001</v>
      </c>
      <c r="I291" t="s">
        <v>187</v>
      </c>
      <c r="K291" s="15" t="s">
        <v>180</v>
      </c>
      <c r="N291" s="32"/>
    </row>
    <row r="292" spans="1:14">
      <c r="A292" s="39"/>
      <c r="B292" s="52"/>
      <c r="C292" t="s">
        <v>516</v>
      </c>
      <c r="D292" t="s">
        <v>203</v>
      </c>
      <c r="F292"/>
      <c r="H292" s="3">
        <v>1</v>
      </c>
      <c r="I292" t="s">
        <v>187</v>
      </c>
      <c r="K292" s="15" t="s">
        <v>180</v>
      </c>
      <c r="N292" s="32"/>
    </row>
    <row r="293" spans="1:14">
      <c r="A293" s="39"/>
      <c r="B293" s="52"/>
      <c r="C293" t="s">
        <v>517</v>
      </c>
      <c r="D293" t="s">
        <v>176</v>
      </c>
      <c r="F293" s="1">
        <v>2</v>
      </c>
      <c r="G293" s="48">
        <v>169.511</v>
      </c>
      <c r="H293" s="3" t="s">
        <v>518</v>
      </c>
      <c r="I293" t="s">
        <v>187</v>
      </c>
      <c r="J293" s="15" t="s">
        <v>179</v>
      </c>
      <c r="K293" s="15" t="s">
        <v>180</v>
      </c>
      <c r="L293" s="15" t="s">
        <v>179</v>
      </c>
      <c r="N293" s="32"/>
    </row>
    <row r="294" spans="1:14">
      <c r="A294" s="39"/>
      <c r="B294" s="52"/>
      <c r="C294" t="s">
        <v>519</v>
      </c>
      <c r="D294" t="s">
        <v>203</v>
      </c>
      <c r="F294"/>
      <c r="H294" s="3">
        <v>0.65</v>
      </c>
      <c r="I294" t="s">
        <v>187</v>
      </c>
      <c r="K294" s="15" t="s">
        <v>180</v>
      </c>
      <c r="N294" s="32"/>
    </row>
    <row r="295" spans="1:14">
      <c r="A295" s="39"/>
      <c r="B295" s="52"/>
      <c r="C295" t="s">
        <v>520</v>
      </c>
      <c r="D295" t="s">
        <v>203</v>
      </c>
      <c r="F295"/>
      <c r="H295" s="3">
        <v>0.55000000000000004</v>
      </c>
      <c r="I295" t="s">
        <v>187</v>
      </c>
      <c r="K295" s="15" t="s">
        <v>180</v>
      </c>
      <c r="N295" s="32"/>
    </row>
    <row r="296" spans="1:14">
      <c r="A296" s="39"/>
      <c r="B296" s="52"/>
      <c r="C296" t="s">
        <v>521</v>
      </c>
      <c r="D296" t="s">
        <v>176</v>
      </c>
      <c r="F296" s="1">
        <v>2</v>
      </c>
      <c r="G296" s="48">
        <v>167.82900000000001</v>
      </c>
      <c r="H296" s="3" t="s">
        <v>514</v>
      </c>
      <c r="I296" t="s">
        <v>185</v>
      </c>
      <c r="J296" s="15" t="s">
        <v>179</v>
      </c>
      <c r="K296" s="15" t="s">
        <v>180</v>
      </c>
      <c r="L296" s="15" t="s">
        <v>179</v>
      </c>
      <c r="N296" s="32"/>
    </row>
    <row r="297" spans="1:14">
      <c r="A297" s="39"/>
      <c r="B297" s="52"/>
      <c r="C297" t="s">
        <v>522</v>
      </c>
      <c r="D297" t="s">
        <v>203</v>
      </c>
      <c r="F297"/>
      <c r="H297" s="3">
        <v>1.1000000000000001</v>
      </c>
      <c r="I297" t="s">
        <v>185</v>
      </c>
      <c r="K297" s="15" t="s">
        <v>180</v>
      </c>
      <c r="N297" s="32"/>
    </row>
    <row r="298" spans="1:14">
      <c r="A298" s="39"/>
      <c r="B298" s="52"/>
      <c r="C298" t="s">
        <v>523</v>
      </c>
      <c r="D298" t="s">
        <v>203</v>
      </c>
      <c r="F298"/>
      <c r="H298" s="3">
        <v>1</v>
      </c>
      <c r="I298" t="s">
        <v>185</v>
      </c>
      <c r="K298" s="15" t="s">
        <v>180</v>
      </c>
      <c r="N298" s="32"/>
    </row>
    <row r="299" spans="1:14">
      <c r="A299" s="39"/>
      <c r="B299" s="52"/>
      <c r="C299" t="s">
        <v>524</v>
      </c>
      <c r="D299" t="s">
        <v>279</v>
      </c>
      <c r="F299"/>
      <c r="H299" s="3"/>
      <c r="I299"/>
      <c r="N299" s="32"/>
    </row>
    <row r="300" spans="1:14">
      <c r="A300" s="39"/>
      <c r="B300" s="52"/>
      <c r="C300" t="s">
        <v>525</v>
      </c>
      <c r="D300" t="s">
        <v>279</v>
      </c>
      <c r="F300"/>
      <c r="H300" s="3"/>
      <c r="I300"/>
      <c r="N300" s="32"/>
    </row>
    <row r="301" spans="1:14">
      <c r="A301" s="39"/>
      <c r="B301" s="52"/>
      <c r="C301" t="s">
        <v>560</v>
      </c>
      <c r="D301" t="s">
        <v>176</v>
      </c>
      <c r="F301">
        <f>0.3/0.05+1</f>
        <v>6.9999999999999991</v>
      </c>
      <c r="G301" s="48">
        <v>4134.37</v>
      </c>
      <c r="H301" s="3" t="s">
        <v>561</v>
      </c>
      <c r="I301" t="s">
        <v>187</v>
      </c>
      <c r="J301" s="15" t="s">
        <v>179</v>
      </c>
      <c r="K301" s="15" t="s">
        <v>180</v>
      </c>
      <c r="L301" s="15" t="s">
        <v>179</v>
      </c>
      <c r="N301" s="32"/>
    </row>
    <row r="302" spans="1:14">
      <c r="A302" s="39"/>
      <c r="B302" s="52"/>
      <c r="C302" t="s">
        <v>527</v>
      </c>
      <c r="D302" t="s">
        <v>286</v>
      </c>
      <c r="F302"/>
      <c r="H302" s="3" t="s">
        <v>561</v>
      </c>
      <c r="I302" t="s">
        <v>187</v>
      </c>
      <c r="K302" s="15" t="s">
        <v>180</v>
      </c>
      <c r="N302" s="32"/>
    </row>
    <row r="303" spans="1:14">
      <c r="A303" s="95"/>
      <c r="B303" s="51"/>
      <c r="C303" t="s">
        <v>530</v>
      </c>
      <c r="D303" t="s">
        <v>279</v>
      </c>
      <c r="F303"/>
      <c r="H303" s="3"/>
      <c r="I303"/>
      <c r="N303" s="32"/>
    </row>
  </sheetData>
  <autoFilter ref="A1:N284" xr:uid="{AE5A445C-7D30-4958-80ED-2DF7BAC7F85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11"/>
  <sheetViews>
    <sheetView zoomScale="85" zoomScaleNormal="85" workbookViewId="0">
      <pane ySplit="1" topLeftCell="A2" activePane="bottomLeft" state="frozen"/>
      <selection pane="bottomLeft" activeCell="D311" sqref="D311"/>
    </sheetView>
  </sheetViews>
  <sheetFormatPr defaultRowHeight="14.45"/>
  <cols>
    <col min="1" max="1" width="16.140625" bestFit="1" customWidth="1"/>
    <col min="2" max="2" width="24.140625" bestFit="1" customWidth="1"/>
    <col min="3" max="3" width="43.5703125" style="3" bestFit="1" customWidth="1"/>
    <col min="4" max="4" width="16.85546875" style="3" bestFit="1" customWidth="1"/>
    <col min="5" max="5" width="11.85546875" bestFit="1" customWidth="1"/>
    <col min="6" max="6" width="16.85546875" style="3" customWidth="1"/>
    <col min="7" max="7" width="11.140625" style="48" bestFit="1" customWidth="1"/>
    <col min="8" max="8" width="51.85546875" style="15" customWidth="1"/>
    <col min="9" max="9" width="15.28515625" style="15" bestFit="1" customWidth="1"/>
    <col min="10" max="10" width="8.7109375" style="15" customWidth="1"/>
    <col min="11" max="11" width="14.7109375" style="15" customWidth="1"/>
    <col min="12" max="12" width="15.42578125" style="15" customWidth="1"/>
    <col min="14" max="14" width="11.140625" bestFit="1" customWidth="1"/>
  </cols>
  <sheetData>
    <row r="1" spans="1:14">
      <c r="A1" s="22" t="s">
        <v>168</v>
      </c>
      <c r="B1" s="20" t="s">
        <v>0</v>
      </c>
      <c r="C1" s="20" t="s">
        <v>169</v>
      </c>
      <c r="D1" s="26" t="s">
        <v>170</v>
      </c>
      <c r="E1" s="4" t="s">
        <v>171</v>
      </c>
      <c r="F1" s="26" t="s">
        <v>172</v>
      </c>
      <c r="G1" s="49" t="s">
        <v>173</v>
      </c>
      <c r="H1" s="19" t="s">
        <v>157</v>
      </c>
      <c r="I1" s="19" t="s">
        <v>5</v>
      </c>
      <c r="J1" s="19" t="s">
        <v>6</v>
      </c>
      <c r="K1" s="19" t="s">
        <v>7</v>
      </c>
      <c r="L1" s="19" t="s">
        <v>8</v>
      </c>
      <c r="N1" s="36" t="s">
        <v>174</v>
      </c>
    </row>
    <row r="2" spans="1:14">
      <c r="A2" s="50" t="s">
        <v>9</v>
      </c>
      <c r="B2" s="50" t="s">
        <v>23</v>
      </c>
      <c r="C2" s="13" t="s">
        <v>175</v>
      </c>
      <c r="D2" s="1" t="s">
        <v>176</v>
      </c>
      <c r="E2">
        <v>1</v>
      </c>
      <c r="F2" s="1">
        <f>(1/0.05)+1</f>
        <v>21</v>
      </c>
      <c r="G2" s="48">
        <v>1547.91</v>
      </c>
      <c r="H2" s="15" t="s">
        <v>177</v>
      </c>
      <c r="I2" s="15" t="s">
        <v>178</v>
      </c>
      <c r="J2" s="15" t="s">
        <v>179</v>
      </c>
      <c r="K2" s="15" t="s">
        <v>180</v>
      </c>
      <c r="L2" s="15" t="s">
        <v>179</v>
      </c>
    </row>
    <row r="3" spans="1:14">
      <c r="A3" s="52"/>
      <c r="B3" s="52"/>
      <c r="C3" s="34" t="s">
        <v>181</v>
      </c>
      <c r="D3" s="1" t="s">
        <v>176</v>
      </c>
      <c r="E3">
        <v>2</v>
      </c>
      <c r="F3" s="1">
        <f>1/0.1+1</f>
        <v>11</v>
      </c>
      <c r="G3" s="48">
        <v>921.77099999999996</v>
      </c>
      <c r="H3" s="15" t="s">
        <v>182</v>
      </c>
      <c r="I3" s="15" t="s">
        <v>183</v>
      </c>
      <c r="J3" s="15" t="s">
        <v>179</v>
      </c>
      <c r="K3" s="15" t="s">
        <v>180</v>
      </c>
      <c r="L3" s="15" t="s">
        <v>179</v>
      </c>
    </row>
    <row r="4" spans="1:14">
      <c r="A4" s="52"/>
      <c r="B4" s="52"/>
      <c r="C4" s="34" t="s">
        <v>184</v>
      </c>
      <c r="D4" s="1" t="s">
        <v>176</v>
      </c>
      <c r="E4">
        <v>3</v>
      </c>
      <c r="F4" s="1">
        <f>1/0.1+1</f>
        <v>11</v>
      </c>
      <c r="G4" s="48">
        <v>982.66600000000005</v>
      </c>
      <c r="H4" s="15" t="s">
        <v>182</v>
      </c>
      <c r="I4" s="15" t="s">
        <v>185</v>
      </c>
      <c r="J4" s="15" t="s">
        <v>179</v>
      </c>
      <c r="K4" s="15" t="s">
        <v>180</v>
      </c>
      <c r="L4" s="15" t="s">
        <v>179</v>
      </c>
    </row>
    <row r="5" spans="1:14">
      <c r="A5" s="52"/>
      <c r="B5" s="51"/>
      <c r="C5" s="35" t="s">
        <v>186</v>
      </c>
      <c r="D5" s="1" t="s">
        <v>176</v>
      </c>
      <c r="E5">
        <v>4</v>
      </c>
      <c r="F5" s="1">
        <f>1/0.1+1</f>
        <v>11</v>
      </c>
      <c r="G5" s="48">
        <v>1086.02</v>
      </c>
      <c r="H5" s="15" t="s">
        <v>182</v>
      </c>
      <c r="I5" s="15" t="s">
        <v>187</v>
      </c>
      <c r="J5" s="15" t="s">
        <v>179</v>
      </c>
      <c r="K5" s="15" t="s">
        <v>180</v>
      </c>
      <c r="L5" s="15" t="s">
        <v>179</v>
      </c>
    </row>
    <row r="6" spans="1:14">
      <c r="A6" s="52"/>
      <c r="B6" s="50" t="s">
        <v>10</v>
      </c>
      <c r="C6" s="32" t="s">
        <v>192</v>
      </c>
      <c r="D6" t="s">
        <v>193</v>
      </c>
      <c r="E6">
        <v>6</v>
      </c>
      <c r="F6">
        <v>1</v>
      </c>
      <c r="G6" s="48">
        <v>41.522300000000001</v>
      </c>
      <c r="I6" s="15" t="s">
        <v>185</v>
      </c>
      <c r="J6" s="15" t="s">
        <v>180</v>
      </c>
    </row>
    <row r="7" spans="1:14">
      <c r="A7" s="52"/>
      <c r="B7" s="52"/>
      <c r="C7" s="32" t="s">
        <v>194</v>
      </c>
      <c r="D7" t="s">
        <v>193</v>
      </c>
      <c r="E7">
        <v>8</v>
      </c>
      <c r="F7">
        <v>1</v>
      </c>
      <c r="G7" s="48">
        <v>41.316299999999998</v>
      </c>
      <c r="K7" s="15" t="s">
        <v>185</v>
      </c>
      <c r="L7" s="15" t="s">
        <v>180</v>
      </c>
    </row>
    <row r="8" spans="1:14">
      <c r="A8" s="52"/>
      <c r="B8" s="52"/>
      <c r="C8" s="32" t="s">
        <v>195</v>
      </c>
      <c r="D8" t="s">
        <v>193</v>
      </c>
      <c r="E8">
        <v>10</v>
      </c>
      <c r="F8">
        <v>1</v>
      </c>
      <c r="G8" s="48">
        <v>54.264800000000001</v>
      </c>
      <c r="H8" s="15" t="s">
        <v>187</v>
      </c>
      <c r="K8" s="15" t="s">
        <v>180</v>
      </c>
    </row>
    <row r="9" spans="1:14">
      <c r="A9" s="52"/>
      <c r="B9" s="52"/>
      <c r="C9" s="32" t="s">
        <v>196</v>
      </c>
      <c r="D9" t="s">
        <v>193</v>
      </c>
      <c r="E9">
        <v>13</v>
      </c>
      <c r="F9">
        <v>1</v>
      </c>
      <c r="G9" s="48">
        <v>55.015099999999997</v>
      </c>
      <c r="H9" s="15" t="s">
        <v>187</v>
      </c>
      <c r="I9" s="15" t="s">
        <v>180</v>
      </c>
    </row>
    <row r="10" spans="1:14">
      <c r="A10" s="52"/>
      <c r="B10" s="52"/>
      <c r="C10" s="32" t="s">
        <v>197</v>
      </c>
      <c r="D10" t="s">
        <v>193</v>
      </c>
      <c r="E10">
        <v>16</v>
      </c>
      <c r="F10">
        <v>1</v>
      </c>
      <c r="G10" s="48">
        <v>57.929400000000001</v>
      </c>
      <c r="H10" s="15" t="s">
        <v>180</v>
      </c>
      <c r="I10" s="15" t="s">
        <v>187</v>
      </c>
      <c r="K10" s="15" t="s">
        <v>180</v>
      </c>
    </row>
    <row r="11" spans="1:14">
      <c r="A11" s="52"/>
      <c r="B11" s="52"/>
      <c r="C11" s="32" t="s">
        <v>198</v>
      </c>
      <c r="D11" t="s">
        <v>193</v>
      </c>
      <c r="E11">
        <v>39</v>
      </c>
      <c r="F11">
        <v>1</v>
      </c>
      <c r="G11" s="48">
        <v>50.990299999999998</v>
      </c>
      <c r="I11" s="15" t="s">
        <v>187</v>
      </c>
      <c r="K11" s="15" t="s">
        <v>180</v>
      </c>
    </row>
    <row r="12" spans="1:14">
      <c r="A12" s="52"/>
      <c r="B12" s="51"/>
      <c r="C12" s="33" t="s">
        <v>199</v>
      </c>
      <c r="D12" t="s">
        <v>200</v>
      </c>
      <c r="F12"/>
    </row>
    <row r="13" spans="1:14">
      <c r="A13" s="52"/>
      <c r="B13" s="50" t="s">
        <v>166</v>
      </c>
      <c r="C13" s="13" t="s">
        <v>201</v>
      </c>
      <c r="D13" s="1" t="s">
        <v>176</v>
      </c>
      <c r="E13">
        <v>43</v>
      </c>
      <c r="F13" s="1">
        <v>1</v>
      </c>
      <c r="G13" s="48">
        <v>103.48699999999999</v>
      </c>
      <c r="H13" s="15" t="s">
        <v>187</v>
      </c>
      <c r="I13" s="15" t="s">
        <v>180</v>
      </c>
      <c r="J13" s="15" t="s">
        <v>179</v>
      </c>
      <c r="K13" s="15" t="s">
        <v>180</v>
      </c>
      <c r="L13" s="15" t="s">
        <v>179</v>
      </c>
    </row>
    <row r="14" spans="1:14">
      <c r="A14" s="52"/>
      <c r="B14" s="52"/>
      <c r="C14" s="34" t="s">
        <v>202</v>
      </c>
      <c r="D14" s="1" t="s">
        <v>203</v>
      </c>
      <c r="F14" s="1"/>
      <c r="H14" s="15" t="s">
        <v>187</v>
      </c>
      <c r="I14" s="15" t="s">
        <v>180</v>
      </c>
      <c r="K14" s="15" t="s">
        <v>180</v>
      </c>
    </row>
    <row r="15" spans="1:14">
      <c r="A15" s="52"/>
      <c r="B15" s="52"/>
      <c r="C15" s="34" t="s">
        <v>204</v>
      </c>
      <c r="D15" s="1" t="s">
        <v>176</v>
      </c>
      <c r="E15">
        <v>46</v>
      </c>
      <c r="F15" s="1">
        <v>1</v>
      </c>
      <c r="G15" s="48">
        <v>92.689899999999994</v>
      </c>
      <c r="H15" s="15" t="s">
        <v>187</v>
      </c>
      <c r="I15" s="15" t="s">
        <v>205</v>
      </c>
      <c r="J15" s="15" t="s">
        <v>179</v>
      </c>
      <c r="K15" s="15" t="s">
        <v>180</v>
      </c>
      <c r="L15" s="15" t="s">
        <v>179</v>
      </c>
    </row>
    <row r="16" spans="1:14">
      <c r="A16" s="52"/>
      <c r="B16" s="52"/>
      <c r="C16" s="34" t="s">
        <v>206</v>
      </c>
      <c r="D16" s="1" t="s">
        <v>203</v>
      </c>
      <c r="F16" s="1"/>
      <c r="H16" s="15" t="s">
        <v>187</v>
      </c>
      <c r="I16" s="15" t="s">
        <v>205</v>
      </c>
      <c r="K16" s="15" t="s">
        <v>180</v>
      </c>
    </row>
    <row r="17" spans="1:12">
      <c r="A17" s="52"/>
      <c r="B17" s="52"/>
      <c r="C17" s="34" t="s">
        <v>207</v>
      </c>
      <c r="D17" s="1" t="s">
        <v>176</v>
      </c>
      <c r="E17">
        <v>49</v>
      </c>
      <c r="F17" s="1">
        <v>1</v>
      </c>
      <c r="G17" s="48">
        <v>98.132099999999994</v>
      </c>
      <c r="H17" s="15" t="s">
        <v>187</v>
      </c>
      <c r="I17" s="15" t="s">
        <v>183</v>
      </c>
      <c r="J17" s="15" t="s">
        <v>179</v>
      </c>
      <c r="K17" s="15" t="s">
        <v>180</v>
      </c>
      <c r="L17" s="15" t="s">
        <v>179</v>
      </c>
    </row>
    <row r="18" spans="1:12">
      <c r="A18" s="52"/>
      <c r="B18" s="52"/>
      <c r="C18" s="34" t="s">
        <v>208</v>
      </c>
      <c r="D18" s="1" t="s">
        <v>203</v>
      </c>
      <c r="F18" s="1"/>
      <c r="H18" s="15" t="s">
        <v>187</v>
      </c>
      <c r="I18" s="15" t="s">
        <v>183</v>
      </c>
      <c r="K18" s="15" t="s">
        <v>180</v>
      </c>
    </row>
    <row r="19" spans="1:12">
      <c r="A19" s="52"/>
      <c r="B19" s="52"/>
      <c r="C19" s="34" t="s">
        <v>209</v>
      </c>
      <c r="D19" s="1" t="s">
        <v>176</v>
      </c>
      <c r="E19">
        <v>52</v>
      </c>
      <c r="F19" s="1">
        <v>1</v>
      </c>
      <c r="G19" s="48">
        <v>100.773</v>
      </c>
      <c r="H19" s="15" t="s">
        <v>187</v>
      </c>
      <c r="I19" s="15" t="s">
        <v>210</v>
      </c>
      <c r="J19" s="15" t="s">
        <v>179</v>
      </c>
      <c r="K19" s="15" t="s">
        <v>180</v>
      </c>
      <c r="L19" s="15" t="s">
        <v>179</v>
      </c>
    </row>
    <row r="20" spans="1:12">
      <c r="A20" s="52"/>
      <c r="B20" s="52"/>
      <c r="C20" s="34" t="s">
        <v>211</v>
      </c>
      <c r="D20" s="1" t="s">
        <v>203</v>
      </c>
      <c r="F20" s="1"/>
      <c r="H20" s="15" t="s">
        <v>187</v>
      </c>
      <c r="I20" s="15" t="s">
        <v>210</v>
      </c>
      <c r="K20" s="15" t="s">
        <v>180</v>
      </c>
    </row>
    <row r="21" spans="1:12">
      <c r="A21" s="52"/>
      <c r="B21" s="52"/>
      <c r="C21" s="34" t="s">
        <v>212</v>
      </c>
      <c r="D21" s="1" t="s">
        <v>176</v>
      </c>
      <c r="E21">
        <v>55</v>
      </c>
      <c r="F21" s="1">
        <v>1</v>
      </c>
      <c r="G21" s="48">
        <v>75.372</v>
      </c>
      <c r="H21" s="15" t="s">
        <v>187</v>
      </c>
      <c r="I21" s="15" t="s">
        <v>178</v>
      </c>
      <c r="J21" s="15" t="s">
        <v>179</v>
      </c>
      <c r="K21" s="15" t="s">
        <v>180</v>
      </c>
      <c r="L21" s="15" t="s">
        <v>179</v>
      </c>
    </row>
    <row r="22" spans="1:12">
      <c r="A22" s="52"/>
      <c r="B22" s="52"/>
      <c r="C22" s="34" t="s">
        <v>213</v>
      </c>
      <c r="D22" s="1" t="s">
        <v>203</v>
      </c>
      <c r="F22" s="1"/>
      <c r="H22" s="15" t="s">
        <v>187</v>
      </c>
      <c r="I22" s="15" t="s">
        <v>178</v>
      </c>
      <c r="K22" s="15" t="s">
        <v>180</v>
      </c>
    </row>
    <row r="23" spans="1:12">
      <c r="A23" s="52"/>
      <c r="B23" s="52"/>
      <c r="C23" s="34" t="s">
        <v>214</v>
      </c>
      <c r="D23" s="1" t="s">
        <v>176</v>
      </c>
      <c r="E23">
        <v>58</v>
      </c>
      <c r="F23" s="1">
        <v>1</v>
      </c>
      <c r="G23" s="48">
        <v>85.988699999999994</v>
      </c>
      <c r="H23" s="15" t="s">
        <v>187</v>
      </c>
      <c r="I23" s="15" t="s">
        <v>180</v>
      </c>
      <c r="J23" s="15" t="s">
        <v>179</v>
      </c>
      <c r="K23" s="15" t="s">
        <v>180</v>
      </c>
      <c r="L23" s="15" t="s">
        <v>179</v>
      </c>
    </row>
    <row r="24" spans="1:12">
      <c r="A24" s="52"/>
      <c r="B24" s="52"/>
      <c r="C24" s="34" t="s">
        <v>215</v>
      </c>
      <c r="D24" s="1" t="s">
        <v>203</v>
      </c>
      <c r="F24" s="1"/>
      <c r="H24" s="15" t="s">
        <v>187</v>
      </c>
      <c r="I24" s="15" t="s">
        <v>180</v>
      </c>
      <c r="K24" s="15" t="s">
        <v>180</v>
      </c>
    </row>
    <row r="25" spans="1:12">
      <c r="A25" s="52"/>
      <c r="B25" s="52"/>
      <c r="C25" s="34" t="s">
        <v>216</v>
      </c>
      <c r="D25" s="1" t="s">
        <v>176</v>
      </c>
      <c r="E25">
        <v>61</v>
      </c>
      <c r="F25" s="1">
        <v>1</v>
      </c>
      <c r="G25" s="48">
        <v>4728.33</v>
      </c>
      <c r="H25" s="15" t="s">
        <v>217</v>
      </c>
      <c r="I25" s="15" t="s">
        <v>178</v>
      </c>
      <c r="J25" s="15" t="s">
        <v>179</v>
      </c>
      <c r="K25" s="15" t="s">
        <v>180</v>
      </c>
      <c r="L25" s="15" t="s">
        <v>179</v>
      </c>
    </row>
    <row r="26" spans="1:12">
      <c r="A26" s="52"/>
      <c r="B26" s="52"/>
      <c r="C26" s="34" t="s">
        <v>218</v>
      </c>
      <c r="D26" s="1" t="s">
        <v>219</v>
      </c>
      <c r="F26" s="1"/>
      <c r="K26" s="15" t="s">
        <v>180</v>
      </c>
    </row>
    <row r="27" spans="1:12">
      <c r="A27" s="52"/>
      <c r="B27" s="52"/>
      <c r="C27" s="34" t="s">
        <v>220</v>
      </c>
      <c r="D27" s="1"/>
      <c r="F27" s="1"/>
    </row>
    <row r="28" spans="1:12">
      <c r="A28" s="52"/>
      <c r="B28" s="52"/>
      <c r="C28" s="34" t="s">
        <v>221</v>
      </c>
      <c r="D28" s="1" t="s">
        <v>203</v>
      </c>
      <c r="F28" s="1"/>
      <c r="H28" s="15" t="s">
        <v>220</v>
      </c>
      <c r="I28" s="15" t="s">
        <v>178</v>
      </c>
      <c r="K28" s="15" t="s">
        <v>180</v>
      </c>
    </row>
    <row r="29" spans="1:12">
      <c r="A29" s="52"/>
      <c r="B29" s="52"/>
      <c r="C29" s="34" t="s">
        <v>222</v>
      </c>
      <c r="D29" s="1" t="s">
        <v>203</v>
      </c>
      <c r="F29" s="1"/>
      <c r="H29" s="15" t="s">
        <v>220</v>
      </c>
      <c r="I29" s="15" t="s">
        <v>178</v>
      </c>
      <c r="K29" s="15" t="s">
        <v>180</v>
      </c>
    </row>
    <row r="30" spans="1:12">
      <c r="A30" s="52"/>
      <c r="B30" s="52"/>
      <c r="C30" s="34" t="s">
        <v>562</v>
      </c>
      <c r="D30" s="1" t="s">
        <v>193</v>
      </c>
      <c r="E30">
        <v>67</v>
      </c>
      <c r="F30" s="1">
        <v>1</v>
      </c>
      <c r="G30" s="48">
        <v>96.494500000000002</v>
      </c>
      <c r="H30" s="15" t="s">
        <v>220</v>
      </c>
      <c r="I30" s="15" t="s">
        <v>178</v>
      </c>
      <c r="K30" s="15" t="s">
        <v>180</v>
      </c>
    </row>
    <row r="31" spans="1:12">
      <c r="A31" s="52"/>
      <c r="B31" s="51"/>
      <c r="C31" s="35" t="s">
        <v>223</v>
      </c>
      <c r="D31" s="1" t="s">
        <v>200</v>
      </c>
      <c r="F31" s="1"/>
    </row>
    <row r="32" spans="1:12">
      <c r="A32" s="52"/>
      <c r="B32" s="50" t="s">
        <v>167</v>
      </c>
      <c r="C32" s="13" t="s">
        <v>190</v>
      </c>
      <c r="D32" t="s">
        <v>191</v>
      </c>
      <c r="F32"/>
      <c r="H32" s="3" t="s">
        <v>177</v>
      </c>
      <c r="I32" t="s">
        <v>178</v>
      </c>
      <c r="K32" s="15" t="s">
        <v>180</v>
      </c>
    </row>
    <row r="33" spans="1:12">
      <c r="A33" s="52"/>
      <c r="B33" s="52"/>
      <c r="C33" s="34" t="s">
        <v>563</v>
      </c>
      <c r="D33"/>
      <c r="F33"/>
      <c r="H33" s="3"/>
      <c r="I33" t="s">
        <v>178</v>
      </c>
      <c r="K33" s="15" t="s">
        <v>180</v>
      </c>
    </row>
    <row r="34" spans="1:12">
      <c r="A34" s="52"/>
      <c r="B34" s="52"/>
      <c r="C34" s="34" t="s">
        <v>564</v>
      </c>
      <c r="D34"/>
      <c r="F34"/>
      <c r="H34" s="3" t="s">
        <v>563</v>
      </c>
      <c r="I34" t="s">
        <v>178</v>
      </c>
      <c r="K34" s="15" t="s">
        <v>180</v>
      </c>
    </row>
    <row r="35" spans="1:12">
      <c r="A35" s="52"/>
      <c r="B35" s="52"/>
      <c r="C35" s="34" t="s">
        <v>224</v>
      </c>
      <c r="D35" t="s">
        <v>176</v>
      </c>
      <c r="E35">
        <v>95</v>
      </c>
      <c r="F35" s="1">
        <v>1</v>
      </c>
      <c r="G35" s="48">
        <v>75.7684</v>
      </c>
      <c r="H35" s="3" t="s">
        <v>225</v>
      </c>
      <c r="I35" t="s">
        <v>178</v>
      </c>
      <c r="J35" s="15" t="s">
        <v>179</v>
      </c>
      <c r="K35" s="15" t="s">
        <v>180</v>
      </c>
      <c r="L35" s="15" t="s">
        <v>179</v>
      </c>
    </row>
    <row r="36" spans="1:12">
      <c r="A36" s="52"/>
      <c r="B36" s="52"/>
      <c r="C36" s="34" t="s">
        <v>226</v>
      </c>
      <c r="D36" t="s">
        <v>203</v>
      </c>
      <c r="F36"/>
      <c r="H36" s="3" t="s">
        <v>225</v>
      </c>
      <c r="I36" t="s">
        <v>178</v>
      </c>
      <c r="K36" s="15" t="s">
        <v>180</v>
      </c>
    </row>
    <row r="37" spans="1:12">
      <c r="A37" s="52"/>
      <c r="B37" s="52"/>
      <c r="C37" s="34" t="s">
        <v>230</v>
      </c>
      <c r="D37" t="s">
        <v>176</v>
      </c>
      <c r="E37">
        <v>100</v>
      </c>
      <c r="F37" s="1">
        <v>1</v>
      </c>
      <c r="G37" s="48">
        <v>4208.09</v>
      </c>
      <c r="H37" s="3" t="s">
        <v>217</v>
      </c>
      <c r="I37" t="s">
        <v>185</v>
      </c>
      <c r="J37" s="15" t="s">
        <v>179</v>
      </c>
      <c r="K37" s="15" t="s">
        <v>180</v>
      </c>
      <c r="L37" s="15" t="s">
        <v>179</v>
      </c>
    </row>
    <row r="38" spans="1:12">
      <c r="A38" s="52"/>
      <c r="B38" s="52"/>
      <c r="C38" s="34" t="s">
        <v>231</v>
      </c>
      <c r="D38" t="s">
        <v>219</v>
      </c>
      <c r="F38"/>
      <c r="H38" s="3" t="s">
        <v>217</v>
      </c>
      <c r="I38" t="s">
        <v>185</v>
      </c>
      <c r="K38" s="15" t="s">
        <v>180</v>
      </c>
    </row>
    <row r="39" spans="1:12">
      <c r="A39" s="52"/>
      <c r="B39" s="52"/>
      <c r="C39" s="34" t="s">
        <v>233</v>
      </c>
      <c r="D39"/>
      <c r="F39"/>
      <c r="H39" s="3"/>
      <c r="I39"/>
    </row>
    <row r="40" spans="1:12">
      <c r="A40" s="52"/>
      <c r="B40" s="52"/>
      <c r="C40" s="34" t="s">
        <v>235</v>
      </c>
      <c r="D40" t="s">
        <v>203</v>
      </c>
      <c r="F40"/>
      <c r="H40" s="3" t="s">
        <v>233</v>
      </c>
      <c r="I40" t="s">
        <v>185</v>
      </c>
      <c r="K40" s="15" t="s">
        <v>180</v>
      </c>
    </row>
    <row r="41" spans="1:12">
      <c r="A41" s="52"/>
      <c r="B41" s="51"/>
      <c r="C41" s="35" t="s">
        <v>237</v>
      </c>
      <c r="D41" t="s">
        <v>200</v>
      </c>
      <c r="F41"/>
      <c r="H41" s="3"/>
      <c r="I41"/>
    </row>
    <row r="42" spans="1:12">
      <c r="A42" s="52"/>
      <c r="B42" s="50" t="s">
        <v>13</v>
      </c>
      <c r="C42" s="13" t="s">
        <v>239</v>
      </c>
      <c r="D42" s="40" t="s">
        <v>193</v>
      </c>
      <c r="E42">
        <v>125</v>
      </c>
      <c r="F42" s="40">
        <v>1</v>
      </c>
      <c r="G42" s="48">
        <v>200.27799999999999</v>
      </c>
      <c r="H42" s="42" t="s">
        <v>180</v>
      </c>
      <c r="I42" s="40" t="s">
        <v>185</v>
      </c>
    </row>
    <row r="43" spans="1:12">
      <c r="A43" s="52"/>
      <c r="B43" s="52"/>
      <c r="C43" s="34" t="s">
        <v>241</v>
      </c>
      <c r="D43"/>
      <c r="F43"/>
      <c r="H43" s="43"/>
      <c r="I43"/>
    </row>
    <row r="44" spans="1:12">
      <c r="A44" s="52"/>
      <c r="B44" s="52"/>
      <c r="C44" s="35" t="s">
        <v>242</v>
      </c>
      <c r="D44" s="41"/>
      <c r="F44" s="41"/>
      <c r="H44" s="44"/>
      <c r="I44" s="41"/>
    </row>
    <row r="45" spans="1:12">
      <c r="A45" s="52"/>
      <c r="B45" s="52"/>
      <c r="C45" s="34" t="s">
        <v>243</v>
      </c>
      <c r="D45" t="s">
        <v>193</v>
      </c>
      <c r="E45">
        <v>132</v>
      </c>
      <c r="F45" s="1">
        <v>1</v>
      </c>
      <c r="G45" s="48">
        <v>53.270200000000003</v>
      </c>
      <c r="H45" s="3" t="s">
        <v>244</v>
      </c>
      <c r="I45" t="s">
        <v>185</v>
      </c>
    </row>
    <row r="46" spans="1:12">
      <c r="A46" s="52"/>
      <c r="B46" s="52"/>
      <c r="C46" s="34" t="s">
        <v>245</v>
      </c>
      <c r="D46" t="s">
        <v>193</v>
      </c>
      <c r="E46">
        <v>135</v>
      </c>
      <c r="F46" s="1">
        <v>1</v>
      </c>
      <c r="G46" s="48">
        <v>50.950600000000001</v>
      </c>
      <c r="H46" s="3" t="s">
        <v>246</v>
      </c>
      <c r="I46" t="s">
        <v>185</v>
      </c>
    </row>
    <row r="47" spans="1:12">
      <c r="A47" s="52"/>
      <c r="B47" s="52"/>
      <c r="C47" s="34" t="s">
        <v>247</v>
      </c>
      <c r="D47" t="s">
        <v>193</v>
      </c>
      <c r="E47">
        <v>138</v>
      </c>
      <c r="F47" s="1">
        <v>1</v>
      </c>
      <c r="G47" s="48">
        <v>95.314700000000002</v>
      </c>
      <c r="H47" s="45" t="s">
        <v>248</v>
      </c>
      <c r="I47" t="s">
        <v>185</v>
      </c>
    </row>
    <row r="48" spans="1:12">
      <c r="A48" s="52"/>
      <c r="B48" s="52"/>
      <c r="C48" s="34" t="s">
        <v>249</v>
      </c>
      <c r="D48" t="s">
        <v>193</v>
      </c>
      <c r="E48">
        <v>141</v>
      </c>
      <c r="F48" s="1">
        <v>1</v>
      </c>
      <c r="G48" s="48">
        <v>92.903999999999996</v>
      </c>
      <c r="H48" s="3" t="s">
        <v>185</v>
      </c>
      <c r="I48" t="s">
        <v>180</v>
      </c>
    </row>
    <row r="49" spans="1:12">
      <c r="A49" s="52"/>
      <c r="B49" s="52"/>
      <c r="C49" s="34" t="s">
        <v>250</v>
      </c>
      <c r="D49" t="s">
        <v>176</v>
      </c>
      <c r="E49">
        <v>144</v>
      </c>
      <c r="F49" s="1">
        <v>4</v>
      </c>
      <c r="G49" s="48">
        <v>165.78899999999999</v>
      </c>
      <c r="H49" s="3" t="s">
        <v>251</v>
      </c>
      <c r="I49" t="s">
        <v>178</v>
      </c>
      <c r="J49" s="15" t="s">
        <v>179</v>
      </c>
      <c r="K49" s="15" t="s">
        <v>180</v>
      </c>
      <c r="L49" s="15" t="s">
        <v>179</v>
      </c>
    </row>
    <row r="50" spans="1:12">
      <c r="A50" s="52"/>
      <c r="B50" s="52"/>
      <c r="C50" s="34" t="s">
        <v>252</v>
      </c>
      <c r="D50" t="s">
        <v>203</v>
      </c>
      <c r="F50"/>
      <c r="H50" s="3" t="s">
        <v>185</v>
      </c>
      <c r="I50" t="s">
        <v>178</v>
      </c>
    </row>
    <row r="51" spans="1:12">
      <c r="A51" s="52"/>
      <c r="B51" s="52"/>
      <c r="C51" s="34" t="s">
        <v>253</v>
      </c>
      <c r="D51" t="s">
        <v>203</v>
      </c>
      <c r="F51"/>
      <c r="H51" s="3" t="s">
        <v>254</v>
      </c>
      <c r="I51" t="s">
        <v>178</v>
      </c>
    </row>
    <row r="52" spans="1:12">
      <c r="A52" s="52"/>
      <c r="B52" s="52"/>
      <c r="C52" s="34" t="s">
        <v>255</v>
      </c>
      <c r="D52" t="s">
        <v>203</v>
      </c>
      <c r="F52"/>
      <c r="H52" s="3" t="s">
        <v>256</v>
      </c>
      <c r="I52" t="s">
        <v>178</v>
      </c>
    </row>
    <row r="53" spans="1:12">
      <c r="A53" s="52"/>
      <c r="B53" s="52"/>
      <c r="C53" s="34" t="s">
        <v>257</v>
      </c>
      <c r="D53" t="s">
        <v>203</v>
      </c>
      <c r="F53"/>
      <c r="H53" s="3" t="s">
        <v>258</v>
      </c>
      <c r="I53" t="s">
        <v>178</v>
      </c>
    </row>
    <row r="54" spans="1:12">
      <c r="A54" s="52"/>
      <c r="B54" s="52"/>
      <c r="C54" s="34" t="s">
        <v>259</v>
      </c>
      <c r="D54" t="s">
        <v>176</v>
      </c>
      <c r="E54">
        <v>153</v>
      </c>
      <c r="F54" s="1">
        <v>4</v>
      </c>
      <c r="G54" s="48">
        <v>169.65799999999999</v>
      </c>
      <c r="H54" s="3" t="s">
        <v>251</v>
      </c>
      <c r="I54" t="s">
        <v>185</v>
      </c>
      <c r="J54" s="15" t="s">
        <v>179</v>
      </c>
      <c r="K54" s="15" t="s">
        <v>180</v>
      </c>
      <c r="L54" s="15" t="s">
        <v>179</v>
      </c>
    </row>
    <row r="55" spans="1:12">
      <c r="A55" s="52"/>
      <c r="B55" s="52"/>
      <c r="C55" s="34" t="s">
        <v>260</v>
      </c>
      <c r="D55" t="s">
        <v>203</v>
      </c>
      <c r="F55"/>
      <c r="H55" s="3" t="s">
        <v>185</v>
      </c>
      <c r="I55" t="s">
        <v>185</v>
      </c>
    </row>
    <row r="56" spans="1:12">
      <c r="A56" s="52"/>
      <c r="B56" s="52"/>
      <c r="C56" s="34" t="s">
        <v>261</v>
      </c>
      <c r="D56" t="s">
        <v>203</v>
      </c>
      <c r="F56"/>
      <c r="H56" s="3" t="s">
        <v>254</v>
      </c>
      <c r="I56" t="s">
        <v>185</v>
      </c>
    </row>
    <row r="57" spans="1:12">
      <c r="A57" s="52"/>
      <c r="B57" s="52"/>
      <c r="C57" s="34" t="s">
        <v>262</v>
      </c>
      <c r="D57" t="s">
        <v>203</v>
      </c>
      <c r="F57"/>
      <c r="H57" s="3" t="s">
        <v>256</v>
      </c>
      <c r="I57" t="s">
        <v>185</v>
      </c>
    </row>
    <row r="58" spans="1:12">
      <c r="A58" s="52"/>
      <c r="B58" s="52"/>
      <c r="C58" s="34" t="s">
        <v>263</v>
      </c>
      <c r="D58" t="s">
        <v>203</v>
      </c>
      <c r="F58"/>
      <c r="H58" s="3" t="s">
        <v>258</v>
      </c>
      <c r="I58" t="s">
        <v>185</v>
      </c>
    </row>
    <row r="59" spans="1:12">
      <c r="A59" s="52"/>
      <c r="B59" s="52"/>
      <c r="C59" s="34" t="s">
        <v>264</v>
      </c>
      <c r="D59" t="s">
        <v>176</v>
      </c>
      <c r="E59">
        <v>162</v>
      </c>
      <c r="F59" s="1">
        <v>4</v>
      </c>
      <c r="G59" s="48">
        <v>170.47900000000001</v>
      </c>
      <c r="H59" s="3" t="s">
        <v>265</v>
      </c>
      <c r="I59" t="s">
        <v>185</v>
      </c>
      <c r="J59" s="15" t="s">
        <v>179</v>
      </c>
      <c r="K59" s="15" t="s">
        <v>180</v>
      </c>
      <c r="L59" s="15" t="s">
        <v>179</v>
      </c>
    </row>
    <row r="60" spans="1:12">
      <c r="A60" s="52"/>
      <c r="B60" s="52"/>
      <c r="C60" s="34" t="s">
        <v>266</v>
      </c>
      <c r="D60" t="s">
        <v>203</v>
      </c>
      <c r="F60"/>
      <c r="H60" s="3" t="s">
        <v>267</v>
      </c>
      <c r="I60" t="s">
        <v>185</v>
      </c>
    </row>
    <row r="61" spans="1:12">
      <c r="A61" s="52"/>
      <c r="B61" s="52"/>
      <c r="C61" s="34" t="s">
        <v>268</v>
      </c>
      <c r="D61" t="s">
        <v>203</v>
      </c>
      <c r="F61"/>
      <c r="H61" s="3" t="s">
        <v>269</v>
      </c>
      <c r="I61" t="s">
        <v>185</v>
      </c>
    </row>
    <row r="62" spans="1:12">
      <c r="A62" s="52"/>
      <c r="B62" s="52"/>
      <c r="C62" s="34" t="s">
        <v>270</v>
      </c>
      <c r="D62" t="s">
        <v>203</v>
      </c>
      <c r="F62"/>
      <c r="H62" s="3" t="s">
        <v>271</v>
      </c>
      <c r="I62" t="s">
        <v>185</v>
      </c>
    </row>
    <row r="63" spans="1:12">
      <c r="A63" s="52"/>
      <c r="B63" s="52"/>
      <c r="C63" s="34" t="s">
        <v>272</v>
      </c>
      <c r="D63" t="s">
        <v>203</v>
      </c>
      <c r="F63"/>
      <c r="H63" s="3" t="s">
        <v>183</v>
      </c>
      <c r="I63" t="s">
        <v>185</v>
      </c>
    </row>
    <row r="64" spans="1:12">
      <c r="A64" s="52"/>
      <c r="B64" s="52"/>
      <c r="C64" s="34" t="s">
        <v>273</v>
      </c>
      <c r="D64" t="s">
        <v>176</v>
      </c>
      <c r="E64">
        <v>171</v>
      </c>
      <c r="F64" s="1">
        <v>4</v>
      </c>
      <c r="G64" s="48">
        <v>171.91</v>
      </c>
      <c r="H64" s="3" t="s">
        <v>251</v>
      </c>
      <c r="I64" t="s">
        <v>267</v>
      </c>
      <c r="J64" s="15" t="s">
        <v>179</v>
      </c>
      <c r="K64" s="15" t="s">
        <v>180</v>
      </c>
      <c r="L64" s="15" t="s">
        <v>179</v>
      </c>
    </row>
    <row r="65" spans="1:12">
      <c r="A65" s="52"/>
      <c r="B65" s="52"/>
      <c r="C65" s="34" t="s">
        <v>274</v>
      </c>
      <c r="D65" t="s">
        <v>203</v>
      </c>
      <c r="F65"/>
      <c r="H65" s="3" t="s">
        <v>185</v>
      </c>
      <c r="I65" t="s">
        <v>267</v>
      </c>
    </row>
    <row r="66" spans="1:12">
      <c r="A66" s="52"/>
      <c r="B66" s="52"/>
      <c r="C66" s="34" t="s">
        <v>275</v>
      </c>
      <c r="D66" t="s">
        <v>203</v>
      </c>
      <c r="F66"/>
      <c r="H66" s="3" t="s">
        <v>254</v>
      </c>
      <c r="I66" t="s">
        <v>267</v>
      </c>
    </row>
    <row r="67" spans="1:12">
      <c r="A67" s="52"/>
      <c r="B67" s="52"/>
      <c r="C67" s="34" t="s">
        <v>276</v>
      </c>
      <c r="D67" t="s">
        <v>203</v>
      </c>
      <c r="F67"/>
      <c r="H67" s="3" t="s">
        <v>256</v>
      </c>
      <c r="I67" t="s">
        <v>267</v>
      </c>
    </row>
    <row r="68" spans="1:12">
      <c r="A68" s="52"/>
      <c r="B68" s="52"/>
      <c r="C68" s="34" t="s">
        <v>277</v>
      </c>
      <c r="D68" t="s">
        <v>203</v>
      </c>
      <c r="F68"/>
      <c r="H68" s="3" t="s">
        <v>258</v>
      </c>
      <c r="I68" t="s">
        <v>267</v>
      </c>
    </row>
    <row r="69" spans="1:12">
      <c r="A69" s="52"/>
      <c r="B69" s="52"/>
      <c r="C69" s="34" t="s">
        <v>278</v>
      </c>
      <c r="D69" t="s">
        <v>279</v>
      </c>
      <c r="F69"/>
      <c r="H69" s="3"/>
      <c r="I69"/>
    </row>
    <row r="70" spans="1:12">
      <c r="A70" s="52"/>
      <c r="B70" s="52"/>
      <c r="C70" s="34" t="s">
        <v>280</v>
      </c>
      <c r="D70" t="s">
        <v>279</v>
      </c>
      <c r="F70"/>
      <c r="H70" s="3"/>
      <c r="I70"/>
    </row>
    <row r="71" spans="1:12">
      <c r="A71" s="52"/>
      <c r="B71" s="52"/>
      <c r="C71" s="34" t="s">
        <v>281</v>
      </c>
      <c r="D71" t="s">
        <v>279</v>
      </c>
      <c r="F71"/>
      <c r="H71" s="3"/>
      <c r="I71"/>
    </row>
    <row r="72" spans="1:12">
      <c r="A72" s="52"/>
      <c r="B72" s="52"/>
      <c r="C72" s="34" t="s">
        <v>282</v>
      </c>
      <c r="D72" t="s">
        <v>279</v>
      </c>
      <c r="F72"/>
      <c r="H72" s="3"/>
      <c r="I72"/>
    </row>
    <row r="73" spans="1:12">
      <c r="A73" s="52"/>
      <c r="B73" s="52"/>
      <c r="C73" s="34" t="s">
        <v>283</v>
      </c>
      <c r="D73" t="s">
        <v>176</v>
      </c>
      <c r="E73">
        <v>184</v>
      </c>
      <c r="F73" s="1">
        <v>1</v>
      </c>
      <c r="G73" s="48">
        <v>68.386399999999995</v>
      </c>
      <c r="H73" s="3" t="s">
        <v>190</v>
      </c>
      <c r="I73" t="s">
        <v>178</v>
      </c>
      <c r="J73" s="15" t="s">
        <v>179</v>
      </c>
      <c r="K73" s="15" t="s">
        <v>180</v>
      </c>
      <c r="L73" s="15" t="s">
        <v>179</v>
      </c>
    </row>
    <row r="74" spans="1:12">
      <c r="A74" s="52"/>
      <c r="B74" s="52"/>
      <c r="C74" s="34" t="s">
        <v>284</v>
      </c>
      <c r="D74" t="s">
        <v>203</v>
      </c>
      <c r="F74"/>
      <c r="H74" s="3" t="s">
        <v>190</v>
      </c>
      <c r="I74" t="s">
        <v>178</v>
      </c>
    </row>
    <row r="75" spans="1:12">
      <c r="A75" s="52"/>
      <c r="B75" s="52"/>
      <c r="C75" s="34" t="s">
        <v>565</v>
      </c>
      <c r="D75" t="s">
        <v>176</v>
      </c>
      <c r="E75">
        <v>186</v>
      </c>
      <c r="F75" s="47" t="s">
        <v>566</v>
      </c>
      <c r="G75" s="48">
        <v>230.07300000000001</v>
      </c>
      <c r="H75" s="3" t="s">
        <v>561</v>
      </c>
      <c r="I75" t="s">
        <v>185</v>
      </c>
      <c r="J75" s="15" t="s">
        <v>179</v>
      </c>
      <c r="K75" s="15" t="s">
        <v>180</v>
      </c>
      <c r="L75" s="15" t="s">
        <v>179</v>
      </c>
    </row>
    <row r="76" spans="1:12">
      <c r="A76" s="52"/>
      <c r="B76" s="52"/>
      <c r="C76" s="34" t="s">
        <v>285</v>
      </c>
      <c r="D76" t="s">
        <v>286</v>
      </c>
      <c r="F76"/>
      <c r="H76" s="3" t="s">
        <v>561</v>
      </c>
      <c r="I76" t="s">
        <v>185</v>
      </c>
    </row>
    <row r="77" spans="1:12">
      <c r="A77" s="52"/>
      <c r="B77" s="52"/>
      <c r="C77" s="34" t="s">
        <v>288</v>
      </c>
      <c r="D77" t="s">
        <v>286</v>
      </c>
      <c r="F77"/>
      <c r="H77" s="3" t="s">
        <v>289</v>
      </c>
      <c r="I77" t="s">
        <v>178</v>
      </c>
    </row>
    <row r="78" spans="1:12">
      <c r="A78" s="52"/>
      <c r="B78" s="52"/>
      <c r="C78" s="34" t="s">
        <v>290</v>
      </c>
      <c r="D78" t="s">
        <v>286</v>
      </c>
      <c r="F78"/>
      <c r="H78" s="3" t="s">
        <v>289</v>
      </c>
      <c r="I78" t="s">
        <v>178</v>
      </c>
    </row>
    <row r="79" spans="1:12">
      <c r="A79" s="52"/>
      <c r="B79" s="52"/>
      <c r="C79" s="34" t="s">
        <v>291</v>
      </c>
      <c r="D79" t="s">
        <v>203</v>
      </c>
      <c r="F79"/>
      <c r="H79" s="3" t="s">
        <v>288</v>
      </c>
      <c r="I79" t="s">
        <v>178</v>
      </c>
    </row>
    <row r="80" spans="1:12">
      <c r="A80" s="52"/>
      <c r="B80" s="52"/>
      <c r="C80" s="34" t="s">
        <v>292</v>
      </c>
      <c r="D80" t="s">
        <v>193</v>
      </c>
      <c r="E80">
        <v>200</v>
      </c>
      <c r="F80" s="1">
        <v>1</v>
      </c>
      <c r="G80" s="48">
        <v>96.375100000000003</v>
      </c>
      <c r="H80" s="3" t="s">
        <v>288</v>
      </c>
      <c r="I80" t="s">
        <v>178</v>
      </c>
    </row>
    <row r="81" spans="1:9">
      <c r="A81" s="52"/>
      <c r="B81" s="52"/>
      <c r="C81" s="34" t="s">
        <v>293</v>
      </c>
      <c r="D81" t="s">
        <v>203</v>
      </c>
      <c r="F81"/>
      <c r="H81" s="3" t="s">
        <v>294</v>
      </c>
      <c r="I81" t="s">
        <v>178</v>
      </c>
    </row>
    <row r="82" spans="1:9">
      <c r="A82" s="52"/>
      <c r="B82" s="52"/>
      <c r="C82" s="34" t="s">
        <v>295</v>
      </c>
      <c r="D82" t="s">
        <v>203</v>
      </c>
      <c r="F82"/>
      <c r="H82" s="3" t="s">
        <v>296</v>
      </c>
      <c r="I82" t="s">
        <v>178</v>
      </c>
    </row>
    <row r="83" spans="1:9">
      <c r="A83" s="52"/>
      <c r="B83" s="52"/>
      <c r="C83" s="34" t="s">
        <v>297</v>
      </c>
      <c r="D83" t="s">
        <v>203</v>
      </c>
      <c r="F83"/>
      <c r="H83" s="3" t="s">
        <v>298</v>
      </c>
      <c r="I83" t="s">
        <v>178</v>
      </c>
    </row>
    <row r="84" spans="1:9">
      <c r="A84" s="52"/>
      <c r="B84" s="52"/>
      <c r="C84" s="34" t="s">
        <v>299</v>
      </c>
      <c r="D84" t="s">
        <v>203</v>
      </c>
      <c r="F84"/>
      <c r="H84" s="3" t="s">
        <v>300</v>
      </c>
      <c r="I84" t="s">
        <v>178</v>
      </c>
    </row>
    <row r="85" spans="1:9">
      <c r="A85" s="52"/>
      <c r="B85" s="52"/>
      <c r="C85" s="34" t="s">
        <v>301</v>
      </c>
      <c r="D85" t="s">
        <v>286</v>
      </c>
      <c r="F85"/>
      <c r="H85" s="3" t="s">
        <v>302</v>
      </c>
      <c r="I85" t="s">
        <v>185</v>
      </c>
    </row>
    <row r="86" spans="1:9">
      <c r="A86" s="52"/>
      <c r="B86" s="52"/>
      <c r="C86" s="34" t="s">
        <v>303</v>
      </c>
      <c r="D86" t="s">
        <v>286</v>
      </c>
      <c r="F86"/>
      <c r="H86" s="3" t="s">
        <v>302</v>
      </c>
      <c r="I86" t="s">
        <v>185</v>
      </c>
    </row>
    <row r="87" spans="1:9">
      <c r="A87" s="52"/>
      <c r="B87" s="52"/>
      <c r="C87" s="34" t="s">
        <v>304</v>
      </c>
      <c r="D87" t="s">
        <v>203</v>
      </c>
      <c r="F87"/>
      <c r="H87" s="3" t="s">
        <v>301</v>
      </c>
      <c r="I87" t="s">
        <v>185</v>
      </c>
    </row>
    <row r="88" spans="1:9">
      <c r="A88" s="52"/>
      <c r="B88" s="52"/>
      <c r="C88" s="34" t="s">
        <v>305</v>
      </c>
      <c r="D88" t="s">
        <v>203</v>
      </c>
      <c r="F88"/>
      <c r="H88" s="3" t="s">
        <v>301</v>
      </c>
      <c r="I88" t="s">
        <v>185</v>
      </c>
    </row>
    <row r="89" spans="1:9">
      <c r="A89" s="52"/>
      <c r="B89" s="52"/>
      <c r="C89" s="34" t="s">
        <v>567</v>
      </c>
      <c r="D89" t="s">
        <v>193</v>
      </c>
      <c r="E89">
        <v>229</v>
      </c>
      <c r="F89" s="1">
        <v>1</v>
      </c>
      <c r="G89" s="48">
        <v>93.855699999999999</v>
      </c>
      <c r="H89" s="3" t="s">
        <v>301</v>
      </c>
      <c r="I89" t="s">
        <v>178</v>
      </c>
    </row>
    <row r="90" spans="1:9">
      <c r="A90" s="52"/>
      <c r="B90" s="52"/>
      <c r="C90" s="34" t="s">
        <v>306</v>
      </c>
      <c r="D90" t="s">
        <v>203</v>
      </c>
      <c r="F90"/>
      <c r="H90" s="3" t="s">
        <v>307</v>
      </c>
      <c r="I90" t="s">
        <v>185</v>
      </c>
    </row>
    <row r="91" spans="1:9">
      <c r="A91" s="52"/>
      <c r="B91" s="52"/>
      <c r="C91" s="34" t="s">
        <v>308</v>
      </c>
      <c r="D91" t="s">
        <v>203</v>
      </c>
      <c r="F91"/>
      <c r="H91" s="3" t="s">
        <v>309</v>
      </c>
      <c r="I91" t="s">
        <v>185</v>
      </c>
    </row>
    <row r="92" spans="1:9">
      <c r="A92" s="52"/>
      <c r="B92" s="52"/>
      <c r="C92" s="34" t="s">
        <v>310</v>
      </c>
      <c r="D92" t="s">
        <v>203</v>
      </c>
      <c r="F92"/>
      <c r="H92" s="3" t="s">
        <v>311</v>
      </c>
      <c r="I92" t="s">
        <v>185</v>
      </c>
    </row>
    <row r="93" spans="1:9">
      <c r="A93" s="52"/>
      <c r="B93" s="52"/>
      <c r="C93" s="34" t="s">
        <v>312</v>
      </c>
      <c r="D93" t="s">
        <v>203</v>
      </c>
      <c r="F93"/>
      <c r="H93" s="3" t="s">
        <v>313</v>
      </c>
      <c r="I93" t="s">
        <v>185</v>
      </c>
    </row>
    <row r="94" spans="1:9">
      <c r="A94" s="52"/>
      <c r="B94" s="52"/>
      <c r="C94" s="34" t="s">
        <v>314</v>
      </c>
      <c r="D94" t="s">
        <v>279</v>
      </c>
      <c r="F94"/>
      <c r="H94" s="3"/>
      <c r="I94"/>
    </row>
    <row r="95" spans="1:9">
      <c r="A95" s="52"/>
      <c r="B95" s="52"/>
      <c r="C95" s="34" t="s">
        <v>315</v>
      </c>
      <c r="D95" t="s">
        <v>279</v>
      </c>
      <c r="F95"/>
      <c r="H95" s="3"/>
      <c r="I95"/>
    </row>
    <row r="96" spans="1:9">
      <c r="A96" s="52"/>
      <c r="B96" s="52"/>
      <c r="C96" s="34" t="s">
        <v>316</v>
      </c>
      <c r="D96" t="s">
        <v>279</v>
      </c>
      <c r="F96"/>
      <c r="H96" s="3"/>
      <c r="I96"/>
    </row>
    <row r="97" spans="1:12">
      <c r="A97" s="52"/>
      <c r="B97" s="52"/>
      <c r="C97" s="34" t="s">
        <v>317</v>
      </c>
      <c r="D97" t="s">
        <v>279</v>
      </c>
      <c r="F97"/>
      <c r="H97" s="3"/>
      <c r="I97"/>
    </row>
    <row r="98" spans="1:12">
      <c r="A98" s="52"/>
      <c r="B98" s="52"/>
      <c r="C98" s="34" t="s">
        <v>318</v>
      </c>
      <c r="D98" t="s">
        <v>193</v>
      </c>
      <c r="E98">
        <v>250</v>
      </c>
      <c r="F98" s="1">
        <v>1</v>
      </c>
      <c r="G98" s="48">
        <v>95.685400000000001</v>
      </c>
      <c r="H98" s="3" t="s">
        <v>319</v>
      </c>
      <c r="I98" t="s">
        <v>185</v>
      </c>
    </row>
    <row r="99" spans="1:12">
      <c r="A99" s="52"/>
      <c r="B99" s="52"/>
      <c r="C99" s="34" t="s">
        <v>320</v>
      </c>
      <c r="D99" t="s">
        <v>176</v>
      </c>
      <c r="E99">
        <v>255</v>
      </c>
      <c r="F99" s="1">
        <v>6</v>
      </c>
      <c r="G99" s="48">
        <v>252.827</v>
      </c>
      <c r="H99" s="3" t="s">
        <v>321</v>
      </c>
      <c r="I99" t="s">
        <v>178</v>
      </c>
      <c r="J99" s="15" t="s">
        <v>179</v>
      </c>
      <c r="K99" s="15" t="s">
        <v>180</v>
      </c>
      <c r="L99" s="15" t="s">
        <v>179</v>
      </c>
    </row>
    <row r="100" spans="1:12">
      <c r="A100" s="52"/>
      <c r="B100" s="52"/>
      <c r="C100" s="34" t="s">
        <v>322</v>
      </c>
      <c r="D100" t="s">
        <v>203</v>
      </c>
      <c r="F100"/>
      <c r="H100" s="3" t="s">
        <v>323</v>
      </c>
      <c r="I100" t="s">
        <v>178</v>
      </c>
    </row>
    <row r="101" spans="1:12">
      <c r="A101" s="52"/>
      <c r="B101" s="52"/>
      <c r="C101" s="34" t="s">
        <v>324</v>
      </c>
      <c r="D101" t="s">
        <v>203</v>
      </c>
      <c r="F101"/>
      <c r="H101" s="3" t="s">
        <v>325</v>
      </c>
      <c r="I101" t="s">
        <v>178</v>
      </c>
    </row>
    <row r="102" spans="1:12">
      <c r="A102" s="52"/>
      <c r="B102" s="52"/>
      <c r="C102" s="34" t="s">
        <v>326</v>
      </c>
      <c r="D102" t="s">
        <v>203</v>
      </c>
      <c r="F102"/>
      <c r="H102" s="3" t="s">
        <v>327</v>
      </c>
      <c r="I102" t="s">
        <v>178</v>
      </c>
    </row>
    <row r="103" spans="1:12">
      <c r="A103" s="52"/>
      <c r="B103" s="52"/>
      <c r="C103" s="34" t="s">
        <v>328</v>
      </c>
      <c r="D103" t="s">
        <v>176</v>
      </c>
      <c r="E103">
        <v>262</v>
      </c>
      <c r="F103" s="1">
        <v>6</v>
      </c>
      <c r="G103" s="48">
        <v>231.37100000000001</v>
      </c>
      <c r="H103" s="3" t="s">
        <v>329</v>
      </c>
      <c r="I103" t="s">
        <v>185</v>
      </c>
      <c r="J103" s="15" t="s">
        <v>179</v>
      </c>
      <c r="K103" s="15" t="s">
        <v>180</v>
      </c>
      <c r="L103" s="15" t="s">
        <v>179</v>
      </c>
    </row>
    <row r="104" spans="1:12">
      <c r="A104" s="52"/>
      <c r="B104" s="52"/>
      <c r="C104" s="34" t="s">
        <v>330</v>
      </c>
      <c r="D104" t="s">
        <v>203</v>
      </c>
      <c r="F104"/>
      <c r="H104" s="3" t="s">
        <v>331</v>
      </c>
      <c r="I104" t="s">
        <v>185</v>
      </c>
    </row>
    <row r="105" spans="1:12">
      <c r="A105" s="52"/>
      <c r="B105" s="52"/>
      <c r="C105" s="34" t="s">
        <v>332</v>
      </c>
      <c r="D105" t="s">
        <v>203</v>
      </c>
      <c r="F105"/>
      <c r="H105" s="3" t="s">
        <v>333</v>
      </c>
      <c r="I105" t="s">
        <v>185</v>
      </c>
    </row>
    <row r="106" spans="1:12">
      <c r="A106" s="52"/>
      <c r="B106" s="52"/>
      <c r="C106" s="34" t="s">
        <v>334</v>
      </c>
      <c r="D106" t="s">
        <v>203</v>
      </c>
      <c r="F106"/>
      <c r="H106" s="3" t="s">
        <v>225</v>
      </c>
      <c r="I106" t="s">
        <v>185</v>
      </c>
    </row>
    <row r="107" spans="1:12">
      <c r="A107" s="52"/>
      <c r="B107" s="52"/>
      <c r="C107" s="34" t="s">
        <v>335</v>
      </c>
      <c r="D107" t="s">
        <v>176</v>
      </c>
      <c r="E107">
        <v>278</v>
      </c>
      <c r="F107" s="1">
        <v>2</v>
      </c>
      <c r="G107" s="48">
        <v>106.18899999999999</v>
      </c>
      <c r="H107" s="3" t="s">
        <v>336</v>
      </c>
      <c r="I107" t="s">
        <v>178</v>
      </c>
      <c r="J107" s="15" t="s">
        <v>179</v>
      </c>
      <c r="K107" s="15" t="s">
        <v>180</v>
      </c>
      <c r="L107" s="15" t="s">
        <v>179</v>
      </c>
    </row>
    <row r="108" spans="1:12">
      <c r="A108" s="52"/>
      <c r="B108" s="52"/>
      <c r="C108" s="34" t="s">
        <v>337</v>
      </c>
      <c r="D108" t="s">
        <v>176</v>
      </c>
      <c r="E108">
        <v>279</v>
      </c>
      <c r="F108">
        <f>(1.1-0.65)/0.05+1</f>
        <v>10</v>
      </c>
      <c r="G108" s="48">
        <v>360.38400000000001</v>
      </c>
      <c r="H108" s="3" t="s">
        <v>338</v>
      </c>
      <c r="I108" t="s">
        <v>178</v>
      </c>
      <c r="J108" s="15" t="s">
        <v>179</v>
      </c>
      <c r="K108" s="15" t="s">
        <v>180</v>
      </c>
      <c r="L108" s="15" t="s">
        <v>179</v>
      </c>
    </row>
    <row r="109" spans="1:12">
      <c r="A109" s="52"/>
      <c r="B109" s="52"/>
      <c r="C109" s="34" t="s">
        <v>339</v>
      </c>
      <c r="D109" t="s">
        <v>203</v>
      </c>
      <c r="F109"/>
      <c r="H109" s="3" t="s">
        <v>340</v>
      </c>
      <c r="I109" t="s">
        <v>178</v>
      </c>
    </row>
    <row r="110" spans="1:12">
      <c r="A110" s="52"/>
      <c r="B110" s="52"/>
      <c r="C110" s="34" t="s">
        <v>341</v>
      </c>
      <c r="D110" t="s">
        <v>203</v>
      </c>
      <c r="F110"/>
      <c r="H110" s="3" t="s">
        <v>342</v>
      </c>
      <c r="I110" t="s">
        <v>178</v>
      </c>
    </row>
    <row r="111" spans="1:12">
      <c r="A111" s="52"/>
      <c r="B111" s="52"/>
      <c r="C111" s="34" t="s">
        <v>343</v>
      </c>
      <c r="D111" t="s">
        <v>203</v>
      </c>
      <c r="F111"/>
      <c r="H111" s="3" t="s">
        <v>344</v>
      </c>
      <c r="I111" t="s">
        <v>178</v>
      </c>
    </row>
    <row r="112" spans="1:12">
      <c r="A112" s="52"/>
      <c r="B112" s="52"/>
      <c r="C112" s="34" t="s">
        <v>345</v>
      </c>
      <c r="D112" t="s">
        <v>203</v>
      </c>
      <c r="F112"/>
      <c r="H112" s="3" t="s">
        <v>346</v>
      </c>
      <c r="I112" t="s">
        <v>178</v>
      </c>
    </row>
    <row r="113" spans="1:12">
      <c r="A113" s="52"/>
      <c r="B113" s="52"/>
      <c r="C113" s="34" t="s">
        <v>347</v>
      </c>
      <c r="D113" t="s">
        <v>203</v>
      </c>
      <c r="F113"/>
      <c r="H113" s="3" t="s">
        <v>348</v>
      </c>
      <c r="I113" t="s">
        <v>178</v>
      </c>
    </row>
    <row r="114" spans="1:12">
      <c r="A114" s="52"/>
      <c r="B114" s="52"/>
      <c r="C114" s="34" t="s">
        <v>349</v>
      </c>
      <c r="D114" t="s">
        <v>203</v>
      </c>
      <c r="F114"/>
      <c r="H114" s="3" t="s">
        <v>350</v>
      </c>
      <c r="I114" t="s">
        <v>178</v>
      </c>
    </row>
    <row r="115" spans="1:12">
      <c r="A115" s="52"/>
      <c r="B115" s="52"/>
      <c r="C115" s="34" t="s">
        <v>351</v>
      </c>
      <c r="D115" t="s">
        <v>203</v>
      </c>
      <c r="F115"/>
      <c r="H115" s="3" t="s">
        <v>352</v>
      </c>
      <c r="I115" t="s">
        <v>178</v>
      </c>
    </row>
    <row r="116" spans="1:12">
      <c r="A116" s="52"/>
      <c r="B116" s="52"/>
      <c r="C116" s="34" t="s">
        <v>353</v>
      </c>
      <c r="D116" t="s">
        <v>203</v>
      </c>
      <c r="F116"/>
      <c r="H116" s="3" t="s">
        <v>354</v>
      </c>
      <c r="I116" t="s">
        <v>178</v>
      </c>
    </row>
    <row r="117" spans="1:12">
      <c r="A117" s="52"/>
      <c r="B117" s="52"/>
      <c r="C117" s="34" t="s">
        <v>355</v>
      </c>
      <c r="D117" t="s">
        <v>203</v>
      </c>
      <c r="F117"/>
      <c r="H117" s="3" t="s">
        <v>356</v>
      </c>
      <c r="I117" t="s">
        <v>178</v>
      </c>
    </row>
    <row r="118" spans="1:12">
      <c r="A118" s="52"/>
      <c r="B118" s="52"/>
      <c r="C118" s="34" t="s">
        <v>357</v>
      </c>
      <c r="D118" t="s">
        <v>176</v>
      </c>
      <c r="E118">
        <v>302</v>
      </c>
      <c r="F118" s="1">
        <v>2</v>
      </c>
      <c r="G118" s="48">
        <v>108.983</v>
      </c>
      <c r="H118" s="3" t="s">
        <v>358</v>
      </c>
      <c r="I118" t="s">
        <v>178</v>
      </c>
      <c r="J118" s="15" t="s">
        <v>179</v>
      </c>
      <c r="K118" s="15" t="s">
        <v>180</v>
      </c>
      <c r="L118" s="15" t="s">
        <v>179</v>
      </c>
    </row>
    <row r="119" spans="1:12">
      <c r="A119" s="52"/>
      <c r="B119" s="52"/>
      <c r="C119" s="34" t="s">
        <v>359</v>
      </c>
      <c r="D119" t="s">
        <v>176</v>
      </c>
      <c r="E119">
        <v>303</v>
      </c>
      <c r="F119" s="1">
        <v>2</v>
      </c>
      <c r="G119" s="48">
        <v>107.95099999999999</v>
      </c>
      <c r="H119" s="3" t="s">
        <v>360</v>
      </c>
      <c r="I119" t="s">
        <v>185</v>
      </c>
      <c r="J119" s="15" t="s">
        <v>179</v>
      </c>
      <c r="K119" s="15" t="s">
        <v>180</v>
      </c>
      <c r="L119" s="15" t="s">
        <v>179</v>
      </c>
    </row>
    <row r="120" spans="1:12">
      <c r="A120" s="52"/>
      <c r="B120" s="52"/>
      <c r="C120" s="34" t="s">
        <v>361</v>
      </c>
      <c r="D120" t="s">
        <v>203</v>
      </c>
      <c r="F120"/>
      <c r="H120" s="3" t="s">
        <v>362</v>
      </c>
      <c r="I120" t="s">
        <v>178</v>
      </c>
    </row>
    <row r="121" spans="1:12">
      <c r="A121" s="52"/>
      <c r="B121" s="52"/>
      <c r="C121" s="34" t="s">
        <v>363</v>
      </c>
      <c r="D121" t="s">
        <v>203</v>
      </c>
      <c r="F121"/>
      <c r="H121" s="3" t="s">
        <v>364</v>
      </c>
      <c r="I121" t="s">
        <v>178</v>
      </c>
    </row>
    <row r="122" spans="1:12">
      <c r="A122" s="52"/>
      <c r="B122" s="52"/>
      <c r="C122" s="34" t="s">
        <v>365</v>
      </c>
      <c r="D122" t="s">
        <v>203</v>
      </c>
      <c r="F122"/>
      <c r="H122" s="3" t="s">
        <v>366</v>
      </c>
      <c r="I122" t="s">
        <v>185</v>
      </c>
    </row>
    <row r="123" spans="1:12">
      <c r="A123" s="52"/>
      <c r="B123" s="52"/>
      <c r="C123" s="34" t="s">
        <v>367</v>
      </c>
      <c r="D123" t="s">
        <v>203</v>
      </c>
      <c r="F123"/>
      <c r="H123" s="3" t="s">
        <v>368</v>
      </c>
      <c r="I123" t="s">
        <v>185</v>
      </c>
    </row>
    <row r="124" spans="1:12">
      <c r="A124" s="52"/>
      <c r="B124" s="52"/>
      <c r="C124" s="34" t="s">
        <v>369</v>
      </c>
      <c r="D124" t="s">
        <v>176</v>
      </c>
      <c r="E124">
        <v>312</v>
      </c>
      <c r="F124" s="1">
        <v>2</v>
      </c>
      <c r="G124" s="48">
        <v>103.82</v>
      </c>
      <c r="H124" s="3" t="s">
        <v>370</v>
      </c>
      <c r="I124" t="s">
        <v>185</v>
      </c>
      <c r="J124" s="15" t="s">
        <v>179</v>
      </c>
      <c r="K124" s="15" t="s">
        <v>180</v>
      </c>
      <c r="L124" s="15" t="s">
        <v>179</v>
      </c>
    </row>
    <row r="125" spans="1:12">
      <c r="A125" s="52"/>
      <c r="B125" s="52"/>
      <c r="C125" s="34" t="s">
        <v>371</v>
      </c>
      <c r="D125" t="s">
        <v>176</v>
      </c>
      <c r="E125">
        <v>313</v>
      </c>
      <c r="F125" s="1">
        <v>1</v>
      </c>
      <c r="G125" s="48">
        <v>74.339200000000005</v>
      </c>
      <c r="H125" s="3" t="s">
        <v>366</v>
      </c>
      <c r="I125" t="s">
        <v>185</v>
      </c>
      <c r="J125" s="15" t="s">
        <v>179</v>
      </c>
      <c r="K125" s="15" t="s">
        <v>180</v>
      </c>
      <c r="L125" s="15" t="s">
        <v>179</v>
      </c>
    </row>
    <row r="126" spans="1:12">
      <c r="A126" s="52"/>
      <c r="B126" s="52"/>
      <c r="C126" s="34" t="s">
        <v>372</v>
      </c>
      <c r="D126" t="s">
        <v>203</v>
      </c>
      <c r="F126"/>
      <c r="H126" s="3" t="s">
        <v>373</v>
      </c>
      <c r="I126" t="s">
        <v>185</v>
      </c>
    </row>
    <row r="127" spans="1:12">
      <c r="A127" s="52"/>
      <c r="B127" s="52"/>
      <c r="C127" s="34" t="s">
        <v>374</v>
      </c>
      <c r="D127" t="s">
        <v>203</v>
      </c>
      <c r="F127"/>
      <c r="H127" s="3" t="s">
        <v>375</v>
      </c>
      <c r="I127" t="s">
        <v>185</v>
      </c>
    </row>
    <row r="128" spans="1:12">
      <c r="A128" s="52"/>
      <c r="B128" s="52"/>
      <c r="C128" s="34" t="s">
        <v>376</v>
      </c>
      <c r="D128" t="s">
        <v>203</v>
      </c>
      <c r="F128"/>
      <c r="H128" s="3" t="s">
        <v>366</v>
      </c>
      <c r="I128" t="s">
        <v>185</v>
      </c>
    </row>
    <row r="129" spans="1:12">
      <c r="A129" s="52"/>
      <c r="B129" s="52"/>
      <c r="C129" s="34" t="s">
        <v>377</v>
      </c>
      <c r="D129" t="s">
        <v>176</v>
      </c>
      <c r="E129">
        <v>320</v>
      </c>
      <c r="F129" s="1">
        <v>2</v>
      </c>
      <c r="G129" s="48">
        <v>102.636</v>
      </c>
      <c r="H129" s="3" t="s">
        <v>370</v>
      </c>
      <c r="I129" t="s">
        <v>187</v>
      </c>
      <c r="J129" s="15" t="s">
        <v>179</v>
      </c>
      <c r="K129" s="15" t="s">
        <v>180</v>
      </c>
      <c r="L129" s="15" t="s">
        <v>179</v>
      </c>
    </row>
    <row r="130" spans="1:12">
      <c r="A130" s="52"/>
      <c r="B130" s="52"/>
      <c r="C130" s="34" t="s">
        <v>378</v>
      </c>
      <c r="D130" t="s">
        <v>176</v>
      </c>
      <c r="E130">
        <v>321</v>
      </c>
      <c r="F130" s="1">
        <v>1</v>
      </c>
      <c r="G130" s="48">
        <v>74.065200000000004</v>
      </c>
      <c r="H130" s="3" t="s">
        <v>366</v>
      </c>
      <c r="I130" t="s">
        <v>187</v>
      </c>
      <c r="J130" s="15" t="s">
        <v>179</v>
      </c>
      <c r="K130" s="15" t="s">
        <v>180</v>
      </c>
      <c r="L130" s="15" t="s">
        <v>179</v>
      </c>
    </row>
    <row r="131" spans="1:12">
      <c r="A131" s="52"/>
      <c r="B131" s="52"/>
      <c r="C131" s="34" t="s">
        <v>379</v>
      </c>
      <c r="D131" t="s">
        <v>203</v>
      </c>
      <c r="F131"/>
      <c r="H131" s="3" t="s">
        <v>373</v>
      </c>
      <c r="I131" t="s">
        <v>187</v>
      </c>
    </row>
    <row r="132" spans="1:12">
      <c r="A132" s="52"/>
      <c r="B132" s="52"/>
      <c r="C132" s="34" t="s">
        <v>380</v>
      </c>
      <c r="D132" t="s">
        <v>203</v>
      </c>
      <c r="F132"/>
      <c r="H132" s="3" t="s">
        <v>375</v>
      </c>
      <c r="I132" t="s">
        <v>187</v>
      </c>
    </row>
    <row r="133" spans="1:12">
      <c r="A133" s="52"/>
      <c r="B133" s="51"/>
      <c r="C133" s="35" t="s">
        <v>381</v>
      </c>
      <c r="D133" t="s">
        <v>203</v>
      </c>
      <c r="F133"/>
      <c r="H133" s="3" t="s">
        <v>366</v>
      </c>
      <c r="I133" t="s">
        <v>187</v>
      </c>
    </row>
    <row r="134" spans="1:12">
      <c r="A134" s="52"/>
      <c r="B134" s="50" t="s">
        <v>382</v>
      </c>
      <c r="C134" s="13" t="s">
        <v>383</v>
      </c>
      <c r="D134" t="s">
        <v>176</v>
      </c>
      <c r="E134">
        <v>331</v>
      </c>
      <c r="F134">
        <f>0.6/0.02+1</f>
        <v>31</v>
      </c>
      <c r="G134" s="48">
        <v>986.60400000000004</v>
      </c>
      <c r="H134" s="3" t="s">
        <v>384</v>
      </c>
      <c r="I134" t="s">
        <v>178</v>
      </c>
      <c r="J134" s="15" t="s">
        <v>179</v>
      </c>
      <c r="K134" s="15" t="s">
        <v>180</v>
      </c>
      <c r="L134" s="15" t="s">
        <v>179</v>
      </c>
    </row>
    <row r="135" spans="1:12">
      <c r="A135" s="52"/>
      <c r="B135" s="52"/>
      <c r="C135" s="13" t="s">
        <v>385</v>
      </c>
      <c r="D135" s="40" t="s">
        <v>386</v>
      </c>
      <c r="F135" s="40"/>
      <c r="H135" s="42"/>
      <c r="I135" s="40"/>
    </row>
    <row r="136" spans="1:12">
      <c r="A136" s="52"/>
      <c r="B136" s="52"/>
      <c r="C136" s="34" t="s">
        <v>387</v>
      </c>
      <c r="D136"/>
      <c r="F136"/>
      <c r="H136" s="43"/>
      <c r="I136"/>
    </row>
    <row r="137" spans="1:12">
      <c r="A137" s="52"/>
      <c r="B137" s="52"/>
      <c r="C137" s="35" t="s">
        <v>388</v>
      </c>
      <c r="D137" s="41"/>
      <c r="F137" s="41"/>
      <c r="H137" s="44"/>
      <c r="I137" s="41"/>
    </row>
    <row r="138" spans="1:12">
      <c r="A138" s="52"/>
      <c r="B138" s="52"/>
      <c r="C138" s="34" t="s">
        <v>568</v>
      </c>
      <c r="D138" t="s">
        <v>176</v>
      </c>
      <c r="E138">
        <v>335</v>
      </c>
      <c r="F138">
        <f>0.4/0.05+1</f>
        <v>9</v>
      </c>
      <c r="G138" s="48">
        <v>298.58699999999999</v>
      </c>
      <c r="H138" s="3" t="s">
        <v>569</v>
      </c>
      <c r="I138" t="s">
        <v>178</v>
      </c>
      <c r="J138" s="15" t="s">
        <v>179</v>
      </c>
      <c r="K138" s="15" t="s">
        <v>180</v>
      </c>
      <c r="L138" s="15" t="s">
        <v>179</v>
      </c>
    </row>
    <row r="139" spans="1:12">
      <c r="A139" s="52"/>
      <c r="B139" s="52"/>
      <c r="C139" s="34" t="s">
        <v>570</v>
      </c>
      <c r="D139" t="s">
        <v>203</v>
      </c>
      <c r="F139"/>
      <c r="H139" s="3" t="s">
        <v>571</v>
      </c>
      <c r="I139" t="s">
        <v>178</v>
      </c>
      <c r="K139" s="15" t="s">
        <v>180</v>
      </c>
    </row>
    <row r="140" spans="1:12">
      <c r="A140" s="52"/>
      <c r="B140" s="52"/>
      <c r="C140" s="34" t="s">
        <v>572</v>
      </c>
      <c r="D140" t="s">
        <v>203</v>
      </c>
      <c r="F140"/>
      <c r="H140" s="3" t="s">
        <v>573</v>
      </c>
      <c r="I140" t="s">
        <v>178</v>
      </c>
      <c r="K140" s="15" t="s">
        <v>180</v>
      </c>
    </row>
    <row r="141" spans="1:12">
      <c r="A141" s="52"/>
      <c r="B141" s="52"/>
      <c r="C141" s="34" t="s">
        <v>574</v>
      </c>
      <c r="D141" t="s">
        <v>203</v>
      </c>
      <c r="F141"/>
      <c r="H141" s="3" t="s">
        <v>575</v>
      </c>
      <c r="I141" t="s">
        <v>178</v>
      </c>
      <c r="K141" s="15" t="s">
        <v>180</v>
      </c>
    </row>
    <row r="142" spans="1:12">
      <c r="A142" s="52"/>
      <c r="B142" s="52"/>
      <c r="C142" s="34" t="s">
        <v>576</v>
      </c>
      <c r="D142" t="s">
        <v>203</v>
      </c>
      <c r="F142"/>
      <c r="H142" s="3" t="s">
        <v>577</v>
      </c>
      <c r="I142" t="s">
        <v>178</v>
      </c>
      <c r="K142" s="15" t="s">
        <v>180</v>
      </c>
    </row>
    <row r="143" spans="1:12">
      <c r="A143" s="52"/>
      <c r="B143" s="52"/>
      <c r="C143" s="34" t="s">
        <v>578</v>
      </c>
      <c r="D143" t="s">
        <v>203</v>
      </c>
      <c r="F143"/>
      <c r="H143" s="3" t="s">
        <v>579</v>
      </c>
      <c r="I143" t="s">
        <v>178</v>
      </c>
      <c r="K143" s="15" t="s">
        <v>180</v>
      </c>
    </row>
    <row r="144" spans="1:12">
      <c r="A144" s="52"/>
      <c r="B144" s="52"/>
      <c r="C144" s="34" t="s">
        <v>580</v>
      </c>
      <c r="D144" t="s">
        <v>203</v>
      </c>
      <c r="F144"/>
      <c r="H144" s="3" t="s">
        <v>581</v>
      </c>
      <c r="I144" t="s">
        <v>178</v>
      </c>
      <c r="K144" s="15" t="s">
        <v>180</v>
      </c>
    </row>
    <row r="145" spans="1:12">
      <c r="A145" s="52"/>
      <c r="B145" s="52"/>
      <c r="C145" s="34" t="s">
        <v>582</v>
      </c>
      <c r="D145" t="s">
        <v>203</v>
      </c>
      <c r="F145"/>
      <c r="H145" s="3" t="s">
        <v>583</v>
      </c>
      <c r="I145" t="s">
        <v>178</v>
      </c>
      <c r="K145" s="15" t="s">
        <v>180</v>
      </c>
    </row>
    <row r="146" spans="1:12">
      <c r="A146" s="52"/>
      <c r="B146" s="52"/>
      <c r="C146" s="34" t="s">
        <v>584</v>
      </c>
      <c r="D146" t="s">
        <v>203</v>
      </c>
      <c r="F146"/>
      <c r="H146" s="3" t="s">
        <v>585</v>
      </c>
      <c r="I146" t="s">
        <v>178</v>
      </c>
      <c r="K146" s="15" t="s">
        <v>180</v>
      </c>
    </row>
    <row r="147" spans="1:12">
      <c r="A147" s="52"/>
      <c r="B147" s="51"/>
      <c r="C147" s="35" t="s">
        <v>586</v>
      </c>
      <c r="D147" t="s">
        <v>203</v>
      </c>
      <c r="F147"/>
      <c r="H147" s="3" t="s">
        <v>587</v>
      </c>
      <c r="I147" t="s">
        <v>178</v>
      </c>
      <c r="K147" s="15" t="s">
        <v>180</v>
      </c>
    </row>
    <row r="148" spans="1:12">
      <c r="A148" s="52"/>
      <c r="B148" s="50" t="s">
        <v>14</v>
      </c>
      <c r="C148" s="13" t="s">
        <v>504</v>
      </c>
      <c r="D148" s="40" t="s">
        <v>193</v>
      </c>
      <c r="E148">
        <v>362</v>
      </c>
      <c r="F148" s="40">
        <v>1</v>
      </c>
      <c r="G148" s="48">
        <v>199.934</v>
      </c>
      <c r="H148" s="42">
        <v>0</v>
      </c>
      <c r="I148" t="s">
        <v>187</v>
      </c>
      <c r="K148" s="15" t="s">
        <v>180</v>
      </c>
    </row>
    <row r="149" spans="1:12">
      <c r="A149" s="52"/>
      <c r="B149" s="52"/>
      <c r="C149" s="34" t="s">
        <v>505</v>
      </c>
      <c r="D149"/>
      <c r="F149"/>
      <c r="H149" s="43"/>
      <c r="I149"/>
    </row>
    <row r="150" spans="1:12">
      <c r="A150" s="52"/>
      <c r="B150" s="52"/>
      <c r="C150" s="35" t="s">
        <v>506</v>
      </c>
      <c r="D150" s="41"/>
      <c r="F150" s="41"/>
      <c r="H150" s="44"/>
      <c r="I150" s="41"/>
    </row>
    <row r="151" spans="1:12">
      <c r="A151" s="52"/>
      <c r="B151" s="52"/>
      <c r="C151" s="34" t="s">
        <v>588</v>
      </c>
      <c r="D151" t="s">
        <v>193</v>
      </c>
      <c r="E151">
        <v>369</v>
      </c>
      <c r="F151" s="1">
        <v>1</v>
      </c>
      <c r="G151" s="48">
        <v>52.454900000000002</v>
      </c>
      <c r="H151" s="3">
        <v>0.1</v>
      </c>
      <c r="I151" t="s">
        <v>187</v>
      </c>
      <c r="K151" s="15" t="s">
        <v>180</v>
      </c>
    </row>
    <row r="152" spans="1:12">
      <c r="A152" s="52"/>
      <c r="B152" s="52"/>
      <c r="C152" s="34" t="s">
        <v>589</v>
      </c>
      <c r="D152" t="s">
        <v>193</v>
      </c>
      <c r="E152">
        <v>372</v>
      </c>
      <c r="F152" s="1">
        <v>1</v>
      </c>
      <c r="G152" s="48">
        <v>50.915300000000002</v>
      </c>
      <c r="H152" s="3">
        <v>0.2</v>
      </c>
      <c r="I152" t="s">
        <v>187</v>
      </c>
      <c r="K152" s="15" t="s">
        <v>180</v>
      </c>
    </row>
    <row r="153" spans="1:12">
      <c r="A153" s="52"/>
      <c r="B153" s="52"/>
      <c r="C153" s="34" t="s">
        <v>507</v>
      </c>
      <c r="D153" t="s">
        <v>193</v>
      </c>
      <c r="E153">
        <v>375</v>
      </c>
      <c r="F153" s="1">
        <v>1</v>
      </c>
      <c r="G153" s="48">
        <v>92.910899999999998</v>
      </c>
      <c r="H153" s="3">
        <v>-0.1</v>
      </c>
      <c r="I153" t="s">
        <v>187</v>
      </c>
      <c r="K153" s="15" t="s">
        <v>180</v>
      </c>
    </row>
    <row r="154" spans="1:12">
      <c r="A154" s="52"/>
      <c r="B154" s="52"/>
      <c r="C154" s="34" t="s">
        <v>508</v>
      </c>
      <c r="D154" t="s">
        <v>193</v>
      </c>
      <c r="E154">
        <v>378</v>
      </c>
      <c r="F154" s="1">
        <v>1</v>
      </c>
      <c r="G154" s="48">
        <v>60.077300000000001</v>
      </c>
      <c r="H154" s="3" t="s">
        <v>187</v>
      </c>
      <c r="I154" t="s">
        <v>180</v>
      </c>
      <c r="K154" s="15" t="s">
        <v>180</v>
      </c>
    </row>
    <row r="155" spans="1:12">
      <c r="A155" s="52"/>
      <c r="B155" s="52"/>
      <c r="C155" s="34" t="s">
        <v>509</v>
      </c>
      <c r="D155" t="s">
        <v>176</v>
      </c>
      <c r="E155">
        <v>381</v>
      </c>
      <c r="F155" s="1">
        <v>4</v>
      </c>
      <c r="G155" s="48">
        <v>174.477</v>
      </c>
      <c r="H155" s="46" t="s">
        <v>590</v>
      </c>
      <c r="I155" t="s">
        <v>178</v>
      </c>
      <c r="J155" s="15" t="s">
        <v>179</v>
      </c>
      <c r="K155" s="15" t="s">
        <v>180</v>
      </c>
      <c r="L155" s="15" t="s">
        <v>179</v>
      </c>
    </row>
    <row r="156" spans="1:12">
      <c r="A156" s="52"/>
      <c r="B156" s="52"/>
      <c r="C156" s="34" t="s">
        <v>213</v>
      </c>
      <c r="D156" t="s">
        <v>203</v>
      </c>
      <c r="F156"/>
      <c r="H156" s="3" t="s">
        <v>187</v>
      </c>
      <c r="I156" t="s">
        <v>178</v>
      </c>
      <c r="K156" s="15" t="s">
        <v>180</v>
      </c>
    </row>
    <row r="157" spans="1:12">
      <c r="A157" s="52"/>
      <c r="B157" s="52"/>
      <c r="C157" s="34" t="s">
        <v>591</v>
      </c>
      <c r="D157" t="s">
        <v>203</v>
      </c>
      <c r="F157"/>
      <c r="H157" s="3" t="s">
        <v>592</v>
      </c>
      <c r="I157" t="s">
        <v>178</v>
      </c>
      <c r="K157" s="15" t="s">
        <v>180</v>
      </c>
    </row>
    <row r="158" spans="1:12">
      <c r="A158" s="52"/>
      <c r="B158" s="52"/>
      <c r="C158" s="34" t="s">
        <v>593</v>
      </c>
      <c r="D158" t="s">
        <v>203</v>
      </c>
      <c r="F158"/>
      <c r="H158" s="3" t="s">
        <v>594</v>
      </c>
      <c r="I158" t="s">
        <v>178</v>
      </c>
      <c r="K158" s="15" t="s">
        <v>180</v>
      </c>
    </row>
    <row r="159" spans="1:12">
      <c r="A159" s="52"/>
      <c r="B159" s="52"/>
      <c r="C159" s="34" t="s">
        <v>511</v>
      </c>
      <c r="D159" t="s">
        <v>203</v>
      </c>
      <c r="F159"/>
      <c r="H159" s="3" t="s">
        <v>512</v>
      </c>
      <c r="I159" t="s">
        <v>178</v>
      </c>
      <c r="K159" s="15" t="s">
        <v>180</v>
      </c>
    </row>
    <row r="160" spans="1:12">
      <c r="A160" s="52"/>
      <c r="B160" s="52"/>
      <c r="C160" s="34" t="s">
        <v>513</v>
      </c>
      <c r="D160" t="s">
        <v>176</v>
      </c>
      <c r="E160">
        <v>390</v>
      </c>
      <c r="F160" s="1">
        <v>4</v>
      </c>
      <c r="G160" s="48">
        <v>167.572</v>
      </c>
      <c r="H160" s="46" t="s">
        <v>595</v>
      </c>
      <c r="I160" t="s">
        <v>187</v>
      </c>
      <c r="J160" s="15" t="s">
        <v>179</v>
      </c>
      <c r="K160" s="15" t="s">
        <v>180</v>
      </c>
      <c r="L160" s="15" t="s">
        <v>179</v>
      </c>
    </row>
    <row r="161" spans="1:12">
      <c r="A161" s="52"/>
      <c r="B161" s="52"/>
      <c r="C161" s="34" t="s">
        <v>515</v>
      </c>
      <c r="D161" t="s">
        <v>203</v>
      </c>
      <c r="F161"/>
      <c r="H161" s="3">
        <v>1.1000000000000001</v>
      </c>
      <c r="I161" t="s">
        <v>187</v>
      </c>
      <c r="K161" s="15" t="s">
        <v>180</v>
      </c>
    </row>
    <row r="162" spans="1:12">
      <c r="A162" s="52"/>
      <c r="B162" s="52"/>
      <c r="C162" s="34" t="s">
        <v>596</v>
      </c>
      <c r="D162" t="s">
        <v>203</v>
      </c>
      <c r="F162"/>
      <c r="H162" s="3">
        <v>1.2</v>
      </c>
      <c r="I162" t="s">
        <v>187</v>
      </c>
      <c r="K162" s="15" t="s">
        <v>180</v>
      </c>
    </row>
    <row r="163" spans="1:12">
      <c r="A163" s="52"/>
      <c r="B163" s="52"/>
      <c r="C163" s="34" t="s">
        <v>597</v>
      </c>
      <c r="D163" t="s">
        <v>203</v>
      </c>
      <c r="F163"/>
      <c r="H163" s="3">
        <v>1.3</v>
      </c>
      <c r="I163" t="s">
        <v>187</v>
      </c>
      <c r="K163" s="15" t="s">
        <v>180</v>
      </c>
    </row>
    <row r="164" spans="1:12">
      <c r="A164" s="52"/>
      <c r="B164" s="52"/>
      <c r="C164" s="34" t="s">
        <v>516</v>
      </c>
      <c r="D164" t="s">
        <v>203</v>
      </c>
      <c r="F164"/>
      <c r="H164" s="3">
        <v>1</v>
      </c>
      <c r="I164" t="s">
        <v>187</v>
      </c>
      <c r="K164" s="15" t="s">
        <v>180</v>
      </c>
    </row>
    <row r="165" spans="1:12">
      <c r="A165" s="52"/>
      <c r="B165" s="52"/>
      <c r="C165" s="34" t="s">
        <v>517</v>
      </c>
      <c r="D165" t="s">
        <v>176</v>
      </c>
      <c r="E165">
        <v>399</v>
      </c>
      <c r="F165" s="1">
        <v>4</v>
      </c>
      <c r="G165" s="48">
        <v>169.511</v>
      </c>
      <c r="H165" s="46" t="s">
        <v>598</v>
      </c>
      <c r="I165" t="s">
        <v>187</v>
      </c>
      <c r="J165" s="15" t="s">
        <v>179</v>
      </c>
      <c r="K165" s="15" t="s">
        <v>180</v>
      </c>
      <c r="L165" s="15" t="s">
        <v>179</v>
      </c>
    </row>
    <row r="166" spans="1:12">
      <c r="A166" s="52"/>
      <c r="B166" s="52"/>
      <c r="C166" s="34" t="s">
        <v>519</v>
      </c>
      <c r="D166" t="s">
        <v>203</v>
      </c>
      <c r="F166"/>
      <c r="H166" s="3">
        <v>0.65</v>
      </c>
      <c r="I166" t="s">
        <v>187</v>
      </c>
      <c r="K166" s="15" t="s">
        <v>180</v>
      </c>
    </row>
    <row r="167" spans="1:12">
      <c r="A167" s="52"/>
      <c r="B167" s="52"/>
      <c r="C167" s="34" t="s">
        <v>599</v>
      </c>
      <c r="D167" t="s">
        <v>203</v>
      </c>
      <c r="F167"/>
      <c r="H167" s="3">
        <v>0.75</v>
      </c>
      <c r="I167" t="s">
        <v>187</v>
      </c>
      <c r="K167" s="15" t="s">
        <v>180</v>
      </c>
    </row>
    <row r="168" spans="1:12">
      <c r="A168" s="52"/>
      <c r="B168" s="52"/>
      <c r="C168" s="34" t="s">
        <v>600</v>
      </c>
      <c r="D168" t="s">
        <v>203</v>
      </c>
      <c r="F168"/>
      <c r="H168" s="3">
        <v>0.85</v>
      </c>
      <c r="I168" t="s">
        <v>187</v>
      </c>
      <c r="K168" s="15" t="s">
        <v>180</v>
      </c>
    </row>
    <row r="169" spans="1:12">
      <c r="A169" s="52"/>
      <c r="B169" s="52"/>
      <c r="C169" s="34" t="s">
        <v>520</v>
      </c>
      <c r="D169" t="s">
        <v>203</v>
      </c>
      <c r="F169"/>
      <c r="H169" s="3">
        <v>0.55000000000000004</v>
      </c>
      <c r="I169" t="s">
        <v>187</v>
      </c>
      <c r="K169" s="15" t="s">
        <v>180</v>
      </c>
    </row>
    <row r="170" spans="1:12">
      <c r="A170" s="52"/>
      <c r="B170" s="52"/>
      <c r="C170" s="34" t="s">
        <v>521</v>
      </c>
      <c r="D170" t="s">
        <v>176</v>
      </c>
      <c r="E170">
        <v>408</v>
      </c>
      <c r="F170" s="1">
        <v>4</v>
      </c>
      <c r="G170" s="48">
        <v>167.82900000000001</v>
      </c>
      <c r="H170" s="46" t="s">
        <v>595</v>
      </c>
      <c r="I170" t="s">
        <v>185</v>
      </c>
      <c r="J170" s="15" t="s">
        <v>179</v>
      </c>
      <c r="K170" s="15" t="s">
        <v>180</v>
      </c>
      <c r="L170" s="15" t="s">
        <v>179</v>
      </c>
    </row>
    <row r="171" spans="1:12">
      <c r="A171" s="52"/>
      <c r="B171" s="52"/>
      <c r="C171" s="34" t="s">
        <v>522</v>
      </c>
      <c r="D171" t="s">
        <v>203</v>
      </c>
      <c r="F171"/>
      <c r="H171" s="3">
        <v>1.1000000000000001</v>
      </c>
      <c r="I171" t="s">
        <v>185</v>
      </c>
      <c r="K171" s="15" t="s">
        <v>180</v>
      </c>
    </row>
    <row r="172" spans="1:12">
      <c r="A172" s="52"/>
      <c r="B172" s="52"/>
      <c r="C172" s="34" t="s">
        <v>601</v>
      </c>
      <c r="D172" t="s">
        <v>203</v>
      </c>
      <c r="F172"/>
      <c r="H172" s="3">
        <v>1.2</v>
      </c>
      <c r="I172" t="s">
        <v>185</v>
      </c>
      <c r="K172" s="15" t="s">
        <v>180</v>
      </c>
    </row>
    <row r="173" spans="1:12">
      <c r="A173" s="52"/>
      <c r="B173" s="52"/>
      <c r="C173" s="34" t="s">
        <v>602</v>
      </c>
      <c r="D173" t="s">
        <v>203</v>
      </c>
      <c r="F173"/>
      <c r="H173" s="3">
        <v>1.3</v>
      </c>
      <c r="I173" t="s">
        <v>185</v>
      </c>
      <c r="K173" s="15" t="s">
        <v>180</v>
      </c>
    </row>
    <row r="174" spans="1:12">
      <c r="A174" s="52"/>
      <c r="B174" s="52"/>
      <c r="C174" s="34" t="s">
        <v>523</v>
      </c>
      <c r="D174" t="s">
        <v>203</v>
      </c>
      <c r="F174"/>
      <c r="H174" s="3">
        <v>1</v>
      </c>
      <c r="I174" t="s">
        <v>185</v>
      </c>
      <c r="K174" s="15" t="s">
        <v>180</v>
      </c>
    </row>
    <row r="175" spans="1:12">
      <c r="A175" s="52"/>
      <c r="B175" s="52"/>
      <c r="C175" s="34" t="s">
        <v>524</v>
      </c>
      <c r="D175" t="s">
        <v>279</v>
      </c>
      <c r="F175"/>
      <c r="H175" s="3"/>
      <c r="I175"/>
    </row>
    <row r="176" spans="1:12">
      <c r="A176" s="52"/>
      <c r="B176" s="52"/>
      <c r="C176" s="34" t="s">
        <v>603</v>
      </c>
      <c r="D176" t="s">
        <v>279</v>
      </c>
      <c r="F176"/>
      <c r="H176" s="3"/>
      <c r="I176"/>
    </row>
    <row r="177" spans="1:12">
      <c r="A177" s="52"/>
      <c r="B177" s="52"/>
      <c r="C177" s="34" t="s">
        <v>604</v>
      </c>
      <c r="D177" t="s">
        <v>279</v>
      </c>
      <c r="F177"/>
      <c r="H177" s="3"/>
      <c r="I177"/>
    </row>
    <row r="178" spans="1:12">
      <c r="A178" s="52"/>
      <c r="B178" s="52"/>
      <c r="C178" s="34" t="s">
        <v>525</v>
      </c>
      <c r="D178" t="s">
        <v>279</v>
      </c>
      <c r="F178"/>
      <c r="H178" s="3"/>
      <c r="I178"/>
    </row>
    <row r="179" spans="1:12">
      <c r="A179" s="52"/>
      <c r="B179" s="52"/>
      <c r="C179" s="34" t="s">
        <v>560</v>
      </c>
      <c r="D179" t="s">
        <v>176</v>
      </c>
      <c r="E179">
        <v>421</v>
      </c>
      <c r="F179" t="s">
        <v>566</v>
      </c>
      <c r="G179" s="48">
        <v>235.19300000000001</v>
      </c>
      <c r="H179" s="3" t="s">
        <v>561</v>
      </c>
      <c r="I179" t="s">
        <v>187</v>
      </c>
      <c r="J179" s="15" t="s">
        <v>179</v>
      </c>
      <c r="K179" s="15" t="s">
        <v>180</v>
      </c>
      <c r="L179" s="15" t="s">
        <v>179</v>
      </c>
    </row>
    <row r="180" spans="1:12">
      <c r="A180" s="52"/>
      <c r="B180" s="52"/>
      <c r="C180" s="34" t="s">
        <v>527</v>
      </c>
      <c r="D180" t="s">
        <v>286</v>
      </c>
      <c r="F180"/>
      <c r="H180" s="3"/>
      <c r="I180"/>
    </row>
    <row r="181" spans="1:12">
      <c r="A181" s="52"/>
      <c r="B181" s="52"/>
      <c r="C181" s="53" t="s">
        <v>526</v>
      </c>
      <c r="D181" s="18" t="s">
        <v>176</v>
      </c>
      <c r="E181" s="18">
        <v>423</v>
      </c>
      <c r="F181" s="18">
        <f>1.05/0.01+1</f>
        <v>106</v>
      </c>
      <c r="G181" s="54">
        <v>4134.37</v>
      </c>
      <c r="H181" s="46" t="s">
        <v>490</v>
      </c>
      <c r="I181" t="s">
        <v>187</v>
      </c>
      <c r="J181" s="15" t="s">
        <v>179</v>
      </c>
      <c r="K181" s="15" t="s">
        <v>180</v>
      </c>
      <c r="L181" s="15" t="s">
        <v>179</v>
      </c>
    </row>
    <row r="182" spans="1:12">
      <c r="A182" s="52"/>
      <c r="B182" s="52"/>
      <c r="C182" s="53" t="s">
        <v>528</v>
      </c>
      <c r="D182" s="18" t="s">
        <v>286</v>
      </c>
      <c r="E182" s="18"/>
      <c r="F182" s="18"/>
      <c r="G182" s="54"/>
      <c r="H182" s="46" t="s">
        <v>490</v>
      </c>
      <c r="I182" t="s">
        <v>187</v>
      </c>
      <c r="K182" s="15" t="s">
        <v>180</v>
      </c>
    </row>
    <row r="183" spans="1:12">
      <c r="A183" s="52"/>
      <c r="B183" s="52"/>
      <c r="C183" s="53" t="s">
        <v>529</v>
      </c>
      <c r="D183" s="18" t="s">
        <v>286</v>
      </c>
      <c r="E183" s="18"/>
      <c r="F183" s="18"/>
      <c r="G183" s="54"/>
      <c r="H183" s="46" t="s">
        <v>490</v>
      </c>
      <c r="I183" t="s">
        <v>187</v>
      </c>
      <c r="K183" s="15" t="s">
        <v>180</v>
      </c>
    </row>
    <row r="184" spans="1:12">
      <c r="A184" s="52"/>
      <c r="B184" s="52"/>
      <c r="C184" s="34" t="s">
        <v>530</v>
      </c>
      <c r="D184" t="s">
        <v>279</v>
      </c>
      <c r="F184"/>
      <c r="H184" s="3"/>
      <c r="I184"/>
    </row>
    <row r="185" spans="1:12">
      <c r="A185" s="52"/>
      <c r="B185" s="52"/>
      <c r="C185" s="53" t="s">
        <v>531</v>
      </c>
      <c r="D185" s="18" t="s">
        <v>279</v>
      </c>
      <c r="E185" s="18"/>
      <c r="F185" s="18"/>
      <c r="G185" s="54"/>
      <c r="H185" s="46"/>
      <c r="I185"/>
    </row>
    <row r="186" spans="1:12">
      <c r="A186" s="52"/>
      <c r="B186" s="52"/>
      <c r="C186" s="53" t="s">
        <v>532</v>
      </c>
      <c r="D186" s="18" t="s">
        <v>279</v>
      </c>
      <c r="E186" s="18"/>
      <c r="F186" s="18"/>
      <c r="G186" s="54"/>
      <c r="H186" s="46"/>
      <c r="I186"/>
    </row>
    <row r="187" spans="1:12">
      <c r="A187" s="52"/>
      <c r="B187" s="52"/>
      <c r="C187" s="53" t="s">
        <v>533</v>
      </c>
      <c r="D187" s="18" t="s">
        <v>176</v>
      </c>
      <c r="E187" s="18">
        <v>433</v>
      </c>
      <c r="F187" s="55">
        <v>2</v>
      </c>
      <c r="G187" s="54">
        <v>103.395</v>
      </c>
      <c r="H187" s="46" t="s">
        <v>534</v>
      </c>
      <c r="I187" t="s">
        <v>187</v>
      </c>
      <c r="J187" s="15" t="s">
        <v>179</v>
      </c>
      <c r="K187" s="15" t="s">
        <v>180</v>
      </c>
      <c r="L187" s="15" t="s">
        <v>179</v>
      </c>
    </row>
    <row r="188" spans="1:12">
      <c r="A188" s="52"/>
      <c r="B188" s="52"/>
      <c r="C188" s="53" t="s">
        <v>535</v>
      </c>
      <c r="D188" s="18" t="s">
        <v>176</v>
      </c>
      <c r="E188" s="18">
        <v>434</v>
      </c>
      <c r="F188" s="55">
        <v>2</v>
      </c>
      <c r="G188" s="54">
        <v>105.57</v>
      </c>
      <c r="H188" s="46" t="s">
        <v>536</v>
      </c>
      <c r="I188" t="s">
        <v>187</v>
      </c>
      <c r="J188" s="15" t="s">
        <v>179</v>
      </c>
      <c r="K188" s="15" t="s">
        <v>180</v>
      </c>
      <c r="L188" s="15" t="s">
        <v>179</v>
      </c>
    </row>
    <row r="189" spans="1:12">
      <c r="A189" s="52"/>
      <c r="B189" s="52"/>
      <c r="C189" s="53" t="s">
        <v>537</v>
      </c>
      <c r="D189" s="18" t="s">
        <v>203</v>
      </c>
      <c r="E189" s="18"/>
      <c r="F189" s="18"/>
      <c r="G189" s="54"/>
      <c r="H189" s="46" t="s">
        <v>538</v>
      </c>
      <c r="I189" t="s">
        <v>187</v>
      </c>
      <c r="K189" s="15" t="s">
        <v>180</v>
      </c>
    </row>
    <row r="190" spans="1:12">
      <c r="A190" s="52"/>
      <c r="B190" s="52"/>
      <c r="C190" s="53" t="s">
        <v>539</v>
      </c>
      <c r="D190" s="18" t="s">
        <v>203</v>
      </c>
      <c r="E190" s="18"/>
      <c r="F190" s="18"/>
      <c r="G190" s="54"/>
      <c r="H190" s="46" t="s">
        <v>540</v>
      </c>
      <c r="I190" t="s">
        <v>187</v>
      </c>
      <c r="K190" s="15" t="s">
        <v>180</v>
      </c>
    </row>
    <row r="191" spans="1:12">
      <c r="A191" s="52"/>
      <c r="B191" s="52"/>
      <c r="C191" s="53" t="s">
        <v>541</v>
      </c>
      <c r="D191" s="18" t="s">
        <v>203</v>
      </c>
      <c r="E191" s="18"/>
      <c r="F191" s="18"/>
      <c r="G191" s="54"/>
      <c r="H191" s="46" t="s">
        <v>542</v>
      </c>
      <c r="I191" t="s">
        <v>187</v>
      </c>
      <c r="K191" s="15" t="s">
        <v>180</v>
      </c>
    </row>
    <row r="192" spans="1:12">
      <c r="A192" s="52"/>
      <c r="B192" s="52"/>
      <c r="C192" s="53" t="s">
        <v>543</v>
      </c>
      <c r="D192" s="18" t="s">
        <v>203</v>
      </c>
      <c r="E192" s="18"/>
      <c r="F192" s="18"/>
      <c r="G192" s="54"/>
      <c r="H192" s="46" t="s">
        <v>544</v>
      </c>
      <c r="I192" t="s">
        <v>187</v>
      </c>
      <c r="K192" s="15" t="s">
        <v>180</v>
      </c>
    </row>
    <row r="193" spans="1:12">
      <c r="A193" s="52"/>
      <c r="B193" s="52"/>
      <c r="C193" s="56" t="s">
        <v>545</v>
      </c>
      <c r="D193" s="57" t="s">
        <v>219</v>
      </c>
      <c r="E193" s="18"/>
      <c r="F193" s="57"/>
      <c r="G193" s="54"/>
      <c r="H193" s="58" t="s">
        <v>490</v>
      </c>
      <c r="I193" t="s">
        <v>187</v>
      </c>
      <c r="K193" s="15" t="s">
        <v>180</v>
      </c>
    </row>
    <row r="194" spans="1:12">
      <c r="A194" s="52"/>
      <c r="B194" s="52"/>
      <c r="C194" s="59" t="s">
        <v>546</v>
      </c>
      <c r="D194" s="60"/>
      <c r="E194" s="18"/>
      <c r="F194" s="60"/>
      <c r="G194" s="54"/>
      <c r="H194" s="61"/>
      <c r="I194" s="41"/>
    </row>
    <row r="195" spans="1:12">
      <c r="A195" s="52"/>
      <c r="B195" s="51"/>
      <c r="C195" s="35" t="s">
        <v>547</v>
      </c>
      <c r="D195" t="s">
        <v>203</v>
      </c>
      <c r="F195"/>
      <c r="H195" s="3"/>
      <c r="I195"/>
    </row>
    <row r="196" spans="1:12">
      <c r="A196" s="52"/>
      <c r="B196" s="50" t="s">
        <v>389</v>
      </c>
      <c r="C196" s="13" t="s">
        <v>175</v>
      </c>
      <c r="D196" t="s">
        <v>176</v>
      </c>
      <c r="E196">
        <v>447</v>
      </c>
      <c r="F196">
        <f>1/0.05+1</f>
        <v>21</v>
      </c>
      <c r="G196" s="48">
        <v>1632.64</v>
      </c>
      <c r="H196" s="3" t="s">
        <v>177</v>
      </c>
      <c r="I196" t="s">
        <v>178</v>
      </c>
      <c r="J196" s="15" t="s">
        <v>179</v>
      </c>
      <c r="K196" s="15" t="s">
        <v>180</v>
      </c>
      <c r="L196" s="15" t="s">
        <v>179</v>
      </c>
    </row>
    <row r="197" spans="1:12">
      <c r="A197" s="52"/>
      <c r="B197" s="52"/>
      <c r="C197" s="13" t="s">
        <v>190</v>
      </c>
      <c r="D197" s="40" t="s">
        <v>191</v>
      </c>
      <c r="F197" s="40"/>
      <c r="H197" s="42" t="s">
        <v>177</v>
      </c>
      <c r="I197" t="s">
        <v>178</v>
      </c>
      <c r="K197" s="15" t="s">
        <v>180</v>
      </c>
    </row>
    <row r="198" spans="1:12">
      <c r="A198" s="52"/>
      <c r="B198" s="52"/>
      <c r="C198" s="34" t="s">
        <v>563</v>
      </c>
      <c r="D198"/>
      <c r="F198"/>
      <c r="H198" s="43"/>
      <c r="I198"/>
    </row>
    <row r="199" spans="1:12">
      <c r="A199" s="52"/>
      <c r="B199" s="52"/>
      <c r="C199" s="35" t="s">
        <v>564</v>
      </c>
      <c r="D199" s="41"/>
      <c r="F199" s="41"/>
      <c r="H199" s="44"/>
      <c r="I199" s="41"/>
    </row>
    <row r="200" spans="1:12">
      <c r="A200" s="52"/>
      <c r="B200" s="52"/>
      <c r="C200" s="34" t="s">
        <v>390</v>
      </c>
      <c r="D200" t="s">
        <v>176</v>
      </c>
      <c r="E200">
        <v>456</v>
      </c>
      <c r="F200">
        <f>0.2/0.05+1</f>
        <v>5</v>
      </c>
      <c r="G200" s="48">
        <v>199.61199999999999</v>
      </c>
      <c r="H200" s="3" t="s">
        <v>391</v>
      </c>
      <c r="I200" t="s">
        <v>205</v>
      </c>
      <c r="J200" s="15" t="s">
        <v>179</v>
      </c>
      <c r="K200" s="15" t="s">
        <v>180</v>
      </c>
      <c r="L200" s="15" t="s">
        <v>179</v>
      </c>
    </row>
    <row r="201" spans="1:12">
      <c r="A201" s="52"/>
      <c r="B201" s="52"/>
      <c r="C201" s="34" t="s">
        <v>392</v>
      </c>
      <c r="D201" t="s">
        <v>176</v>
      </c>
      <c r="E201">
        <v>457</v>
      </c>
      <c r="F201">
        <f t="shared" ref="F201:F206" si="0">0.2/0.05+1</f>
        <v>5</v>
      </c>
      <c r="G201" s="48">
        <v>199.101</v>
      </c>
      <c r="H201" s="3" t="s">
        <v>391</v>
      </c>
      <c r="I201" t="s">
        <v>246</v>
      </c>
      <c r="J201" s="15" t="s">
        <v>179</v>
      </c>
      <c r="K201" s="15" t="s">
        <v>180</v>
      </c>
      <c r="L201" s="15" t="s">
        <v>179</v>
      </c>
    </row>
    <row r="202" spans="1:12">
      <c r="A202" s="52"/>
      <c r="B202" s="52"/>
      <c r="C202" s="34" t="s">
        <v>393</v>
      </c>
      <c r="D202" t="s">
        <v>176</v>
      </c>
      <c r="E202">
        <v>458</v>
      </c>
      <c r="F202">
        <f t="shared" si="0"/>
        <v>5</v>
      </c>
      <c r="G202" s="48">
        <v>199.09</v>
      </c>
      <c r="H202" s="3" t="s">
        <v>391</v>
      </c>
      <c r="I202" t="s">
        <v>394</v>
      </c>
      <c r="J202" s="15" t="s">
        <v>179</v>
      </c>
      <c r="K202" s="15" t="s">
        <v>180</v>
      </c>
      <c r="L202" s="15" t="s">
        <v>179</v>
      </c>
    </row>
    <row r="203" spans="1:12">
      <c r="A203" s="52"/>
      <c r="B203" s="52"/>
      <c r="C203" s="34" t="s">
        <v>395</v>
      </c>
      <c r="D203" t="s">
        <v>176</v>
      </c>
      <c r="E203">
        <v>459</v>
      </c>
      <c r="F203">
        <f t="shared" si="0"/>
        <v>5</v>
      </c>
      <c r="G203" s="48">
        <v>197.84700000000001</v>
      </c>
      <c r="H203" s="3" t="s">
        <v>391</v>
      </c>
      <c r="I203" t="s">
        <v>183</v>
      </c>
      <c r="J203" s="15" t="s">
        <v>179</v>
      </c>
      <c r="K203" s="15" t="s">
        <v>180</v>
      </c>
      <c r="L203" s="15" t="s">
        <v>179</v>
      </c>
    </row>
    <row r="204" spans="1:12">
      <c r="A204" s="52"/>
      <c r="B204" s="52"/>
      <c r="C204" s="34" t="s">
        <v>396</v>
      </c>
      <c r="D204" t="s">
        <v>176</v>
      </c>
      <c r="E204">
        <v>460</v>
      </c>
      <c r="F204">
        <f t="shared" si="0"/>
        <v>5</v>
      </c>
      <c r="G204" s="48">
        <v>198.30500000000001</v>
      </c>
      <c r="H204" s="3" t="s">
        <v>391</v>
      </c>
      <c r="I204" t="s">
        <v>397</v>
      </c>
      <c r="J204" s="15" t="s">
        <v>179</v>
      </c>
      <c r="K204" s="15" t="s">
        <v>180</v>
      </c>
      <c r="L204" s="15" t="s">
        <v>179</v>
      </c>
    </row>
    <row r="205" spans="1:12">
      <c r="A205" s="52"/>
      <c r="B205" s="52"/>
      <c r="C205" s="34" t="s">
        <v>398</v>
      </c>
      <c r="D205" t="s">
        <v>176</v>
      </c>
      <c r="E205">
        <v>461</v>
      </c>
      <c r="F205">
        <f t="shared" si="0"/>
        <v>5</v>
      </c>
      <c r="G205" s="48">
        <v>198.05600000000001</v>
      </c>
      <c r="H205" s="3" t="s">
        <v>391</v>
      </c>
      <c r="I205" t="s">
        <v>267</v>
      </c>
      <c r="J205" s="15" t="s">
        <v>179</v>
      </c>
      <c r="K205" s="15" t="s">
        <v>180</v>
      </c>
      <c r="L205" s="15" t="s">
        <v>179</v>
      </c>
    </row>
    <row r="206" spans="1:12">
      <c r="A206" s="52"/>
      <c r="B206" s="52"/>
      <c r="C206" s="34" t="s">
        <v>399</v>
      </c>
      <c r="D206" t="s">
        <v>176</v>
      </c>
      <c r="E206">
        <v>462</v>
      </c>
      <c r="F206">
        <f t="shared" si="0"/>
        <v>5</v>
      </c>
      <c r="G206" s="48">
        <v>198.887</v>
      </c>
      <c r="H206" s="3" t="s">
        <v>391</v>
      </c>
      <c r="I206" t="s">
        <v>210</v>
      </c>
      <c r="J206" s="15" t="s">
        <v>179</v>
      </c>
      <c r="K206" s="15" t="s">
        <v>180</v>
      </c>
      <c r="L206" s="15" t="s">
        <v>179</v>
      </c>
    </row>
    <row r="207" spans="1:12">
      <c r="A207" s="52"/>
      <c r="B207" s="52"/>
      <c r="C207" s="34" t="s">
        <v>400</v>
      </c>
      <c r="D207" t="s">
        <v>203</v>
      </c>
      <c r="F207"/>
      <c r="H207" s="3" t="s">
        <v>401</v>
      </c>
      <c r="I207" t="s">
        <v>205</v>
      </c>
      <c r="K207" s="15" t="s">
        <v>180</v>
      </c>
    </row>
    <row r="208" spans="1:12">
      <c r="A208" s="52"/>
      <c r="B208" s="52"/>
      <c r="C208" s="34" t="s">
        <v>402</v>
      </c>
      <c r="D208" t="s">
        <v>203</v>
      </c>
      <c r="F208"/>
      <c r="H208" s="3" t="s">
        <v>403</v>
      </c>
      <c r="I208" t="s">
        <v>205</v>
      </c>
      <c r="K208" s="15" t="s">
        <v>180</v>
      </c>
    </row>
    <row r="209" spans="1:11">
      <c r="A209" s="52"/>
      <c r="B209" s="52"/>
      <c r="C209" s="34" t="s">
        <v>404</v>
      </c>
      <c r="D209" t="s">
        <v>203</v>
      </c>
      <c r="F209"/>
      <c r="H209" s="3" t="s">
        <v>331</v>
      </c>
      <c r="I209" t="s">
        <v>205</v>
      </c>
      <c r="K209" s="15" t="s">
        <v>180</v>
      </c>
    </row>
    <row r="210" spans="1:11">
      <c r="A210" s="52"/>
      <c r="B210" s="52"/>
      <c r="C210" s="34" t="s">
        <v>405</v>
      </c>
      <c r="D210" t="s">
        <v>203</v>
      </c>
      <c r="F210"/>
      <c r="H210" s="3" t="s">
        <v>406</v>
      </c>
      <c r="I210" t="s">
        <v>205</v>
      </c>
      <c r="K210" s="15" t="s">
        <v>180</v>
      </c>
    </row>
    <row r="211" spans="1:11">
      <c r="A211" s="52"/>
      <c r="B211" s="52"/>
      <c r="C211" s="34" t="s">
        <v>407</v>
      </c>
      <c r="D211" t="s">
        <v>203</v>
      </c>
      <c r="F211"/>
      <c r="H211" s="3" t="s">
        <v>408</v>
      </c>
      <c r="I211" t="s">
        <v>205</v>
      </c>
      <c r="K211" s="15" t="s">
        <v>180</v>
      </c>
    </row>
    <row r="212" spans="1:11">
      <c r="A212" s="52"/>
      <c r="B212" s="52"/>
      <c r="C212" s="34" t="s">
        <v>409</v>
      </c>
      <c r="D212" t="s">
        <v>203</v>
      </c>
      <c r="F212"/>
      <c r="H212" s="3" t="s">
        <v>401</v>
      </c>
      <c r="I212" t="s">
        <v>246</v>
      </c>
      <c r="K212" s="15" t="s">
        <v>180</v>
      </c>
    </row>
    <row r="213" spans="1:11">
      <c r="A213" s="52"/>
      <c r="B213" s="52"/>
      <c r="C213" s="34" t="s">
        <v>410</v>
      </c>
      <c r="D213" t="s">
        <v>203</v>
      </c>
      <c r="F213"/>
      <c r="H213" s="3" t="s">
        <v>403</v>
      </c>
      <c r="I213" t="s">
        <v>246</v>
      </c>
      <c r="K213" s="15" t="s">
        <v>180</v>
      </c>
    </row>
    <row r="214" spans="1:11">
      <c r="A214" s="52"/>
      <c r="B214" s="52"/>
      <c r="C214" s="34" t="s">
        <v>411</v>
      </c>
      <c r="D214" t="s">
        <v>203</v>
      </c>
      <c r="F214"/>
      <c r="H214" s="3" t="s">
        <v>331</v>
      </c>
      <c r="I214" t="s">
        <v>246</v>
      </c>
      <c r="K214" s="15" t="s">
        <v>180</v>
      </c>
    </row>
    <row r="215" spans="1:11">
      <c r="A215" s="52"/>
      <c r="B215" s="52"/>
      <c r="C215" s="34" t="s">
        <v>412</v>
      </c>
      <c r="D215" t="s">
        <v>203</v>
      </c>
      <c r="F215"/>
      <c r="H215" s="3" t="s">
        <v>406</v>
      </c>
      <c r="I215" t="s">
        <v>246</v>
      </c>
      <c r="K215" s="15" t="s">
        <v>180</v>
      </c>
    </row>
    <row r="216" spans="1:11">
      <c r="A216" s="52"/>
      <c r="B216" s="52"/>
      <c r="C216" s="34" t="s">
        <v>413</v>
      </c>
      <c r="D216" t="s">
        <v>203</v>
      </c>
      <c r="F216"/>
      <c r="H216" s="3" t="s">
        <v>408</v>
      </c>
      <c r="I216" t="s">
        <v>246</v>
      </c>
      <c r="K216" s="15" t="s">
        <v>180</v>
      </c>
    </row>
    <row r="217" spans="1:11">
      <c r="A217" s="52"/>
      <c r="B217" s="52"/>
      <c r="C217" s="34" t="s">
        <v>414</v>
      </c>
      <c r="D217" t="s">
        <v>203</v>
      </c>
      <c r="F217"/>
      <c r="H217" s="3" t="s">
        <v>401</v>
      </c>
      <c r="I217" t="s">
        <v>394</v>
      </c>
      <c r="K217" s="15" t="s">
        <v>180</v>
      </c>
    </row>
    <row r="218" spans="1:11">
      <c r="A218" s="52"/>
      <c r="B218" s="52"/>
      <c r="C218" s="34" t="s">
        <v>415</v>
      </c>
      <c r="D218" t="s">
        <v>203</v>
      </c>
      <c r="F218"/>
      <c r="H218" s="3" t="s">
        <v>403</v>
      </c>
      <c r="I218" t="s">
        <v>394</v>
      </c>
      <c r="K218" s="15" t="s">
        <v>180</v>
      </c>
    </row>
    <row r="219" spans="1:11">
      <c r="A219" s="52"/>
      <c r="B219" s="52"/>
      <c r="C219" s="34" t="s">
        <v>416</v>
      </c>
      <c r="D219" t="s">
        <v>203</v>
      </c>
      <c r="F219"/>
      <c r="H219" s="3" t="s">
        <v>331</v>
      </c>
      <c r="I219" t="s">
        <v>394</v>
      </c>
      <c r="K219" s="15" t="s">
        <v>180</v>
      </c>
    </row>
    <row r="220" spans="1:11">
      <c r="A220" s="52"/>
      <c r="B220" s="52"/>
      <c r="C220" s="34" t="s">
        <v>417</v>
      </c>
      <c r="D220" t="s">
        <v>203</v>
      </c>
      <c r="F220"/>
      <c r="H220" s="3" t="s">
        <v>406</v>
      </c>
      <c r="I220" t="s">
        <v>394</v>
      </c>
      <c r="K220" s="15" t="s">
        <v>180</v>
      </c>
    </row>
    <row r="221" spans="1:11">
      <c r="A221" s="52"/>
      <c r="B221" s="52"/>
      <c r="C221" s="34" t="s">
        <v>418</v>
      </c>
      <c r="D221" t="s">
        <v>203</v>
      </c>
      <c r="F221"/>
      <c r="H221" s="3" t="s">
        <v>408</v>
      </c>
      <c r="I221" t="s">
        <v>394</v>
      </c>
      <c r="K221" s="15" t="s">
        <v>180</v>
      </c>
    </row>
    <row r="222" spans="1:11">
      <c r="A222" s="52"/>
      <c r="B222" s="52"/>
      <c r="C222" s="34" t="s">
        <v>419</v>
      </c>
      <c r="D222" t="s">
        <v>203</v>
      </c>
      <c r="F222"/>
      <c r="H222" s="3" t="s">
        <v>401</v>
      </c>
      <c r="I222" t="s">
        <v>183</v>
      </c>
      <c r="K222" s="15" t="s">
        <v>180</v>
      </c>
    </row>
    <row r="223" spans="1:11">
      <c r="A223" s="52"/>
      <c r="B223" s="52"/>
      <c r="C223" s="34" t="s">
        <v>420</v>
      </c>
      <c r="D223" t="s">
        <v>203</v>
      </c>
      <c r="F223"/>
      <c r="H223" s="3" t="s">
        <v>403</v>
      </c>
      <c r="I223" t="s">
        <v>183</v>
      </c>
      <c r="K223" s="15" t="s">
        <v>180</v>
      </c>
    </row>
    <row r="224" spans="1:11">
      <c r="A224" s="52"/>
      <c r="B224" s="52"/>
      <c r="C224" s="34" t="s">
        <v>421</v>
      </c>
      <c r="D224" t="s">
        <v>203</v>
      </c>
      <c r="F224"/>
      <c r="H224" s="3" t="s">
        <v>331</v>
      </c>
      <c r="I224" t="s">
        <v>183</v>
      </c>
      <c r="K224" s="15" t="s">
        <v>180</v>
      </c>
    </row>
    <row r="225" spans="1:11">
      <c r="A225" s="52"/>
      <c r="B225" s="52"/>
      <c r="C225" s="34" t="s">
        <v>422</v>
      </c>
      <c r="D225" t="s">
        <v>203</v>
      </c>
      <c r="F225"/>
      <c r="H225" s="3" t="s">
        <v>406</v>
      </c>
      <c r="I225" t="s">
        <v>183</v>
      </c>
      <c r="K225" s="15" t="s">
        <v>180</v>
      </c>
    </row>
    <row r="226" spans="1:11">
      <c r="A226" s="52"/>
      <c r="B226" s="52"/>
      <c r="C226" s="34" t="s">
        <v>423</v>
      </c>
      <c r="D226" t="s">
        <v>203</v>
      </c>
      <c r="F226"/>
      <c r="H226" s="3" t="s">
        <v>408</v>
      </c>
      <c r="I226" t="s">
        <v>183</v>
      </c>
      <c r="K226" s="15" t="s">
        <v>180</v>
      </c>
    </row>
    <row r="227" spans="1:11">
      <c r="A227" s="52"/>
      <c r="B227" s="52"/>
      <c r="C227" s="34" t="s">
        <v>424</v>
      </c>
      <c r="D227" t="s">
        <v>203</v>
      </c>
      <c r="F227"/>
      <c r="H227" s="3" t="s">
        <v>401</v>
      </c>
      <c r="I227" t="s">
        <v>397</v>
      </c>
      <c r="K227" s="15" t="s">
        <v>180</v>
      </c>
    </row>
    <row r="228" spans="1:11">
      <c r="A228" s="52"/>
      <c r="B228" s="52"/>
      <c r="C228" s="34" t="s">
        <v>425</v>
      </c>
      <c r="D228" t="s">
        <v>203</v>
      </c>
      <c r="F228"/>
      <c r="H228" s="3" t="s">
        <v>403</v>
      </c>
      <c r="I228" t="s">
        <v>397</v>
      </c>
      <c r="K228" s="15" t="s">
        <v>180</v>
      </c>
    </row>
    <row r="229" spans="1:11">
      <c r="A229" s="52"/>
      <c r="B229" s="52"/>
      <c r="C229" s="34" t="s">
        <v>426</v>
      </c>
      <c r="D229" t="s">
        <v>203</v>
      </c>
      <c r="F229"/>
      <c r="H229" s="3" t="s">
        <v>331</v>
      </c>
      <c r="I229" t="s">
        <v>397</v>
      </c>
      <c r="K229" s="15" t="s">
        <v>180</v>
      </c>
    </row>
    <row r="230" spans="1:11">
      <c r="A230" s="52"/>
      <c r="B230" s="52"/>
      <c r="C230" s="34" t="s">
        <v>427</v>
      </c>
      <c r="D230" t="s">
        <v>203</v>
      </c>
      <c r="F230"/>
      <c r="H230" s="3" t="s">
        <v>406</v>
      </c>
      <c r="I230" t="s">
        <v>397</v>
      </c>
      <c r="K230" s="15" t="s">
        <v>180</v>
      </c>
    </row>
    <row r="231" spans="1:11">
      <c r="A231" s="52"/>
      <c r="B231" s="52"/>
      <c r="C231" s="34" t="s">
        <v>428</v>
      </c>
      <c r="D231" t="s">
        <v>203</v>
      </c>
      <c r="F231"/>
      <c r="H231" s="3" t="s">
        <v>408</v>
      </c>
      <c r="I231" t="s">
        <v>397</v>
      </c>
      <c r="K231" s="15" t="s">
        <v>180</v>
      </c>
    </row>
    <row r="232" spans="1:11">
      <c r="A232" s="52"/>
      <c r="B232" s="52"/>
      <c r="C232" s="34" t="s">
        <v>429</v>
      </c>
      <c r="D232" t="s">
        <v>203</v>
      </c>
      <c r="F232"/>
      <c r="H232" s="3" t="s">
        <v>401</v>
      </c>
      <c r="I232" t="s">
        <v>267</v>
      </c>
      <c r="K232" s="15" t="s">
        <v>180</v>
      </c>
    </row>
    <row r="233" spans="1:11">
      <c r="A233" s="52"/>
      <c r="B233" s="52"/>
      <c r="C233" s="34" t="s">
        <v>430</v>
      </c>
      <c r="D233" t="s">
        <v>203</v>
      </c>
      <c r="F233"/>
      <c r="H233" s="3" t="s">
        <v>403</v>
      </c>
      <c r="I233" t="s">
        <v>267</v>
      </c>
      <c r="K233" s="15" t="s">
        <v>180</v>
      </c>
    </row>
    <row r="234" spans="1:11">
      <c r="A234" s="52"/>
      <c r="B234" s="52"/>
      <c r="C234" s="34" t="s">
        <v>431</v>
      </c>
      <c r="D234" t="s">
        <v>203</v>
      </c>
      <c r="F234"/>
      <c r="H234" s="3" t="s">
        <v>331</v>
      </c>
      <c r="I234" t="s">
        <v>267</v>
      </c>
      <c r="K234" s="15" t="s">
        <v>180</v>
      </c>
    </row>
    <row r="235" spans="1:11">
      <c r="A235" s="52"/>
      <c r="B235" s="52"/>
      <c r="C235" s="34" t="s">
        <v>432</v>
      </c>
      <c r="D235" t="s">
        <v>203</v>
      </c>
      <c r="F235"/>
      <c r="H235" s="3" t="s">
        <v>406</v>
      </c>
      <c r="I235" t="s">
        <v>267</v>
      </c>
      <c r="K235" s="15" t="s">
        <v>180</v>
      </c>
    </row>
    <row r="236" spans="1:11">
      <c r="A236" s="52"/>
      <c r="B236" s="52"/>
      <c r="C236" s="34" t="s">
        <v>433</v>
      </c>
      <c r="D236" t="s">
        <v>203</v>
      </c>
      <c r="F236"/>
      <c r="H236" s="3" t="s">
        <v>408</v>
      </c>
      <c r="I236" t="s">
        <v>267</v>
      </c>
      <c r="K236" s="15" t="s">
        <v>180</v>
      </c>
    </row>
    <row r="237" spans="1:11">
      <c r="A237" s="52"/>
      <c r="B237" s="52"/>
      <c r="C237" s="34" t="s">
        <v>434</v>
      </c>
      <c r="D237" t="s">
        <v>203</v>
      </c>
      <c r="F237"/>
      <c r="H237" s="3" t="s">
        <v>401</v>
      </c>
      <c r="I237" t="s">
        <v>210</v>
      </c>
      <c r="K237" s="15" t="s">
        <v>180</v>
      </c>
    </row>
    <row r="238" spans="1:11">
      <c r="A238" s="52"/>
      <c r="B238" s="52"/>
      <c r="C238" s="34" t="s">
        <v>435</v>
      </c>
      <c r="D238" t="s">
        <v>203</v>
      </c>
      <c r="F238"/>
      <c r="H238" s="3" t="s">
        <v>403</v>
      </c>
      <c r="I238" t="s">
        <v>210</v>
      </c>
      <c r="K238" s="15" t="s">
        <v>180</v>
      </c>
    </row>
    <row r="239" spans="1:11">
      <c r="A239" s="52"/>
      <c r="B239" s="52"/>
      <c r="C239" s="34" t="s">
        <v>436</v>
      </c>
      <c r="D239" t="s">
        <v>203</v>
      </c>
      <c r="F239"/>
      <c r="H239" s="3" t="s">
        <v>331</v>
      </c>
      <c r="I239" t="s">
        <v>210</v>
      </c>
      <c r="K239" s="15" t="s">
        <v>180</v>
      </c>
    </row>
    <row r="240" spans="1:11">
      <c r="A240" s="52"/>
      <c r="B240" s="52"/>
      <c r="C240" s="34" t="s">
        <v>437</v>
      </c>
      <c r="D240" t="s">
        <v>203</v>
      </c>
      <c r="F240"/>
      <c r="H240" s="3" t="s">
        <v>406</v>
      </c>
      <c r="I240" t="s">
        <v>210</v>
      </c>
      <c r="K240" s="15" t="s">
        <v>180</v>
      </c>
    </row>
    <row r="241" spans="1:11">
      <c r="A241" s="52"/>
      <c r="B241" s="52"/>
      <c r="C241" s="34" t="s">
        <v>438</v>
      </c>
      <c r="D241" t="s">
        <v>203</v>
      </c>
      <c r="F241"/>
      <c r="H241" s="3" t="s">
        <v>408</v>
      </c>
      <c r="I241" t="s">
        <v>210</v>
      </c>
      <c r="K241" s="15" t="s">
        <v>180</v>
      </c>
    </row>
    <row r="242" spans="1:11">
      <c r="A242" s="52"/>
      <c r="B242" s="52"/>
      <c r="C242" s="34" t="s">
        <v>439</v>
      </c>
      <c r="D242" t="s">
        <v>279</v>
      </c>
      <c r="F242"/>
      <c r="H242" s="3"/>
      <c r="I242"/>
    </row>
    <row r="243" spans="1:11">
      <c r="A243" s="52"/>
      <c r="B243" s="52"/>
      <c r="C243" s="34" t="s">
        <v>440</v>
      </c>
      <c r="D243" t="s">
        <v>279</v>
      </c>
      <c r="F243"/>
      <c r="H243" s="3"/>
      <c r="I243"/>
    </row>
    <row r="244" spans="1:11">
      <c r="A244" s="52"/>
      <c r="B244" s="52"/>
      <c r="C244" s="34" t="s">
        <v>441</v>
      </c>
      <c r="D244" t="s">
        <v>279</v>
      </c>
      <c r="F244"/>
      <c r="H244" s="3"/>
      <c r="I244"/>
    </row>
    <row r="245" spans="1:11">
      <c r="A245" s="52"/>
      <c r="B245" s="52"/>
      <c r="C245" s="34" t="s">
        <v>442</v>
      </c>
      <c r="D245" t="s">
        <v>279</v>
      </c>
      <c r="F245"/>
      <c r="H245" s="3"/>
      <c r="I245"/>
    </row>
    <row r="246" spans="1:11">
      <c r="A246" s="52"/>
      <c r="B246" s="52"/>
      <c r="C246" s="34" t="s">
        <v>443</v>
      </c>
      <c r="D246" t="s">
        <v>279</v>
      </c>
      <c r="F246"/>
      <c r="H246" s="3"/>
      <c r="I246"/>
    </row>
    <row r="247" spans="1:11">
      <c r="A247" s="52"/>
      <c r="B247" s="52"/>
      <c r="C247" s="34" t="s">
        <v>444</v>
      </c>
      <c r="D247" t="s">
        <v>279</v>
      </c>
      <c r="F247"/>
      <c r="H247" s="3"/>
      <c r="I247"/>
    </row>
    <row r="248" spans="1:11">
      <c r="A248" s="52"/>
      <c r="B248" s="52"/>
      <c r="C248" s="34" t="s">
        <v>445</v>
      </c>
      <c r="D248" t="s">
        <v>279</v>
      </c>
      <c r="F248"/>
      <c r="H248" s="3"/>
      <c r="I248"/>
    </row>
    <row r="249" spans="1:11">
      <c r="A249" s="52"/>
      <c r="B249" s="52"/>
      <c r="C249" s="34" t="s">
        <v>446</v>
      </c>
      <c r="D249" t="s">
        <v>279</v>
      </c>
      <c r="F249"/>
      <c r="H249" s="3"/>
      <c r="I249"/>
    </row>
    <row r="250" spans="1:11">
      <c r="A250" s="52"/>
      <c r="B250" s="52"/>
      <c r="C250" s="34" t="s">
        <v>447</v>
      </c>
      <c r="D250" t="s">
        <v>279</v>
      </c>
      <c r="F250"/>
      <c r="H250" s="3"/>
      <c r="I250"/>
    </row>
    <row r="251" spans="1:11">
      <c r="A251" s="52"/>
      <c r="B251" s="52"/>
      <c r="C251" s="34" t="s">
        <v>448</v>
      </c>
      <c r="D251" t="s">
        <v>279</v>
      </c>
      <c r="F251"/>
      <c r="H251" s="3"/>
      <c r="I251"/>
    </row>
    <row r="252" spans="1:11">
      <c r="A252" s="52"/>
      <c r="B252" s="52"/>
      <c r="C252" s="34" t="s">
        <v>449</v>
      </c>
      <c r="D252" t="s">
        <v>279</v>
      </c>
      <c r="F252"/>
      <c r="H252" s="3"/>
      <c r="I252"/>
    </row>
    <row r="253" spans="1:11">
      <c r="A253" s="52"/>
      <c r="B253" s="52"/>
      <c r="C253" s="34" t="s">
        <v>450</v>
      </c>
      <c r="D253" t="s">
        <v>279</v>
      </c>
      <c r="F253"/>
      <c r="H253" s="3"/>
      <c r="I253"/>
    </row>
    <row r="254" spans="1:11">
      <c r="A254" s="52"/>
      <c r="B254" s="52"/>
      <c r="C254" s="34" t="s">
        <v>451</v>
      </c>
      <c r="D254" t="s">
        <v>279</v>
      </c>
      <c r="F254"/>
      <c r="H254" s="3"/>
      <c r="I254"/>
    </row>
    <row r="255" spans="1:11">
      <c r="A255" s="52"/>
      <c r="B255" s="52"/>
      <c r="C255" s="34" t="s">
        <v>452</v>
      </c>
      <c r="D255" t="s">
        <v>279</v>
      </c>
      <c r="F255"/>
      <c r="H255" s="3"/>
      <c r="I255"/>
    </row>
    <row r="256" spans="1:11">
      <c r="A256" s="52"/>
      <c r="B256" s="52"/>
      <c r="C256" s="34" t="s">
        <v>453</v>
      </c>
      <c r="D256" t="s">
        <v>279</v>
      </c>
      <c r="F256"/>
      <c r="H256" s="3"/>
      <c r="I256"/>
    </row>
    <row r="257" spans="1:9">
      <c r="A257" s="52"/>
      <c r="B257" s="52"/>
      <c r="C257" s="34" t="s">
        <v>454</v>
      </c>
      <c r="D257" t="s">
        <v>279</v>
      </c>
      <c r="F257"/>
      <c r="H257" s="3"/>
      <c r="I257"/>
    </row>
    <row r="258" spans="1:9">
      <c r="A258" s="52"/>
      <c r="B258" s="52"/>
      <c r="C258" s="34" t="s">
        <v>455</v>
      </c>
      <c r="D258" t="s">
        <v>279</v>
      </c>
      <c r="F258"/>
      <c r="H258" s="3"/>
      <c r="I258"/>
    </row>
    <row r="259" spans="1:9">
      <c r="A259" s="52"/>
      <c r="B259" s="52"/>
      <c r="C259" s="34" t="s">
        <v>456</v>
      </c>
      <c r="D259" t="s">
        <v>279</v>
      </c>
      <c r="F259"/>
      <c r="H259" s="3"/>
      <c r="I259"/>
    </row>
    <row r="260" spans="1:9">
      <c r="A260" s="52"/>
      <c r="B260" s="52"/>
      <c r="C260" s="34" t="s">
        <v>457</v>
      </c>
      <c r="D260" t="s">
        <v>279</v>
      </c>
      <c r="F260"/>
      <c r="H260" s="3"/>
      <c r="I260"/>
    </row>
    <row r="261" spans="1:9">
      <c r="A261" s="52"/>
      <c r="B261" s="52"/>
      <c r="C261" s="34" t="s">
        <v>458</v>
      </c>
      <c r="D261" t="s">
        <v>279</v>
      </c>
      <c r="F261"/>
      <c r="H261" s="3"/>
      <c r="I261"/>
    </row>
    <row r="262" spans="1:9">
      <c r="A262" s="52"/>
      <c r="B262" s="52"/>
      <c r="C262" s="34" t="s">
        <v>459</v>
      </c>
      <c r="D262" t="s">
        <v>279</v>
      </c>
      <c r="F262"/>
      <c r="H262" s="3"/>
      <c r="I262"/>
    </row>
    <row r="263" spans="1:9">
      <c r="A263" s="52"/>
      <c r="B263" s="52"/>
      <c r="C263" s="34" t="s">
        <v>460</v>
      </c>
      <c r="D263" t="s">
        <v>279</v>
      </c>
      <c r="F263"/>
      <c r="H263" s="3"/>
      <c r="I263"/>
    </row>
    <row r="264" spans="1:9">
      <c r="A264" s="52"/>
      <c r="B264" s="52"/>
      <c r="C264" s="34" t="s">
        <v>461</v>
      </c>
      <c r="D264" t="s">
        <v>279</v>
      </c>
      <c r="F264"/>
      <c r="H264" s="3"/>
      <c r="I264"/>
    </row>
    <row r="265" spans="1:9">
      <c r="A265" s="52"/>
      <c r="B265" s="52"/>
      <c r="C265" s="34" t="s">
        <v>462</v>
      </c>
      <c r="D265" t="s">
        <v>279</v>
      </c>
      <c r="F265"/>
      <c r="H265" s="3"/>
      <c r="I265"/>
    </row>
    <row r="266" spans="1:9">
      <c r="A266" s="52"/>
      <c r="B266" s="52"/>
      <c r="C266" s="34" t="s">
        <v>463</v>
      </c>
      <c r="D266" t="s">
        <v>279</v>
      </c>
      <c r="F266"/>
      <c r="H266" s="3"/>
      <c r="I266"/>
    </row>
    <row r="267" spans="1:9">
      <c r="A267" s="52"/>
      <c r="B267" s="52"/>
      <c r="C267" s="34" t="s">
        <v>464</v>
      </c>
      <c r="D267" t="s">
        <v>279</v>
      </c>
      <c r="F267"/>
      <c r="H267" s="3"/>
      <c r="I267"/>
    </row>
    <row r="268" spans="1:9">
      <c r="A268" s="52"/>
      <c r="B268" s="52"/>
      <c r="C268" s="34" t="s">
        <v>465</v>
      </c>
      <c r="D268" t="s">
        <v>279</v>
      </c>
      <c r="F268"/>
      <c r="H268" s="3"/>
      <c r="I268"/>
    </row>
    <row r="269" spans="1:9">
      <c r="A269" s="52"/>
      <c r="B269" s="52"/>
      <c r="C269" s="34" t="s">
        <v>466</v>
      </c>
      <c r="D269" t="s">
        <v>279</v>
      </c>
      <c r="F269"/>
      <c r="H269" s="3"/>
      <c r="I269"/>
    </row>
    <row r="270" spans="1:9">
      <c r="A270" s="52"/>
      <c r="B270" s="52"/>
      <c r="C270" s="34" t="s">
        <v>467</v>
      </c>
      <c r="D270" t="s">
        <v>279</v>
      </c>
      <c r="F270"/>
      <c r="H270" s="3"/>
      <c r="I270"/>
    </row>
    <row r="271" spans="1:9">
      <c r="A271" s="52"/>
      <c r="B271" s="52"/>
      <c r="C271" s="34" t="s">
        <v>468</v>
      </c>
      <c r="D271" t="s">
        <v>279</v>
      </c>
      <c r="F271"/>
      <c r="H271" s="3"/>
      <c r="I271"/>
    </row>
    <row r="272" spans="1:9">
      <c r="A272" s="52"/>
      <c r="B272" s="52"/>
      <c r="C272" s="34" t="s">
        <v>469</v>
      </c>
      <c r="D272" t="s">
        <v>279</v>
      </c>
      <c r="F272"/>
      <c r="H272" s="3"/>
      <c r="I272"/>
    </row>
    <row r="273" spans="1:12">
      <c r="A273" s="52"/>
      <c r="B273" s="52"/>
      <c r="C273" s="34" t="s">
        <v>470</v>
      </c>
      <c r="D273" t="s">
        <v>279</v>
      </c>
      <c r="F273"/>
      <c r="H273" s="3"/>
      <c r="I273"/>
    </row>
    <row r="274" spans="1:12">
      <c r="A274" s="52"/>
      <c r="B274" s="52"/>
      <c r="C274" s="34" t="s">
        <v>471</v>
      </c>
      <c r="D274" t="s">
        <v>279</v>
      </c>
      <c r="F274"/>
      <c r="H274" s="3"/>
      <c r="I274"/>
    </row>
    <row r="275" spans="1:12">
      <c r="A275" s="52"/>
      <c r="B275" s="52"/>
      <c r="C275" s="34" t="s">
        <v>472</v>
      </c>
      <c r="D275" t="s">
        <v>279</v>
      </c>
      <c r="F275"/>
      <c r="H275" s="3"/>
      <c r="I275"/>
    </row>
    <row r="276" spans="1:12">
      <c r="A276" s="52"/>
      <c r="B276" s="52"/>
      <c r="C276" s="34" t="s">
        <v>473</v>
      </c>
      <c r="D276" t="s">
        <v>279</v>
      </c>
      <c r="F276"/>
      <c r="H276" s="3"/>
      <c r="I276"/>
    </row>
    <row r="277" spans="1:12">
      <c r="A277" s="52"/>
      <c r="B277" s="52"/>
      <c r="C277" s="34" t="s">
        <v>474</v>
      </c>
      <c r="D277" t="s">
        <v>279</v>
      </c>
      <c r="F277"/>
      <c r="H277" s="3"/>
      <c r="I277"/>
    </row>
    <row r="278" spans="1:12">
      <c r="A278" s="52"/>
      <c r="B278" s="52"/>
      <c r="C278" s="34" t="s">
        <v>475</v>
      </c>
      <c r="D278" t="s">
        <v>279</v>
      </c>
      <c r="F278"/>
      <c r="H278" s="3"/>
      <c r="I278"/>
    </row>
    <row r="279" spans="1:12">
      <c r="A279" s="52"/>
      <c r="B279" s="52"/>
      <c r="C279" s="34" t="s">
        <v>476</v>
      </c>
      <c r="D279" t="s">
        <v>279</v>
      </c>
      <c r="F279"/>
      <c r="H279" s="3"/>
      <c r="I279"/>
    </row>
    <row r="280" spans="1:12">
      <c r="A280" s="52"/>
      <c r="B280" s="52"/>
      <c r="C280" s="34" t="s">
        <v>477</v>
      </c>
      <c r="D280" t="s">
        <v>279</v>
      </c>
      <c r="F280"/>
      <c r="H280" s="3"/>
      <c r="I280"/>
    </row>
    <row r="281" spans="1:12">
      <c r="A281" s="52"/>
      <c r="B281" s="52"/>
      <c r="C281" s="34" t="s">
        <v>478</v>
      </c>
      <c r="D281" t="s">
        <v>279</v>
      </c>
      <c r="F281"/>
      <c r="H281" s="3"/>
      <c r="I281"/>
    </row>
    <row r="282" spans="1:12">
      <c r="A282" s="52"/>
      <c r="B282" s="52"/>
      <c r="C282" s="34" t="s">
        <v>479</v>
      </c>
      <c r="D282" t="s">
        <v>279</v>
      </c>
      <c r="F282"/>
      <c r="H282" s="3"/>
      <c r="I282"/>
    </row>
    <row r="283" spans="1:12">
      <c r="A283" s="52"/>
      <c r="B283" s="52"/>
      <c r="C283" s="34" t="s">
        <v>480</v>
      </c>
      <c r="D283" t="s">
        <v>279</v>
      </c>
      <c r="F283"/>
      <c r="H283" s="3"/>
      <c r="I283"/>
    </row>
    <row r="284" spans="1:12">
      <c r="A284" s="52"/>
      <c r="B284" s="52"/>
      <c r="C284" s="34" t="s">
        <v>481</v>
      </c>
      <c r="D284" t="s">
        <v>279</v>
      </c>
      <c r="F284"/>
      <c r="H284" s="3"/>
      <c r="I284"/>
    </row>
    <row r="285" spans="1:12">
      <c r="A285" s="52"/>
      <c r="B285" s="52"/>
      <c r="C285" s="34" t="s">
        <v>482</v>
      </c>
      <c r="D285" t="s">
        <v>279</v>
      </c>
      <c r="F285"/>
      <c r="H285" s="3"/>
      <c r="I285"/>
    </row>
    <row r="286" spans="1:12">
      <c r="A286" s="52"/>
      <c r="B286" s="52"/>
      <c r="C286" s="34" t="s">
        <v>483</v>
      </c>
      <c r="D286" t="s">
        <v>279</v>
      </c>
      <c r="F286"/>
      <c r="H286" s="3"/>
      <c r="I286"/>
    </row>
    <row r="287" spans="1:12">
      <c r="A287" s="52"/>
      <c r="B287" s="52"/>
      <c r="C287" s="34" t="s">
        <v>484</v>
      </c>
      <c r="D287" t="s">
        <v>176</v>
      </c>
      <c r="E287">
        <v>597</v>
      </c>
      <c r="F287">
        <v>1</v>
      </c>
      <c r="G287" s="48">
        <v>79.1875</v>
      </c>
      <c r="H287" s="3" t="s">
        <v>256</v>
      </c>
      <c r="I287" t="s">
        <v>178</v>
      </c>
      <c r="J287" s="15" t="s">
        <v>179</v>
      </c>
      <c r="K287" s="15" t="s">
        <v>180</v>
      </c>
      <c r="L287" s="15" t="s">
        <v>179</v>
      </c>
    </row>
    <row r="288" spans="1:12">
      <c r="A288" s="52"/>
      <c r="B288" s="52"/>
      <c r="C288" s="34" t="s">
        <v>485</v>
      </c>
      <c r="D288" t="s">
        <v>203</v>
      </c>
      <c r="F288"/>
      <c r="H288" s="3" t="s">
        <v>256</v>
      </c>
      <c r="I288" t="s">
        <v>178</v>
      </c>
      <c r="K288" s="15" t="s">
        <v>180</v>
      </c>
    </row>
    <row r="289" spans="1:12">
      <c r="A289" s="52"/>
      <c r="B289" s="52"/>
      <c r="C289" s="34" t="s">
        <v>486</v>
      </c>
      <c r="D289" t="s">
        <v>176</v>
      </c>
      <c r="E289">
        <v>600</v>
      </c>
      <c r="F289">
        <v>1</v>
      </c>
      <c r="G289" s="48">
        <v>78.494699999999995</v>
      </c>
      <c r="H289" s="3">
        <v>0.85</v>
      </c>
      <c r="I289" t="s">
        <v>256</v>
      </c>
      <c r="J289" s="15" t="s">
        <v>179</v>
      </c>
      <c r="K289" s="15" t="s">
        <v>180</v>
      </c>
      <c r="L289" s="15" t="s">
        <v>179</v>
      </c>
    </row>
    <row r="290" spans="1:12">
      <c r="A290" s="52"/>
      <c r="B290" s="52"/>
      <c r="C290" s="34" t="s">
        <v>487</v>
      </c>
      <c r="D290" t="s">
        <v>203</v>
      </c>
      <c r="F290"/>
      <c r="H290" s="3">
        <v>0.85</v>
      </c>
      <c r="I290" t="s">
        <v>256</v>
      </c>
      <c r="K290" s="15" t="s">
        <v>180</v>
      </c>
    </row>
    <row r="291" spans="1:12">
      <c r="A291" s="51"/>
      <c r="B291" s="51"/>
      <c r="C291" s="35" t="s">
        <v>488</v>
      </c>
      <c r="D291" t="s">
        <v>193</v>
      </c>
      <c r="E291">
        <v>603</v>
      </c>
      <c r="F291" s="1">
        <v>1</v>
      </c>
      <c r="G291" s="48">
        <v>159.625</v>
      </c>
      <c r="H291" s="3">
        <v>0</v>
      </c>
      <c r="I291" t="s">
        <v>256</v>
      </c>
      <c r="K291" s="15" t="s">
        <v>180</v>
      </c>
    </row>
    <row r="292" spans="1:12">
      <c r="A292" s="50" t="s">
        <v>21</v>
      </c>
      <c r="B292" s="50" t="s">
        <v>21</v>
      </c>
      <c r="C292" s="13" t="s">
        <v>489</v>
      </c>
      <c r="D292" t="s">
        <v>286</v>
      </c>
      <c r="F292"/>
      <c r="H292" s="3" t="s">
        <v>490</v>
      </c>
      <c r="I292" t="s">
        <v>185</v>
      </c>
      <c r="K292" s="15" t="s">
        <v>180</v>
      </c>
    </row>
    <row r="293" spans="1:12">
      <c r="A293" s="52"/>
      <c r="B293" s="52"/>
      <c r="C293" s="34" t="s">
        <v>491</v>
      </c>
      <c r="D293" t="s">
        <v>176</v>
      </c>
      <c r="E293">
        <v>610</v>
      </c>
      <c r="F293">
        <v>1</v>
      </c>
      <c r="G293" s="48">
        <v>73.101399999999998</v>
      </c>
      <c r="H293" s="3" t="s">
        <v>492</v>
      </c>
      <c r="I293" t="s">
        <v>178</v>
      </c>
      <c r="J293" s="15" t="s">
        <v>179</v>
      </c>
      <c r="K293" s="15" t="s">
        <v>180</v>
      </c>
      <c r="L293" s="15" t="s">
        <v>179</v>
      </c>
    </row>
    <row r="294" spans="1:12">
      <c r="A294" s="52"/>
      <c r="B294" s="52"/>
      <c r="C294" s="34" t="s">
        <v>493</v>
      </c>
      <c r="D294" t="s">
        <v>203</v>
      </c>
      <c r="F294"/>
      <c r="H294" s="3" t="s">
        <v>492</v>
      </c>
      <c r="I294" t="s">
        <v>178</v>
      </c>
      <c r="K294" s="15" t="s">
        <v>180</v>
      </c>
    </row>
    <row r="295" spans="1:12">
      <c r="A295" s="52"/>
      <c r="B295" s="52"/>
      <c r="C295" s="34" t="s">
        <v>494</v>
      </c>
      <c r="D295" t="s">
        <v>176</v>
      </c>
      <c r="E295">
        <v>613</v>
      </c>
      <c r="F295">
        <v>1</v>
      </c>
      <c r="G295" s="48">
        <v>71.224900000000005</v>
      </c>
      <c r="H295" s="3" t="s">
        <v>495</v>
      </c>
      <c r="I295" t="s">
        <v>185</v>
      </c>
      <c r="J295" s="15" t="s">
        <v>179</v>
      </c>
      <c r="K295" s="15" t="s">
        <v>180</v>
      </c>
      <c r="L295" s="15" t="s">
        <v>179</v>
      </c>
    </row>
    <row r="296" spans="1:12">
      <c r="A296" s="52"/>
      <c r="B296" s="52"/>
      <c r="C296" s="34" t="s">
        <v>496</v>
      </c>
      <c r="D296" t="s">
        <v>203</v>
      </c>
      <c r="F296"/>
      <c r="H296" s="3" t="s">
        <v>495</v>
      </c>
      <c r="I296" t="s">
        <v>185</v>
      </c>
      <c r="K296" s="15" t="s">
        <v>180</v>
      </c>
    </row>
    <row r="297" spans="1:12">
      <c r="A297" s="52"/>
      <c r="B297" s="52"/>
      <c r="C297" s="34" t="s">
        <v>497</v>
      </c>
      <c r="D297" t="s">
        <v>176</v>
      </c>
      <c r="E297">
        <v>616</v>
      </c>
      <c r="F297">
        <v>1</v>
      </c>
      <c r="G297" s="48">
        <v>72.438599999999994</v>
      </c>
      <c r="H297" s="3" t="s">
        <v>498</v>
      </c>
      <c r="I297" t="s">
        <v>267</v>
      </c>
      <c r="J297" s="15" t="s">
        <v>179</v>
      </c>
      <c r="K297" s="15" t="s">
        <v>180</v>
      </c>
      <c r="L297" s="15" t="s">
        <v>179</v>
      </c>
    </row>
    <row r="298" spans="1:12">
      <c r="A298" s="52"/>
      <c r="B298" s="52"/>
      <c r="C298" s="34" t="s">
        <v>499</v>
      </c>
      <c r="D298" t="s">
        <v>203</v>
      </c>
      <c r="F298"/>
      <c r="H298" s="3" t="s">
        <v>498</v>
      </c>
      <c r="I298" t="s">
        <v>267</v>
      </c>
      <c r="K298" s="15" t="s">
        <v>180</v>
      </c>
    </row>
    <row r="299" spans="1:12">
      <c r="A299" s="52"/>
      <c r="B299" s="52"/>
      <c r="C299" s="34" t="s">
        <v>500</v>
      </c>
      <c r="D299" t="s">
        <v>279</v>
      </c>
      <c r="F299"/>
      <c r="H299" s="3"/>
      <c r="I299"/>
    </row>
    <row r="300" spans="1:12">
      <c r="A300" s="52"/>
      <c r="B300" s="52"/>
      <c r="C300" s="34" t="s">
        <v>501</v>
      </c>
      <c r="D300" t="s">
        <v>176</v>
      </c>
      <c r="E300">
        <v>620</v>
      </c>
      <c r="F300">
        <v>1</v>
      </c>
      <c r="G300" s="48">
        <v>71.872900000000001</v>
      </c>
      <c r="H300" s="3" t="s">
        <v>498</v>
      </c>
      <c r="I300" t="s">
        <v>185</v>
      </c>
      <c r="J300" s="15" t="s">
        <v>179</v>
      </c>
      <c r="K300" s="15" t="s">
        <v>180</v>
      </c>
      <c r="L300" s="15" t="s">
        <v>179</v>
      </c>
    </row>
    <row r="301" spans="1:12">
      <c r="A301" s="52"/>
      <c r="B301" s="52"/>
      <c r="C301" s="34" t="s">
        <v>502</v>
      </c>
      <c r="D301" t="s">
        <v>203</v>
      </c>
      <c r="F301"/>
      <c r="H301" s="3" t="s">
        <v>498</v>
      </c>
      <c r="I301" t="s">
        <v>185</v>
      </c>
      <c r="K301" s="15" t="s">
        <v>180</v>
      </c>
    </row>
    <row r="302" spans="1:12">
      <c r="A302" s="51"/>
      <c r="B302" s="51"/>
      <c r="C302" s="35" t="s">
        <v>503</v>
      </c>
      <c r="D302" t="s">
        <v>279</v>
      </c>
      <c r="F302"/>
      <c r="H302" s="3"/>
      <c r="I302"/>
    </row>
    <row r="303" spans="1:12">
      <c r="A303" s="50" t="s">
        <v>22</v>
      </c>
      <c r="B303" s="50" t="s">
        <v>22</v>
      </c>
      <c r="C303" s="13" t="s">
        <v>548</v>
      </c>
      <c r="D303" t="s">
        <v>176</v>
      </c>
      <c r="E303">
        <v>626</v>
      </c>
      <c r="F303">
        <v>1</v>
      </c>
      <c r="G303" s="48">
        <v>73.277100000000004</v>
      </c>
      <c r="H303" s="3" t="s">
        <v>549</v>
      </c>
      <c r="I303" t="s">
        <v>178</v>
      </c>
      <c r="J303" s="15" t="s">
        <v>179</v>
      </c>
      <c r="K303" s="15" t="s">
        <v>180</v>
      </c>
      <c r="L303" s="15" t="s">
        <v>179</v>
      </c>
    </row>
    <row r="304" spans="1:12">
      <c r="A304" s="52"/>
      <c r="B304" s="52"/>
      <c r="C304" s="34" t="s">
        <v>550</v>
      </c>
      <c r="D304" t="s">
        <v>203</v>
      </c>
      <c r="F304"/>
      <c r="H304" s="3" t="s">
        <v>549</v>
      </c>
      <c r="I304" t="s">
        <v>178</v>
      </c>
      <c r="K304" s="15" t="s">
        <v>180</v>
      </c>
    </row>
    <row r="305" spans="1:12">
      <c r="A305" s="52"/>
      <c r="B305" s="52"/>
      <c r="C305" s="34" t="s">
        <v>551</v>
      </c>
      <c r="D305" t="s">
        <v>176</v>
      </c>
      <c r="E305">
        <v>629</v>
      </c>
      <c r="F305">
        <v>1</v>
      </c>
      <c r="G305" s="48">
        <v>71.831599999999995</v>
      </c>
      <c r="H305" s="3" t="s">
        <v>498</v>
      </c>
      <c r="I305" t="s">
        <v>187</v>
      </c>
      <c r="J305" s="15" t="s">
        <v>179</v>
      </c>
      <c r="K305" s="15" t="s">
        <v>180</v>
      </c>
      <c r="L305" s="15" t="s">
        <v>179</v>
      </c>
    </row>
    <row r="306" spans="1:12">
      <c r="A306" s="52"/>
      <c r="B306" s="52"/>
      <c r="C306" s="34" t="s">
        <v>552</v>
      </c>
      <c r="D306" t="s">
        <v>203</v>
      </c>
      <c r="F306"/>
      <c r="H306" s="3" t="s">
        <v>498</v>
      </c>
      <c r="I306" t="s">
        <v>187</v>
      </c>
      <c r="K306" s="15" t="s">
        <v>180</v>
      </c>
    </row>
    <row r="307" spans="1:12">
      <c r="A307" s="52"/>
      <c r="B307" s="52"/>
      <c r="C307" s="34" t="s">
        <v>553</v>
      </c>
      <c r="D307" t="s">
        <v>176</v>
      </c>
      <c r="E307">
        <v>632</v>
      </c>
      <c r="F307">
        <v>1</v>
      </c>
      <c r="G307" s="48">
        <v>71.896799999999999</v>
      </c>
      <c r="H307" s="3" t="s">
        <v>554</v>
      </c>
      <c r="I307" t="s">
        <v>185</v>
      </c>
      <c r="J307" s="15" t="s">
        <v>179</v>
      </c>
      <c r="K307" s="15" t="s">
        <v>180</v>
      </c>
      <c r="L307" s="15" t="s">
        <v>179</v>
      </c>
    </row>
    <row r="308" spans="1:12">
      <c r="A308" s="52"/>
      <c r="B308" s="52"/>
      <c r="C308" s="34" t="s">
        <v>555</v>
      </c>
      <c r="D308" t="s">
        <v>203</v>
      </c>
      <c r="F308"/>
      <c r="H308" s="3" t="s">
        <v>554</v>
      </c>
      <c r="I308" t="s">
        <v>185</v>
      </c>
      <c r="K308" s="15" t="s">
        <v>180</v>
      </c>
    </row>
    <row r="309" spans="1:12">
      <c r="A309" s="52"/>
      <c r="B309" s="52"/>
      <c r="C309" s="34" t="s">
        <v>556</v>
      </c>
      <c r="D309" t="s">
        <v>279</v>
      </c>
      <c r="F309"/>
      <c r="H309" s="3"/>
      <c r="I309"/>
    </row>
    <row r="310" spans="1:12">
      <c r="A310" s="52"/>
      <c r="B310" s="52"/>
      <c r="C310" s="34" t="s">
        <v>557</v>
      </c>
      <c r="D310" t="s">
        <v>176</v>
      </c>
      <c r="E310">
        <v>636</v>
      </c>
      <c r="F310">
        <v>1</v>
      </c>
      <c r="G310" s="48">
        <v>71.729200000000006</v>
      </c>
      <c r="H310" s="3" t="s">
        <v>554</v>
      </c>
      <c r="I310" t="s">
        <v>187</v>
      </c>
      <c r="J310" s="15" t="s">
        <v>179</v>
      </c>
      <c r="K310" s="15" t="s">
        <v>180</v>
      </c>
      <c r="L310" s="15" t="s">
        <v>179</v>
      </c>
    </row>
    <row r="311" spans="1:12">
      <c r="A311" s="51"/>
      <c r="B311" s="51"/>
      <c r="C311" s="35" t="s">
        <v>558</v>
      </c>
      <c r="D311" t="s">
        <v>203</v>
      </c>
      <c r="F311"/>
      <c r="H311" s="3" t="s">
        <v>554</v>
      </c>
      <c r="I311" t="s">
        <v>187</v>
      </c>
      <c r="K311" s="15" t="s">
        <v>180</v>
      </c>
    </row>
  </sheetData>
  <autoFilter ref="A1:N315" xr:uid="{AE5A445C-7D30-4958-80ED-2DF7BAC7F85B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82FD-CC7D-4251-AEFC-2A9244D2EB95}">
  <sheetPr codeName="Sheet10"/>
  <dimension ref="A1:P714"/>
  <sheetViews>
    <sheetView zoomScale="85" zoomScaleNormal="85" workbookViewId="0">
      <pane ySplit="2" topLeftCell="A159" activePane="bottomLeft" state="frozen"/>
      <selection pane="bottomLeft" activeCell="A5" sqref="A5"/>
    </sheetView>
  </sheetViews>
  <sheetFormatPr defaultRowHeight="14.45"/>
  <cols>
    <col min="1" max="1" width="20.140625" bestFit="1" customWidth="1"/>
    <col min="2" max="2" width="28" bestFit="1" customWidth="1"/>
    <col min="3" max="3" width="27.7109375" bestFit="1" customWidth="1"/>
    <col min="4" max="4" width="12.140625" customWidth="1"/>
    <col min="5" max="5" width="29.85546875" style="81" customWidth="1"/>
    <col min="6" max="6" width="5.7109375" style="3" bestFit="1" customWidth="1"/>
    <col min="7" max="7" width="4" style="3" bestFit="1" customWidth="1"/>
    <col min="8" max="8" width="5.7109375" style="3" bestFit="1" customWidth="1"/>
    <col min="9" max="9" width="4" style="43" bestFit="1" customWidth="1"/>
    <col min="10" max="10" width="29.140625" style="76" customWidth="1"/>
    <col min="11" max="11" width="5.7109375" bestFit="1" customWidth="1"/>
    <col min="12" max="12" width="4.28515625" bestFit="1" customWidth="1"/>
    <col min="13" max="13" width="3.85546875" bestFit="1" customWidth="1"/>
    <col min="14" max="14" width="4" style="32" bestFit="1" customWidth="1"/>
    <col min="15" max="15" width="2.42578125" customWidth="1"/>
    <col min="16" max="16" width="8.85546875" style="90"/>
  </cols>
  <sheetData>
    <row r="1" spans="1:16">
      <c r="E1" s="80" t="s">
        <v>605</v>
      </c>
      <c r="F1" s="74"/>
      <c r="G1" s="74"/>
      <c r="H1" s="74"/>
      <c r="I1" s="42"/>
      <c r="J1" s="86" t="s">
        <v>606</v>
      </c>
      <c r="K1" s="40"/>
      <c r="L1" s="40"/>
      <c r="M1" s="40"/>
      <c r="N1" s="16"/>
      <c r="P1" s="88"/>
    </row>
    <row r="2" spans="1:16">
      <c r="A2" s="22" t="s">
        <v>168</v>
      </c>
      <c r="B2" s="20" t="s">
        <v>0</v>
      </c>
      <c r="C2" s="20" t="s">
        <v>169</v>
      </c>
      <c r="D2" s="79" t="s">
        <v>170</v>
      </c>
      <c r="E2" s="19" t="s">
        <v>157</v>
      </c>
      <c r="F2" s="19" t="s">
        <v>5</v>
      </c>
      <c r="G2" s="19" t="s">
        <v>6</v>
      </c>
      <c r="H2" s="19" t="s">
        <v>607</v>
      </c>
      <c r="I2" s="19" t="s">
        <v>608</v>
      </c>
      <c r="J2" s="19" t="s">
        <v>609</v>
      </c>
      <c r="K2" s="19" t="s">
        <v>610</v>
      </c>
      <c r="L2" s="19" t="s">
        <v>611</v>
      </c>
      <c r="M2" s="19" t="s">
        <v>612</v>
      </c>
      <c r="N2" s="19" t="s">
        <v>613</v>
      </c>
      <c r="P2" s="89" t="s">
        <v>174</v>
      </c>
    </row>
    <row r="3" spans="1:16">
      <c r="A3" s="50" t="s">
        <v>614</v>
      </c>
      <c r="B3" s="50" t="s">
        <v>615</v>
      </c>
      <c r="C3" s="21" t="s">
        <v>175</v>
      </c>
      <c r="D3" s="1" t="s">
        <v>176</v>
      </c>
      <c r="E3" s="81" t="s">
        <v>616</v>
      </c>
      <c r="F3" s="3" t="s">
        <v>178</v>
      </c>
      <c r="G3" s="3" t="s">
        <v>179</v>
      </c>
      <c r="H3" s="3" t="s">
        <v>180</v>
      </c>
      <c r="I3" s="43" t="s">
        <v>179</v>
      </c>
      <c r="P3" s="78" t="s">
        <v>180</v>
      </c>
    </row>
    <row r="4" spans="1:16">
      <c r="A4" s="52"/>
      <c r="B4" s="52"/>
      <c r="C4" s="21" t="s">
        <v>181</v>
      </c>
      <c r="D4" s="1" t="s">
        <v>176</v>
      </c>
      <c r="E4" s="81" t="s">
        <v>617</v>
      </c>
      <c r="F4" s="3" t="s">
        <v>183</v>
      </c>
      <c r="G4" s="3" t="s">
        <v>179</v>
      </c>
      <c r="H4" s="3" t="s">
        <v>180</v>
      </c>
      <c r="I4" s="43" t="s">
        <v>179</v>
      </c>
      <c r="P4" s="78" t="s">
        <v>180</v>
      </c>
    </row>
    <row r="5" spans="1:16">
      <c r="A5" s="52"/>
      <c r="B5" s="52"/>
      <c r="C5" s="21" t="s">
        <v>184</v>
      </c>
      <c r="D5" s="1" t="s">
        <v>176</v>
      </c>
      <c r="E5" s="81" t="s">
        <v>617</v>
      </c>
      <c r="F5" s="3" t="s">
        <v>185</v>
      </c>
      <c r="G5" s="3" t="s">
        <v>179</v>
      </c>
      <c r="H5" s="3" t="s">
        <v>180</v>
      </c>
      <c r="I5" s="43" t="s">
        <v>179</v>
      </c>
      <c r="P5" s="78" t="s">
        <v>180</v>
      </c>
    </row>
    <row r="6" spans="1:16">
      <c r="A6" s="52"/>
      <c r="B6" s="52"/>
      <c r="C6" s="21" t="s">
        <v>186</v>
      </c>
      <c r="D6" s="1" t="s">
        <v>176</v>
      </c>
      <c r="E6" s="81" t="s">
        <v>617</v>
      </c>
      <c r="F6" s="3" t="s">
        <v>187</v>
      </c>
      <c r="G6" s="3" t="s">
        <v>179</v>
      </c>
      <c r="H6" s="3" t="s">
        <v>180</v>
      </c>
      <c r="I6" s="43" t="s">
        <v>179</v>
      </c>
      <c r="P6" s="78" t="s">
        <v>180</v>
      </c>
    </row>
    <row r="7" spans="1:16">
      <c r="A7" s="52"/>
      <c r="B7" s="52"/>
      <c r="C7" s="21" t="s">
        <v>175</v>
      </c>
      <c r="D7" s="1" t="s">
        <v>176</v>
      </c>
      <c r="J7" s="81" t="s">
        <v>616</v>
      </c>
      <c r="K7" s="3" t="s">
        <v>178</v>
      </c>
      <c r="L7" s="3" t="s">
        <v>179</v>
      </c>
      <c r="M7" s="3" t="s">
        <v>180</v>
      </c>
      <c r="N7" s="43" t="s">
        <v>179</v>
      </c>
      <c r="P7" s="78" t="s">
        <v>180</v>
      </c>
    </row>
    <row r="8" spans="1:16">
      <c r="A8" s="52"/>
      <c r="B8" s="52"/>
      <c r="C8" s="21" t="s">
        <v>181</v>
      </c>
      <c r="D8" s="1" t="s">
        <v>176</v>
      </c>
      <c r="J8" s="81" t="s">
        <v>617</v>
      </c>
      <c r="K8" s="3" t="s">
        <v>183</v>
      </c>
      <c r="L8" s="3" t="s">
        <v>179</v>
      </c>
      <c r="M8" s="3" t="s">
        <v>180</v>
      </c>
      <c r="N8" s="43" t="s">
        <v>179</v>
      </c>
      <c r="P8" s="78" t="s">
        <v>180</v>
      </c>
    </row>
    <row r="9" spans="1:16">
      <c r="A9" s="52"/>
      <c r="B9" s="52"/>
      <c r="C9" s="21" t="s">
        <v>184</v>
      </c>
      <c r="D9" s="1" t="s">
        <v>176</v>
      </c>
      <c r="J9" s="81" t="s">
        <v>617</v>
      </c>
      <c r="K9" s="3" t="s">
        <v>185</v>
      </c>
      <c r="L9" s="3" t="s">
        <v>179</v>
      </c>
      <c r="M9" s="3" t="s">
        <v>180</v>
      </c>
      <c r="N9" s="43" t="s">
        <v>179</v>
      </c>
      <c r="P9" s="78" t="s">
        <v>180</v>
      </c>
    </row>
    <row r="10" spans="1:16">
      <c r="A10" s="52"/>
      <c r="B10" s="51"/>
      <c r="C10" s="21" t="s">
        <v>186</v>
      </c>
      <c r="D10" s="1" t="s">
        <v>176</v>
      </c>
      <c r="J10" s="81" t="s">
        <v>617</v>
      </c>
      <c r="K10" s="3" t="s">
        <v>187</v>
      </c>
      <c r="L10" s="3" t="s">
        <v>179</v>
      </c>
      <c r="M10" s="3" t="s">
        <v>180</v>
      </c>
      <c r="N10" s="43" t="s">
        <v>179</v>
      </c>
      <c r="P10" s="78" t="s">
        <v>180</v>
      </c>
    </row>
    <row r="11" spans="1:16">
      <c r="A11" s="52"/>
      <c r="B11" s="50" t="s">
        <v>618</v>
      </c>
      <c r="C11" s="21" t="s">
        <v>192</v>
      </c>
      <c r="D11" s="1" t="s">
        <v>193</v>
      </c>
      <c r="F11" s="3" t="s">
        <v>185</v>
      </c>
      <c r="G11" s="3" t="s">
        <v>180</v>
      </c>
    </row>
    <row r="12" spans="1:16">
      <c r="A12" s="52"/>
      <c r="B12" s="52"/>
      <c r="C12" s="21" t="s">
        <v>194</v>
      </c>
      <c r="D12" s="1" t="s">
        <v>193</v>
      </c>
      <c r="H12" s="3" t="s">
        <v>185</v>
      </c>
      <c r="I12" s="43" t="s">
        <v>180</v>
      </c>
    </row>
    <row r="13" spans="1:16">
      <c r="A13" s="52"/>
      <c r="B13" s="52"/>
      <c r="C13" s="21" t="s">
        <v>195</v>
      </c>
      <c r="D13" s="1" t="s">
        <v>193</v>
      </c>
      <c r="E13" s="81" t="s">
        <v>187</v>
      </c>
      <c r="H13" s="3" t="s">
        <v>180</v>
      </c>
    </row>
    <row r="14" spans="1:16">
      <c r="A14" s="52"/>
      <c r="B14" s="52"/>
      <c r="C14" s="21" t="s">
        <v>196</v>
      </c>
      <c r="D14" s="1" t="s">
        <v>193</v>
      </c>
      <c r="E14" s="81" t="s">
        <v>187</v>
      </c>
      <c r="F14" s="3" t="s">
        <v>180</v>
      </c>
    </row>
    <row r="15" spans="1:16">
      <c r="A15" s="52"/>
      <c r="B15" s="52"/>
      <c r="C15" s="21" t="s">
        <v>197</v>
      </c>
      <c r="D15" s="1" t="s">
        <v>193</v>
      </c>
      <c r="E15" s="81" t="s">
        <v>180</v>
      </c>
      <c r="F15" s="3" t="s">
        <v>187</v>
      </c>
      <c r="H15" s="3" t="s">
        <v>180</v>
      </c>
    </row>
    <row r="16" spans="1:16">
      <c r="A16" s="52"/>
      <c r="B16" s="52"/>
      <c r="C16" s="21" t="s">
        <v>198</v>
      </c>
      <c r="D16" s="1" t="s">
        <v>193</v>
      </c>
      <c r="F16" s="3" t="s">
        <v>187</v>
      </c>
      <c r="H16" s="3" t="s">
        <v>180</v>
      </c>
    </row>
    <row r="17" spans="1:16">
      <c r="A17" s="52"/>
      <c r="B17" s="52"/>
      <c r="C17" s="21" t="s">
        <v>192</v>
      </c>
      <c r="D17" s="1" t="s">
        <v>193</v>
      </c>
      <c r="J17" s="81"/>
      <c r="K17" s="3" t="s">
        <v>185</v>
      </c>
      <c r="L17" s="3" t="s">
        <v>180</v>
      </c>
      <c r="M17" s="3"/>
      <c r="N17" s="43"/>
    </row>
    <row r="18" spans="1:16">
      <c r="A18" s="52"/>
      <c r="B18" s="52"/>
      <c r="C18" s="21" t="s">
        <v>194</v>
      </c>
      <c r="D18" s="1" t="s">
        <v>193</v>
      </c>
      <c r="J18" s="81"/>
      <c r="K18" s="3"/>
      <c r="L18" s="3"/>
      <c r="M18" s="3" t="s">
        <v>185</v>
      </c>
      <c r="N18" s="43" t="s">
        <v>180</v>
      </c>
    </row>
    <row r="19" spans="1:16">
      <c r="A19" s="52"/>
      <c r="B19" s="52"/>
      <c r="C19" s="21" t="s">
        <v>195</v>
      </c>
      <c r="D19" s="1" t="s">
        <v>193</v>
      </c>
      <c r="J19" s="81" t="s">
        <v>187</v>
      </c>
      <c r="K19" s="3"/>
      <c r="L19" s="3"/>
      <c r="M19" s="3" t="s">
        <v>180</v>
      </c>
      <c r="N19" s="43"/>
    </row>
    <row r="20" spans="1:16">
      <c r="A20" s="52"/>
      <c r="B20" s="52"/>
      <c r="C20" s="21" t="s">
        <v>196</v>
      </c>
      <c r="D20" s="1" t="s">
        <v>193</v>
      </c>
      <c r="J20" s="81" t="s">
        <v>187</v>
      </c>
      <c r="K20" s="3" t="s">
        <v>180</v>
      </c>
      <c r="L20" s="3"/>
      <c r="M20" s="3"/>
      <c r="N20" s="43"/>
    </row>
    <row r="21" spans="1:16">
      <c r="A21" s="52"/>
      <c r="B21" s="52"/>
      <c r="C21" s="21" t="s">
        <v>197</v>
      </c>
      <c r="D21" s="1" t="s">
        <v>193</v>
      </c>
      <c r="J21" s="81" t="s">
        <v>180</v>
      </c>
      <c r="K21" s="3" t="s">
        <v>187</v>
      </c>
      <c r="L21" s="3"/>
      <c r="M21" s="3" t="s">
        <v>180</v>
      </c>
      <c r="N21" s="43"/>
    </row>
    <row r="22" spans="1:16">
      <c r="A22" s="52"/>
      <c r="B22" s="51"/>
      <c r="C22" s="21" t="s">
        <v>198</v>
      </c>
      <c r="D22" s="1" t="s">
        <v>193</v>
      </c>
      <c r="J22" s="81"/>
      <c r="K22" s="3" t="s">
        <v>187</v>
      </c>
      <c r="L22" s="3"/>
      <c r="M22" s="3" t="s">
        <v>180</v>
      </c>
      <c r="N22" s="43"/>
    </row>
    <row r="23" spans="1:16">
      <c r="A23" s="52"/>
      <c r="B23" s="50" t="s">
        <v>619</v>
      </c>
      <c r="C23" s="21" t="s">
        <v>212</v>
      </c>
      <c r="D23" s="1" t="s">
        <v>176</v>
      </c>
      <c r="E23" s="81" t="s">
        <v>187</v>
      </c>
      <c r="F23" s="3" t="s">
        <v>178</v>
      </c>
      <c r="G23" s="3" t="s">
        <v>179</v>
      </c>
      <c r="H23" s="3" t="s">
        <v>180</v>
      </c>
      <c r="I23" s="43" t="s">
        <v>179</v>
      </c>
      <c r="P23" s="78" t="s">
        <v>180</v>
      </c>
    </row>
    <row r="24" spans="1:16">
      <c r="A24" s="52"/>
      <c r="B24" s="52"/>
      <c r="C24" s="21" t="s">
        <v>213</v>
      </c>
      <c r="D24" s="1" t="s">
        <v>620</v>
      </c>
      <c r="E24" s="81" t="s">
        <v>187</v>
      </c>
      <c r="F24" s="3" t="s">
        <v>178</v>
      </c>
      <c r="H24" s="3" t="s">
        <v>180</v>
      </c>
      <c r="P24" s="78" t="s">
        <v>180</v>
      </c>
    </row>
    <row r="25" spans="1:16">
      <c r="A25" s="52"/>
      <c r="B25" s="52"/>
      <c r="C25" s="37" t="s">
        <v>621</v>
      </c>
      <c r="D25" s="1" t="s">
        <v>620</v>
      </c>
      <c r="E25" s="81" t="s">
        <v>187</v>
      </c>
      <c r="F25" s="3" t="s">
        <v>178</v>
      </c>
      <c r="H25" s="3" t="s">
        <v>180</v>
      </c>
      <c r="P25" s="78" t="s">
        <v>180</v>
      </c>
    </row>
    <row r="26" spans="1:16">
      <c r="A26" s="52"/>
      <c r="B26" s="52"/>
      <c r="C26" s="21" t="s">
        <v>214</v>
      </c>
      <c r="D26" s="1" t="s">
        <v>176</v>
      </c>
      <c r="E26" s="81" t="s">
        <v>187</v>
      </c>
      <c r="F26" s="3" t="s">
        <v>180</v>
      </c>
      <c r="H26" s="3" t="s">
        <v>180</v>
      </c>
      <c r="P26" s="78" t="s">
        <v>180</v>
      </c>
    </row>
    <row r="27" spans="1:16">
      <c r="A27" s="52"/>
      <c r="B27" s="52"/>
      <c r="C27" s="21" t="s">
        <v>215</v>
      </c>
      <c r="D27" s="1" t="s">
        <v>620</v>
      </c>
      <c r="E27" s="81" t="s">
        <v>187</v>
      </c>
      <c r="F27" s="3" t="s">
        <v>180</v>
      </c>
      <c r="H27" s="3" t="s">
        <v>180</v>
      </c>
      <c r="P27" s="78" t="s">
        <v>180</v>
      </c>
    </row>
    <row r="28" spans="1:16">
      <c r="A28" s="52"/>
      <c r="B28" s="52"/>
      <c r="C28" s="37" t="s">
        <v>622</v>
      </c>
      <c r="D28" s="1" t="s">
        <v>620</v>
      </c>
      <c r="E28" s="81" t="s">
        <v>187</v>
      </c>
      <c r="F28" s="3" t="s">
        <v>180</v>
      </c>
      <c r="H28" s="3" t="s">
        <v>180</v>
      </c>
      <c r="P28" s="78" t="s">
        <v>180</v>
      </c>
    </row>
    <row r="29" spans="1:16">
      <c r="A29" s="52"/>
      <c r="B29" s="52"/>
      <c r="C29" s="21" t="s">
        <v>216</v>
      </c>
      <c r="D29" s="1" t="s">
        <v>176</v>
      </c>
      <c r="E29" s="81" t="s">
        <v>623</v>
      </c>
      <c r="F29" s="3" t="s">
        <v>178</v>
      </c>
      <c r="G29" s="3" t="s">
        <v>179</v>
      </c>
      <c r="H29" s="3" t="s">
        <v>180</v>
      </c>
      <c r="I29" s="43" t="s">
        <v>179</v>
      </c>
      <c r="P29" s="78" t="s">
        <v>180</v>
      </c>
    </row>
    <row r="30" spans="1:16">
      <c r="A30" s="52"/>
      <c r="B30" s="52"/>
      <c r="C30" s="21" t="s">
        <v>218</v>
      </c>
      <c r="D30" s="1" t="s">
        <v>219</v>
      </c>
      <c r="E30" s="81" t="s">
        <v>623</v>
      </c>
      <c r="F30" s="3" t="s">
        <v>178</v>
      </c>
      <c r="H30" s="3" t="s">
        <v>180</v>
      </c>
      <c r="P30" s="78" t="s">
        <v>180</v>
      </c>
    </row>
    <row r="31" spans="1:16">
      <c r="A31" s="52"/>
      <c r="B31" s="52"/>
      <c r="C31" s="21" t="s">
        <v>220</v>
      </c>
      <c r="D31" s="1"/>
    </row>
    <row r="32" spans="1:16">
      <c r="A32" s="52"/>
      <c r="B32" s="52"/>
      <c r="C32" s="21" t="s">
        <v>221</v>
      </c>
      <c r="D32" s="1" t="s">
        <v>203</v>
      </c>
      <c r="E32" s="81" t="s">
        <v>220</v>
      </c>
      <c r="F32" s="3" t="s">
        <v>178</v>
      </c>
      <c r="H32" s="3" t="s">
        <v>180</v>
      </c>
      <c r="P32" s="78" t="s">
        <v>180</v>
      </c>
    </row>
    <row r="33" spans="1:16">
      <c r="A33" s="52"/>
      <c r="B33" s="52"/>
      <c r="C33" s="21" t="s">
        <v>222</v>
      </c>
      <c r="D33" s="1" t="s">
        <v>203</v>
      </c>
      <c r="E33" s="81" t="s">
        <v>220</v>
      </c>
      <c r="F33" s="3" t="s">
        <v>178</v>
      </c>
      <c r="H33" s="3" t="s">
        <v>180</v>
      </c>
      <c r="P33" s="78" t="s">
        <v>180</v>
      </c>
    </row>
    <row r="34" spans="1:16">
      <c r="A34" s="52"/>
      <c r="B34" s="52"/>
      <c r="C34" s="21" t="s">
        <v>212</v>
      </c>
      <c r="D34" s="1" t="s">
        <v>176</v>
      </c>
      <c r="J34" s="81" t="s">
        <v>187</v>
      </c>
      <c r="K34" s="3" t="s">
        <v>178</v>
      </c>
      <c r="L34" s="3" t="s">
        <v>179</v>
      </c>
      <c r="M34" s="3" t="s">
        <v>180</v>
      </c>
      <c r="N34" s="43" t="s">
        <v>179</v>
      </c>
      <c r="P34" s="78" t="s">
        <v>180</v>
      </c>
    </row>
    <row r="35" spans="1:16">
      <c r="A35" s="52"/>
      <c r="B35" s="52"/>
      <c r="C35" s="21" t="s">
        <v>213</v>
      </c>
      <c r="D35" s="1" t="s">
        <v>620</v>
      </c>
      <c r="J35" s="81" t="s">
        <v>187</v>
      </c>
      <c r="K35" s="3" t="s">
        <v>178</v>
      </c>
      <c r="L35" s="3"/>
      <c r="M35" s="3" t="s">
        <v>180</v>
      </c>
      <c r="N35" s="43"/>
      <c r="P35" s="78" t="s">
        <v>180</v>
      </c>
    </row>
    <row r="36" spans="1:16">
      <c r="A36" s="52"/>
      <c r="B36" s="52"/>
      <c r="C36" s="37" t="s">
        <v>621</v>
      </c>
      <c r="D36" s="1" t="s">
        <v>620</v>
      </c>
      <c r="J36" s="81" t="s">
        <v>187</v>
      </c>
      <c r="K36" s="3" t="s">
        <v>178</v>
      </c>
      <c r="L36" s="3"/>
      <c r="M36" s="3" t="s">
        <v>180</v>
      </c>
      <c r="N36" s="43"/>
      <c r="P36" s="78" t="s">
        <v>180</v>
      </c>
    </row>
    <row r="37" spans="1:16">
      <c r="A37" s="52"/>
      <c r="B37" s="52"/>
      <c r="C37" s="21" t="s">
        <v>214</v>
      </c>
      <c r="D37" s="1" t="s">
        <v>176</v>
      </c>
      <c r="J37" s="81" t="s">
        <v>187</v>
      </c>
      <c r="K37" s="3" t="s">
        <v>180</v>
      </c>
      <c r="L37" s="3"/>
      <c r="M37" s="3" t="s">
        <v>180</v>
      </c>
      <c r="N37" s="43"/>
      <c r="P37" s="78" t="s">
        <v>180</v>
      </c>
    </row>
    <row r="38" spans="1:16">
      <c r="A38" s="52"/>
      <c r="B38" s="52"/>
      <c r="C38" s="21" t="s">
        <v>215</v>
      </c>
      <c r="D38" s="1" t="s">
        <v>620</v>
      </c>
      <c r="J38" s="81" t="s">
        <v>187</v>
      </c>
      <c r="K38" s="3" t="s">
        <v>180</v>
      </c>
      <c r="L38" s="3"/>
      <c r="M38" s="3" t="s">
        <v>180</v>
      </c>
      <c r="N38" s="43"/>
      <c r="P38" s="78" t="s">
        <v>180</v>
      </c>
    </row>
    <row r="39" spans="1:16">
      <c r="A39" s="52"/>
      <c r="B39" s="52"/>
      <c r="C39" s="37" t="s">
        <v>622</v>
      </c>
      <c r="D39" s="1" t="s">
        <v>620</v>
      </c>
      <c r="J39" s="81" t="s">
        <v>187</v>
      </c>
      <c r="K39" s="3" t="s">
        <v>180</v>
      </c>
      <c r="L39" s="3"/>
      <c r="M39" s="3" t="s">
        <v>180</v>
      </c>
      <c r="N39" s="43"/>
      <c r="P39" s="78" t="s">
        <v>180</v>
      </c>
    </row>
    <row r="40" spans="1:16">
      <c r="A40" s="52"/>
      <c r="B40" s="52"/>
      <c r="C40" s="21" t="s">
        <v>216</v>
      </c>
      <c r="D40" s="1" t="s">
        <v>176</v>
      </c>
      <c r="J40" s="81" t="s">
        <v>623</v>
      </c>
      <c r="K40" s="3" t="s">
        <v>178</v>
      </c>
      <c r="L40" s="3" t="s">
        <v>179</v>
      </c>
      <c r="M40" s="3" t="s">
        <v>180</v>
      </c>
      <c r="N40" s="43" t="s">
        <v>179</v>
      </c>
      <c r="P40" s="78" t="s">
        <v>180</v>
      </c>
    </row>
    <row r="41" spans="1:16">
      <c r="A41" s="52"/>
      <c r="B41" s="52"/>
      <c r="C41" s="37" t="s">
        <v>218</v>
      </c>
      <c r="D41" s="1" t="s">
        <v>219</v>
      </c>
      <c r="J41" s="81" t="s">
        <v>623</v>
      </c>
      <c r="K41" s="3" t="s">
        <v>178</v>
      </c>
      <c r="L41" s="3"/>
      <c r="M41" s="3" t="s">
        <v>180</v>
      </c>
      <c r="N41" s="43"/>
      <c r="P41" s="78" t="s">
        <v>180</v>
      </c>
    </row>
    <row r="42" spans="1:16">
      <c r="A42" s="52"/>
      <c r="B42" s="52"/>
      <c r="C42" s="21" t="s">
        <v>220</v>
      </c>
      <c r="D42" s="1"/>
      <c r="J42" s="81"/>
      <c r="K42" s="3"/>
      <c r="L42" s="3"/>
      <c r="M42" s="3"/>
      <c r="N42" s="43"/>
    </row>
    <row r="43" spans="1:16">
      <c r="A43" s="52"/>
      <c r="B43" s="52"/>
      <c r="C43" s="21" t="s">
        <v>221</v>
      </c>
      <c r="D43" s="1" t="s">
        <v>203</v>
      </c>
      <c r="J43" s="81" t="s">
        <v>220</v>
      </c>
      <c r="K43" s="3" t="s">
        <v>178</v>
      </c>
      <c r="L43" s="3" t="s">
        <v>179</v>
      </c>
      <c r="M43" s="3" t="s">
        <v>180</v>
      </c>
      <c r="N43" s="43" t="s">
        <v>179</v>
      </c>
      <c r="P43" s="78" t="s">
        <v>180</v>
      </c>
    </row>
    <row r="44" spans="1:16">
      <c r="A44" s="52"/>
      <c r="B44" s="51"/>
      <c r="C44" s="21" t="s">
        <v>222</v>
      </c>
      <c r="D44" s="1" t="s">
        <v>203</v>
      </c>
      <c r="J44" s="81" t="s">
        <v>220</v>
      </c>
      <c r="K44" s="3" t="s">
        <v>178</v>
      </c>
      <c r="L44" s="3" t="s">
        <v>179</v>
      </c>
      <c r="M44" s="3" t="s">
        <v>180</v>
      </c>
      <c r="N44" s="43" t="s">
        <v>179</v>
      </c>
      <c r="P44" s="78" t="s">
        <v>180</v>
      </c>
    </row>
    <row r="45" spans="1:16">
      <c r="A45" s="52"/>
      <c r="B45" s="50" t="s">
        <v>624</v>
      </c>
      <c r="C45" s="37" t="s">
        <v>190</v>
      </c>
      <c r="D45" s="1" t="s">
        <v>191</v>
      </c>
      <c r="E45" s="81" t="s">
        <v>625</v>
      </c>
      <c r="F45" s="3" t="s">
        <v>178</v>
      </c>
      <c r="H45" s="3" t="s">
        <v>180</v>
      </c>
      <c r="P45" s="78" t="s">
        <v>180</v>
      </c>
    </row>
    <row r="46" spans="1:16">
      <c r="A46" s="52"/>
      <c r="B46" s="52"/>
      <c r="C46" s="21" t="s">
        <v>563</v>
      </c>
      <c r="D46" s="1"/>
    </row>
    <row r="47" spans="1:16">
      <c r="A47" s="52"/>
      <c r="B47" s="52"/>
      <c r="C47" s="37" t="s">
        <v>626</v>
      </c>
      <c r="D47" s="1"/>
    </row>
    <row r="48" spans="1:16">
      <c r="A48" s="52"/>
      <c r="B48" s="52"/>
      <c r="C48" s="21" t="s">
        <v>224</v>
      </c>
      <c r="D48" s="1" t="s">
        <v>176</v>
      </c>
      <c r="E48" s="81" t="s">
        <v>225</v>
      </c>
      <c r="F48" s="3" t="s">
        <v>178</v>
      </c>
      <c r="G48" s="3" t="s">
        <v>179</v>
      </c>
      <c r="H48" s="3" t="s">
        <v>180</v>
      </c>
      <c r="I48" s="43" t="s">
        <v>179</v>
      </c>
      <c r="P48" s="78" t="s">
        <v>180</v>
      </c>
    </row>
    <row r="49" spans="1:16">
      <c r="A49" s="52"/>
      <c r="B49" s="52"/>
      <c r="C49" s="21" t="s">
        <v>226</v>
      </c>
      <c r="D49" s="1" t="s">
        <v>203</v>
      </c>
      <c r="E49" s="81" t="s">
        <v>225</v>
      </c>
      <c r="F49" s="3" t="s">
        <v>178</v>
      </c>
      <c r="H49" s="3" t="s">
        <v>180</v>
      </c>
      <c r="P49" s="78" t="s">
        <v>180</v>
      </c>
    </row>
    <row r="50" spans="1:16">
      <c r="A50" s="52"/>
      <c r="B50" s="52"/>
      <c r="C50" s="37" t="s">
        <v>627</v>
      </c>
      <c r="D50" s="1" t="s">
        <v>203</v>
      </c>
      <c r="E50" s="81" t="s">
        <v>225</v>
      </c>
      <c r="F50" s="3" t="s">
        <v>178</v>
      </c>
      <c r="H50" s="3" t="s">
        <v>180</v>
      </c>
      <c r="P50" s="78" t="s">
        <v>180</v>
      </c>
    </row>
    <row r="51" spans="1:16">
      <c r="A51" s="52"/>
      <c r="B51" s="52"/>
      <c r="C51" s="21" t="s">
        <v>230</v>
      </c>
      <c r="D51" s="1" t="s">
        <v>176</v>
      </c>
      <c r="E51" s="81" t="s">
        <v>217</v>
      </c>
      <c r="F51" s="3" t="s">
        <v>185</v>
      </c>
      <c r="G51" s="3" t="s">
        <v>179</v>
      </c>
      <c r="H51" s="3" t="s">
        <v>180</v>
      </c>
      <c r="I51" s="43" t="s">
        <v>179</v>
      </c>
      <c r="P51" s="78" t="s">
        <v>180</v>
      </c>
    </row>
    <row r="52" spans="1:16">
      <c r="A52" s="52"/>
      <c r="B52" s="52"/>
      <c r="C52" s="37" t="s">
        <v>231</v>
      </c>
      <c r="D52" s="1" t="s">
        <v>219</v>
      </c>
      <c r="E52" s="81" t="s">
        <v>217</v>
      </c>
      <c r="F52" s="3" t="s">
        <v>185</v>
      </c>
      <c r="H52" s="3" t="s">
        <v>180</v>
      </c>
      <c r="P52" s="78" t="s">
        <v>180</v>
      </c>
    </row>
    <row r="53" spans="1:16">
      <c r="A53" s="52"/>
      <c r="B53" s="52"/>
      <c r="C53" s="21" t="s">
        <v>233</v>
      </c>
      <c r="D53" s="1"/>
    </row>
    <row r="54" spans="1:16">
      <c r="A54" s="52"/>
      <c r="B54" s="52"/>
      <c r="C54" s="21" t="s">
        <v>235</v>
      </c>
      <c r="D54" s="1" t="s">
        <v>203</v>
      </c>
      <c r="E54" s="81" t="s">
        <v>220</v>
      </c>
      <c r="F54" s="3" t="s">
        <v>185</v>
      </c>
      <c r="H54" s="3" t="s">
        <v>180</v>
      </c>
      <c r="P54" s="78" t="s">
        <v>180</v>
      </c>
    </row>
    <row r="55" spans="1:16">
      <c r="A55" s="52"/>
      <c r="B55" s="52"/>
      <c r="C55" s="21" t="s">
        <v>628</v>
      </c>
      <c r="D55" s="1" t="s">
        <v>203</v>
      </c>
      <c r="E55" s="81" t="s">
        <v>220</v>
      </c>
      <c r="F55" s="3" t="s">
        <v>185</v>
      </c>
      <c r="H55" s="3" t="s">
        <v>180</v>
      </c>
      <c r="P55" s="78" t="s">
        <v>180</v>
      </c>
    </row>
    <row r="56" spans="1:16">
      <c r="A56" s="52"/>
      <c r="B56" s="52"/>
      <c r="C56" s="37" t="s">
        <v>190</v>
      </c>
      <c r="J56" s="87" t="s">
        <v>191</v>
      </c>
      <c r="K56" s="3" t="s">
        <v>625</v>
      </c>
      <c r="L56" s="3" t="s">
        <v>178</v>
      </c>
      <c r="M56" s="3"/>
      <c r="N56" s="43" t="s">
        <v>180</v>
      </c>
      <c r="O56" s="3"/>
      <c r="P56" s="78" t="s">
        <v>180</v>
      </c>
    </row>
    <row r="57" spans="1:16">
      <c r="A57" s="52"/>
      <c r="B57" s="52"/>
      <c r="C57" s="21" t="s">
        <v>563</v>
      </c>
      <c r="J57" s="87"/>
      <c r="K57" s="3"/>
      <c r="L57" s="3"/>
      <c r="M57" s="3"/>
      <c r="N57" s="43"/>
      <c r="O57" s="3"/>
    </row>
    <row r="58" spans="1:16">
      <c r="A58" s="52"/>
      <c r="B58" s="52"/>
      <c r="C58" s="37" t="s">
        <v>626</v>
      </c>
      <c r="J58" s="87"/>
      <c r="K58" s="3"/>
      <c r="L58" s="3"/>
      <c r="M58" s="3"/>
      <c r="N58" s="43"/>
      <c r="O58" s="3"/>
    </row>
    <row r="59" spans="1:16">
      <c r="A59" s="52"/>
      <c r="B59" s="52"/>
      <c r="C59" s="21" t="s">
        <v>224</v>
      </c>
      <c r="J59" s="87" t="s">
        <v>176</v>
      </c>
      <c r="K59" s="3" t="s">
        <v>225</v>
      </c>
      <c r="L59" s="3" t="s">
        <v>178</v>
      </c>
      <c r="M59" s="3" t="s">
        <v>179</v>
      </c>
      <c r="N59" s="43" t="s">
        <v>180</v>
      </c>
      <c r="O59" s="3" t="s">
        <v>179</v>
      </c>
      <c r="P59" s="78" t="s">
        <v>180</v>
      </c>
    </row>
    <row r="60" spans="1:16">
      <c r="A60" s="52"/>
      <c r="B60" s="52"/>
      <c r="C60" s="21" t="s">
        <v>226</v>
      </c>
      <c r="J60" s="87" t="s">
        <v>203</v>
      </c>
      <c r="K60" s="3" t="s">
        <v>225</v>
      </c>
      <c r="L60" s="3" t="s">
        <v>178</v>
      </c>
      <c r="M60" s="3"/>
      <c r="N60" s="43" t="s">
        <v>180</v>
      </c>
      <c r="O60" s="3"/>
      <c r="P60" s="78" t="s">
        <v>180</v>
      </c>
    </row>
    <row r="61" spans="1:16">
      <c r="A61" s="52"/>
      <c r="B61" s="52"/>
      <c r="C61" s="37" t="s">
        <v>627</v>
      </c>
      <c r="J61" s="87" t="s">
        <v>203</v>
      </c>
      <c r="K61" s="3" t="s">
        <v>225</v>
      </c>
      <c r="L61" s="3" t="s">
        <v>178</v>
      </c>
      <c r="M61" s="3"/>
      <c r="N61" s="43" t="s">
        <v>180</v>
      </c>
      <c r="O61" s="3"/>
      <c r="P61" s="78" t="s">
        <v>180</v>
      </c>
    </row>
    <row r="62" spans="1:16">
      <c r="A62" s="52"/>
      <c r="B62" s="52"/>
      <c r="C62" s="21" t="s">
        <v>230</v>
      </c>
      <c r="J62" s="87" t="s">
        <v>176</v>
      </c>
      <c r="K62" s="3" t="s">
        <v>217</v>
      </c>
      <c r="L62" s="3" t="s">
        <v>185</v>
      </c>
      <c r="M62" s="3" t="s">
        <v>179</v>
      </c>
      <c r="N62" s="43" t="s">
        <v>180</v>
      </c>
      <c r="O62" s="3" t="s">
        <v>179</v>
      </c>
      <c r="P62" s="78" t="s">
        <v>180</v>
      </c>
    </row>
    <row r="63" spans="1:16">
      <c r="A63" s="52"/>
      <c r="B63" s="52"/>
      <c r="C63" s="37" t="s">
        <v>231</v>
      </c>
      <c r="J63" s="87" t="s">
        <v>219</v>
      </c>
      <c r="K63" s="3" t="s">
        <v>217</v>
      </c>
      <c r="L63" s="3" t="s">
        <v>185</v>
      </c>
      <c r="M63" s="3"/>
      <c r="N63" s="43" t="s">
        <v>180</v>
      </c>
      <c r="O63" s="3"/>
      <c r="P63" s="78" t="s">
        <v>180</v>
      </c>
    </row>
    <row r="64" spans="1:16">
      <c r="A64" s="52"/>
      <c r="B64" s="52"/>
      <c r="C64" s="21" t="s">
        <v>233</v>
      </c>
      <c r="J64" s="87"/>
      <c r="K64" s="3"/>
      <c r="L64" s="3"/>
      <c r="M64" s="3"/>
      <c r="N64" s="43"/>
      <c r="O64" s="3"/>
    </row>
    <row r="65" spans="1:16">
      <c r="A65" s="52"/>
      <c r="B65" s="52"/>
      <c r="C65" s="21" t="s">
        <v>235</v>
      </c>
      <c r="J65" s="87" t="s">
        <v>203</v>
      </c>
      <c r="K65" s="3" t="s">
        <v>220</v>
      </c>
      <c r="L65" s="3" t="s">
        <v>185</v>
      </c>
      <c r="M65" s="3"/>
      <c r="N65" s="43" t="s">
        <v>180</v>
      </c>
      <c r="O65" s="3"/>
      <c r="P65" s="78" t="s">
        <v>180</v>
      </c>
    </row>
    <row r="66" spans="1:16">
      <c r="A66" s="52"/>
      <c r="B66" s="51"/>
      <c r="C66" s="21" t="s">
        <v>628</v>
      </c>
      <c r="J66" s="87" t="s">
        <v>203</v>
      </c>
      <c r="K66" s="3" t="s">
        <v>220</v>
      </c>
      <c r="L66" s="3" t="s">
        <v>185</v>
      </c>
      <c r="M66" s="3"/>
      <c r="N66" s="43" t="s">
        <v>180</v>
      </c>
      <c r="O66" s="3"/>
      <c r="P66" s="78" t="s">
        <v>180</v>
      </c>
    </row>
    <row r="67" spans="1:16">
      <c r="A67" s="52"/>
      <c r="B67" s="50" t="s">
        <v>629</v>
      </c>
      <c r="C67" s="21" t="s">
        <v>239</v>
      </c>
      <c r="D67" s="1" t="s">
        <v>193</v>
      </c>
      <c r="E67" s="81" t="s">
        <v>180</v>
      </c>
      <c r="F67" s="3" t="s">
        <v>185</v>
      </c>
      <c r="H67" s="3" t="s">
        <v>180</v>
      </c>
    </row>
    <row r="68" spans="1:16">
      <c r="A68" s="52"/>
      <c r="B68" s="52"/>
      <c r="C68" s="21" t="s">
        <v>241</v>
      </c>
      <c r="D68" s="1"/>
    </row>
    <row r="69" spans="1:16">
      <c r="A69" s="52"/>
      <c r="B69" s="52"/>
      <c r="C69" s="21" t="s">
        <v>242</v>
      </c>
      <c r="D69" s="1"/>
    </row>
    <row r="70" spans="1:16">
      <c r="A70" s="52"/>
      <c r="B70" s="52"/>
      <c r="C70" s="21" t="s">
        <v>243</v>
      </c>
      <c r="D70" s="1" t="s">
        <v>193</v>
      </c>
      <c r="E70" s="81" t="s">
        <v>244</v>
      </c>
      <c r="F70" s="3" t="s">
        <v>185</v>
      </c>
      <c r="H70" s="3" t="s">
        <v>180</v>
      </c>
    </row>
    <row r="71" spans="1:16">
      <c r="A71" s="52"/>
      <c r="B71" s="52"/>
      <c r="C71" s="37" t="s">
        <v>630</v>
      </c>
    </row>
    <row r="72" spans="1:16">
      <c r="A72" s="52"/>
      <c r="B72" s="52"/>
      <c r="C72" s="21" t="s">
        <v>245</v>
      </c>
      <c r="D72" s="1" t="s">
        <v>193</v>
      </c>
      <c r="E72" s="81" t="s">
        <v>246</v>
      </c>
      <c r="F72" s="3" t="s">
        <v>185</v>
      </c>
      <c r="H72" s="3" t="s">
        <v>180</v>
      </c>
    </row>
    <row r="73" spans="1:16">
      <c r="A73" s="52"/>
      <c r="B73" s="52"/>
      <c r="C73" s="37" t="s">
        <v>631</v>
      </c>
    </row>
    <row r="74" spans="1:16">
      <c r="A74" s="52"/>
      <c r="B74" s="52"/>
      <c r="C74" s="21" t="s">
        <v>247</v>
      </c>
      <c r="D74" s="1" t="s">
        <v>193</v>
      </c>
      <c r="E74" s="82" t="s">
        <v>632</v>
      </c>
      <c r="F74" s="3" t="s">
        <v>185</v>
      </c>
      <c r="H74" s="3" t="s">
        <v>180</v>
      </c>
    </row>
    <row r="75" spans="1:16">
      <c r="A75" s="52"/>
      <c r="B75" s="52"/>
      <c r="C75" s="37" t="s">
        <v>633</v>
      </c>
      <c r="D75" s="1"/>
    </row>
    <row r="76" spans="1:16">
      <c r="A76" s="52"/>
      <c r="B76" s="52"/>
      <c r="C76" s="21" t="s">
        <v>249</v>
      </c>
      <c r="D76" s="1" t="s">
        <v>193</v>
      </c>
      <c r="E76" s="82" t="s">
        <v>185</v>
      </c>
      <c r="F76" s="3" t="s">
        <v>180</v>
      </c>
      <c r="H76" s="3" t="s">
        <v>180</v>
      </c>
    </row>
    <row r="77" spans="1:16">
      <c r="A77" s="52"/>
      <c r="B77" s="52"/>
      <c r="C77" s="21" t="s">
        <v>250</v>
      </c>
      <c r="D77" s="1" t="s">
        <v>176</v>
      </c>
      <c r="E77" s="81" t="s">
        <v>251</v>
      </c>
      <c r="F77" s="3" t="s">
        <v>178</v>
      </c>
      <c r="G77" s="3" t="s">
        <v>179</v>
      </c>
      <c r="H77" s="3" t="s">
        <v>180</v>
      </c>
      <c r="I77" s="43" t="s">
        <v>179</v>
      </c>
      <c r="P77" s="78" t="s">
        <v>180</v>
      </c>
    </row>
    <row r="78" spans="1:16">
      <c r="A78" s="52"/>
      <c r="B78" s="52"/>
      <c r="C78" s="21" t="s">
        <v>252</v>
      </c>
      <c r="D78" s="1" t="s">
        <v>203</v>
      </c>
      <c r="E78" s="81" t="s">
        <v>185</v>
      </c>
      <c r="F78" s="3" t="s">
        <v>178</v>
      </c>
      <c r="H78" s="3" t="s">
        <v>180</v>
      </c>
      <c r="P78" s="78" t="s">
        <v>180</v>
      </c>
    </row>
    <row r="79" spans="1:16">
      <c r="A79" s="52"/>
      <c r="B79" s="52"/>
      <c r="C79" s="37" t="s">
        <v>634</v>
      </c>
      <c r="D79" s="1" t="s">
        <v>203</v>
      </c>
      <c r="E79" s="81" t="s">
        <v>185</v>
      </c>
      <c r="F79" s="3" t="s">
        <v>178</v>
      </c>
      <c r="H79" s="3" t="s">
        <v>180</v>
      </c>
      <c r="P79" s="78" t="s">
        <v>180</v>
      </c>
    </row>
    <row r="80" spans="1:16">
      <c r="A80" s="52"/>
      <c r="B80" s="52"/>
      <c r="C80" s="21" t="s">
        <v>253</v>
      </c>
      <c r="D80" s="1" t="s">
        <v>203</v>
      </c>
      <c r="E80" s="81" t="s">
        <v>254</v>
      </c>
      <c r="F80" s="3" t="s">
        <v>178</v>
      </c>
      <c r="H80" s="3" t="s">
        <v>180</v>
      </c>
      <c r="P80" s="78" t="s">
        <v>180</v>
      </c>
    </row>
    <row r="81" spans="1:16">
      <c r="A81" s="52"/>
      <c r="B81" s="52"/>
      <c r="C81" s="37" t="s">
        <v>635</v>
      </c>
      <c r="D81" s="1" t="s">
        <v>203</v>
      </c>
      <c r="E81" s="81" t="s">
        <v>254</v>
      </c>
      <c r="F81" s="3" t="s">
        <v>178</v>
      </c>
      <c r="H81" s="3" t="s">
        <v>180</v>
      </c>
      <c r="P81" s="78" t="s">
        <v>180</v>
      </c>
    </row>
    <row r="82" spans="1:16">
      <c r="A82" s="52"/>
      <c r="B82" s="52"/>
      <c r="C82" s="21" t="s">
        <v>255</v>
      </c>
      <c r="D82" s="1" t="s">
        <v>203</v>
      </c>
      <c r="E82" s="81" t="s">
        <v>256</v>
      </c>
      <c r="F82" s="3" t="s">
        <v>178</v>
      </c>
      <c r="H82" s="3" t="s">
        <v>180</v>
      </c>
      <c r="P82" s="78" t="s">
        <v>180</v>
      </c>
    </row>
    <row r="83" spans="1:16">
      <c r="A83" s="52"/>
      <c r="B83" s="52"/>
      <c r="C83" s="37" t="s">
        <v>485</v>
      </c>
      <c r="D83" s="1" t="s">
        <v>203</v>
      </c>
      <c r="E83" s="81" t="s">
        <v>256</v>
      </c>
      <c r="F83" s="3" t="s">
        <v>178</v>
      </c>
      <c r="H83" s="3" t="s">
        <v>180</v>
      </c>
      <c r="P83" s="78" t="s">
        <v>180</v>
      </c>
    </row>
    <row r="84" spans="1:16">
      <c r="A84" s="52"/>
      <c r="B84" s="52"/>
      <c r="C84" s="21" t="s">
        <v>257</v>
      </c>
      <c r="D84" s="1" t="s">
        <v>203</v>
      </c>
      <c r="E84" s="81" t="s">
        <v>258</v>
      </c>
      <c r="F84" s="3" t="s">
        <v>178</v>
      </c>
      <c r="H84" s="3" t="s">
        <v>180</v>
      </c>
      <c r="P84" s="78" t="s">
        <v>180</v>
      </c>
    </row>
    <row r="85" spans="1:16">
      <c r="A85" s="52"/>
      <c r="B85" s="52"/>
      <c r="C85" s="37" t="s">
        <v>636</v>
      </c>
      <c r="D85" s="1" t="s">
        <v>203</v>
      </c>
      <c r="E85" s="81" t="s">
        <v>258</v>
      </c>
      <c r="F85" s="3" t="s">
        <v>178</v>
      </c>
      <c r="H85" s="3" t="s">
        <v>180</v>
      </c>
      <c r="P85" s="78" t="s">
        <v>180</v>
      </c>
    </row>
    <row r="86" spans="1:16">
      <c r="A86" s="52"/>
      <c r="B86" s="52"/>
      <c r="C86" s="21" t="s">
        <v>259</v>
      </c>
      <c r="D86" s="1" t="s">
        <v>176</v>
      </c>
      <c r="E86" s="81" t="s">
        <v>251</v>
      </c>
      <c r="F86" s="3" t="s">
        <v>185</v>
      </c>
      <c r="G86" s="3" t="s">
        <v>179</v>
      </c>
      <c r="H86" s="3" t="s">
        <v>180</v>
      </c>
      <c r="I86" s="43" t="s">
        <v>179</v>
      </c>
      <c r="P86" s="78" t="s">
        <v>180</v>
      </c>
    </row>
    <row r="87" spans="1:16">
      <c r="A87" s="52"/>
      <c r="B87" s="52"/>
      <c r="C87" s="21" t="s">
        <v>260</v>
      </c>
      <c r="D87" s="1" t="s">
        <v>203</v>
      </c>
      <c r="E87" s="81" t="s">
        <v>185</v>
      </c>
      <c r="F87" s="3" t="s">
        <v>185</v>
      </c>
      <c r="H87" s="3" t="s">
        <v>180</v>
      </c>
      <c r="P87" s="78" t="s">
        <v>180</v>
      </c>
    </row>
    <row r="88" spans="1:16">
      <c r="A88" s="52"/>
      <c r="B88" s="52"/>
      <c r="C88" s="37" t="s">
        <v>637</v>
      </c>
      <c r="D88" s="1" t="s">
        <v>203</v>
      </c>
      <c r="E88" s="81" t="s">
        <v>185</v>
      </c>
      <c r="F88" s="3" t="s">
        <v>185</v>
      </c>
      <c r="H88" s="3" t="s">
        <v>180</v>
      </c>
      <c r="P88" s="78" t="s">
        <v>180</v>
      </c>
    </row>
    <row r="89" spans="1:16">
      <c r="A89" s="52"/>
      <c r="B89" s="52"/>
      <c r="C89" s="21" t="s">
        <v>261</v>
      </c>
      <c r="D89" s="1" t="s">
        <v>203</v>
      </c>
      <c r="E89" s="81" t="s">
        <v>254</v>
      </c>
      <c r="F89" s="3" t="s">
        <v>185</v>
      </c>
      <c r="H89" s="3" t="s">
        <v>180</v>
      </c>
      <c r="P89" s="78" t="s">
        <v>180</v>
      </c>
    </row>
    <row r="90" spans="1:16">
      <c r="A90" s="52"/>
      <c r="B90" s="52"/>
      <c r="C90" s="37" t="s">
        <v>638</v>
      </c>
      <c r="D90" s="1" t="s">
        <v>203</v>
      </c>
      <c r="E90" s="81" t="s">
        <v>254</v>
      </c>
      <c r="F90" s="3" t="s">
        <v>185</v>
      </c>
      <c r="H90" s="3" t="s">
        <v>180</v>
      </c>
      <c r="P90" s="78" t="s">
        <v>180</v>
      </c>
    </row>
    <row r="91" spans="1:16">
      <c r="A91" s="52"/>
      <c r="B91" s="52"/>
      <c r="C91" s="21" t="s">
        <v>262</v>
      </c>
      <c r="D91" s="1" t="s">
        <v>203</v>
      </c>
      <c r="E91" s="81" t="s">
        <v>256</v>
      </c>
      <c r="F91" s="3" t="s">
        <v>185</v>
      </c>
      <c r="H91" s="3" t="s">
        <v>180</v>
      </c>
      <c r="P91" s="78" t="s">
        <v>180</v>
      </c>
    </row>
    <row r="92" spans="1:16">
      <c r="A92" s="52"/>
      <c r="B92" s="52"/>
      <c r="C92" s="37" t="s">
        <v>639</v>
      </c>
      <c r="D92" s="1" t="s">
        <v>203</v>
      </c>
      <c r="E92" s="81" t="s">
        <v>256</v>
      </c>
      <c r="F92" s="3" t="s">
        <v>185</v>
      </c>
      <c r="H92" s="3" t="s">
        <v>180</v>
      </c>
      <c r="P92" s="78" t="s">
        <v>180</v>
      </c>
    </row>
    <row r="93" spans="1:16">
      <c r="A93" s="52"/>
      <c r="B93" s="52"/>
      <c r="C93" s="21" t="s">
        <v>263</v>
      </c>
      <c r="D93" s="1" t="s">
        <v>203</v>
      </c>
      <c r="E93" s="81" t="s">
        <v>258</v>
      </c>
      <c r="F93" s="3" t="s">
        <v>185</v>
      </c>
      <c r="H93" s="3" t="s">
        <v>180</v>
      </c>
      <c r="P93" s="78" t="s">
        <v>180</v>
      </c>
    </row>
    <row r="94" spans="1:16">
      <c r="A94" s="52"/>
      <c r="B94" s="52"/>
      <c r="C94" s="37" t="s">
        <v>640</v>
      </c>
      <c r="D94" s="1" t="s">
        <v>203</v>
      </c>
      <c r="E94" s="81" t="s">
        <v>258</v>
      </c>
      <c r="F94" s="3" t="s">
        <v>185</v>
      </c>
      <c r="H94" s="3" t="s">
        <v>180</v>
      </c>
      <c r="P94" s="78" t="s">
        <v>180</v>
      </c>
    </row>
    <row r="95" spans="1:16">
      <c r="A95" s="52"/>
      <c r="B95" s="52"/>
      <c r="C95" s="21" t="s">
        <v>264</v>
      </c>
      <c r="D95" s="1" t="s">
        <v>176</v>
      </c>
      <c r="E95" s="81" t="s">
        <v>265</v>
      </c>
      <c r="F95" s="3" t="s">
        <v>185</v>
      </c>
      <c r="G95" s="3" t="s">
        <v>179</v>
      </c>
      <c r="H95" s="3" t="s">
        <v>180</v>
      </c>
      <c r="I95" s="43" t="s">
        <v>179</v>
      </c>
      <c r="P95" s="78" t="s">
        <v>180</v>
      </c>
    </row>
    <row r="96" spans="1:16">
      <c r="A96" s="52"/>
      <c r="B96" s="52"/>
      <c r="C96" s="21" t="s">
        <v>266</v>
      </c>
      <c r="D96" s="1" t="s">
        <v>203</v>
      </c>
      <c r="E96" s="81" t="s">
        <v>267</v>
      </c>
      <c r="F96" s="3" t="s">
        <v>185</v>
      </c>
      <c r="H96" s="3" t="s">
        <v>180</v>
      </c>
      <c r="P96" s="78" t="s">
        <v>180</v>
      </c>
    </row>
    <row r="97" spans="1:16">
      <c r="A97" s="52"/>
      <c r="B97" s="52"/>
      <c r="C97" s="37" t="s">
        <v>641</v>
      </c>
      <c r="D97" s="1" t="s">
        <v>203</v>
      </c>
      <c r="E97" s="81" t="s">
        <v>267</v>
      </c>
      <c r="F97" s="3" t="s">
        <v>185</v>
      </c>
      <c r="H97" s="3" t="s">
        <v>180</v>
      </c>
      <c r="P97" s="90" t="s">
        <v>180</v>
      </c>
    </row>
    <row r="98" spans="1:16">
      <c r="A98" s="52"/>
      <c r="B98" s="52"/>
      <c r="C98" s="21" t="s">
        <v>268</v>
      </c>
      <c r="D98" s="1" t="s">
        <v>203</v>
      </c>
      <c r="E98" s="81" t="s">
        <v>269</v>
      </c>
      <c r="F98" s="3" t="s">
        <v>185</v>
      </c>
      <c r="H98" s="3" t="s">
        <v>180</v>
      </c>
      <c r="P98" s="90" t="s">
        <v>180</v>
      </c>
    </row>
    <row r="99" spans="1:16">
      <c r="A99" s="52"/>
      <c r="B99" s="52"/>
      <c r="C99" s="37" t="s">
        <v>642</v>
      </c>
      <c r="D99" s="1" t="s">
        <v>203</v>
      </c>
      <c r="E99" s="81" t="s">
        <v>269</v>
      </c>
      <c r="F99" s="3" t="s">
        <v>185</v>
      </c>
      <c r="H99" s="3" t="s">
        <v>180</v>
      </c>
      <c r="P99" s="90" t="s">
        <v>180</v>
      </c>
    </row>
    <row r="100" spans="1:16">
      <c r="A100" s="52"/>
      <c r="B100" s="52"/>
      <c r="C100" s="21" t="s">
        <v>270</v>
      </c>
      <c r="D100" s="1" t="s">
        <v>203</v>
      </c>
      <c r="E100" s="81" t="s">
        <v>271</v>
      </c>
      <c r="F100" s="3" t="s">
        <v>185</v>
      </c>
      <c r="H100" s="3" t="s">
        <v>180</v>
      </c>
      <c r="P100" s="90" t="s">
        <v>180</v>
      </c>
    </row>
    <row r="101" spans="1:16">
      <c r="A101" s="52"/>
      <c r="B101" s="52"/>
      <c r="C101" s="37" t="s">
        <v>643</v>
      </c>
      <c r="D101" s="1" t="s">
        <v>203</v>
      </c>
      <c r="E101" s="81" t="s">
        <v>271</v>
      </c>
      <c r="F101" s="3" t="s">
        <v>185</v>
      </c>
      <c r="H101" s="3" t="s">
        <v>180</v>
      </c>
      <c r="P101" s="90" t="s">
        <v>180</v>
      </c>
    </row>
    <row r="102" spans="1:16">
      <c r="A102" s="52"/>
      <c r="B102" s="52"/>
      <c r="C102" s="21" t="s">
        <v>272</v>
      </c>
      <c r="D102" s="1" t="s">
        <v>203</v>
      </c>
      <c r="E102" s="81" t="s">
        <v>183</v>
      </c>
      <c r="F102" s="3" t="s">
        <v>185</v>
      </c>
      <c r="H102" s="3" t="s">
        <v>180</v>
      </c>
      <c r="P102" s="90" t="s">
        <v>180</v>
      </c>
    </row>
    <row r="103" spans="1:16">
      <c r="A103" s="52"/>
      <c r="B103" s="52"/>
      <c r="C103" s="37" t="s">
        <v>644</v>
      </c>
      <c r="D103" s="1" t="s">
        <v>203</v>
      </c>
      <c r="E103" s="81" t="s">
        <v>183</v>
      </c>
      <c r="F103" s="3" t="s">
        <v>185</v>
      </c>
      <c r="H103" s="3" t="s">
        <v>180</v>
      </c>
      <c r="P103" s="90" t="s">
        <v>180</v>
      </c>
    </row>
    <row r="104" spans="1:16">
      <c r="A104" s="52"/>
      <c r="B104" s="52"/>
      <c r="C104" s="21" t="s">
        <v>273</v>
      </c>
      <c r="D104" s="1" t="s">
        <v>176</v>
      </c>
      <c r="E104" s="81" t="s">
        <v>251</v>
      </c>
      <c r="F104" s="3" t="s">
        <v>267</v>
      </c>
      <c r="G104" s="3" t="s">
        <v>179</v>
      </c>
      <c r="H104" s="3" t="s">
        <v>180</v>
      </c>
      <c r="I104" s="43" t="s">
        <v>179</v>
      </c>
      <c r="P104" s="90" t="s">
        <v>180</v>
      </c>
    </row>
    <row r="105" spans="1:16">
      <c r="A105" s="52"/>
      <c r="B105" s="52"/>
      <c r="C105" s="21" t="s">
        <v>274</v>
      </c>
      <c r="D105" s="1" t="s">
        <v>203</v>
      </c>
      <c r="E105" s="81" t="s">
        <v>185</v>
      </c>
      <c r="F105" s="3" t="s">
        <v>267</v>
      </c>
      <c r="H105" s="3" t="s">
        <v>180</v>
      </c>
      <c r="P105" s="90" t="s">
        <v>180</v>
      </c>
    </row>
    <row r="106" spans="1:16">
      <c r="A106" s="52"/>
      <c r="B106" s="52"/>
      <c r="C106" s="37" t="s">
        <v>645</v>
      </c>
      <c r="D106" s="1" t="s">
        <v>203</v>
      </c>
      <c r="E106" s="81" t="s">
        <v>185</v>
      </c>
      <c r="F106" s="3" t="s">
        <v>267</v>
      </c>
      <c r="H106" s="3" t="s">
        <v>180</v>
      </c>
      <c r="P106" s="90" t="s">
        <v>180</v>
      </c>
    </row>
    <row r="107" spans="1:16">
      <c r="A107" s="52"/>
      <c r="B107" s="52"/>
      <c r="C107" s="21" t="s">
        <v>275</v>
      </c>
      <c r="D107" s="1" t="s">
        <v>203</v>
      </c>
      <c r="E107" s="81" t="s">
        <v>254</v>
      </c>
      <c r="F107" s="3" t="s">
        <v>267</v>
      </c>
      <c r="H107" s="3" t="s">
        <v>180</v>
      </c>
      <c r="P107" s="90" t="s">
        <v>180</v>
      </c>
    </row>
    <row r="108" spans="1:16">
      <c r="A108" s="52"/>
      <c r="B108" s="52"/>
      <c r="C108" s="37" t="s">
        <v>646</v>
      </c>
      <c r="D108" s="1" t="s">
        <v>203</v>
      </c>
      <c r="E108" s="81" t="s">
        <v>254</v>
      </c>
      <c r="F108" s="3" t="s">
        <v>267</v>
      </c>
      <c r="H108" s="3" t="s">
        <v>180</v>
      </c>
      <c r="P108" s="90" t="s">
        <v>180</v>
      </c>
    </row>
    <row r="109" spans="1:16">
      <c r="A109" s="52"/>
      <c r="B109" s="52"/>
      <c r="C109" s="21" t="s">
        <v>276</v>
      </c>
      <c r="D109" s="1" t="s">
        <v>203</v>
      </c>
      <c r="E109" s="81" t="s">
        <v>256</v>
      </c>
      <c r="F109" s="3" t="s">
        <v>267</v>
      </c>
      <c r="H109" s="3" t="s">
        <v>180</v>
      </c>
      <c r="P109" s="90" t="s">
        <v>180</v>
      </c>
    </row>
    <row r="110" spans="1:16">
      <c r="A110" s="52"/>
      <c r="B110" s="52"/>
      <c r="C110" s="37" t="s">
        <v>647</v>
      </c>
      <c r="D110" s="1" t="s">
        <v>203</v>
      </c>
      <c r="E110" s="81" t="s">
        <v>256</v>
      </c>
      <c r="F110" s="3" t="s">
        <v>267</v>
      </c>
      <c r="H110" s="3" t="s">
        <v>180</v>
      </c>
      <c r="P110" s="90" t="s">
        <v>180</v>
      </c>
    </row>
    <row r="111" spans="1:16">
      <c r="A111" s="52"/>
      <c r="B111" s="52"/>
      <c r="C111" s="21" t="s">
        <v>277</v>
      </c>
      <c r="D111" s="1" t="s">
        <v>203</v>
      </c>
      <c r="E111" s="81" t="s">
        <v>258</v>
      </c>
      <c r="F111" s="3" t="s">
        <v>267</v>
      </c>
      <c r="H111" s="3" t="s">
        <v>180</v>
      </c>
      <c r="P111" s="90" t="s">
        <v>180</v>
      </c>
    </row>
    <row r="112" spans="1:16">
      <c r="A112" s="52"/>
      <c r="B112" s="52"/>
      <c r="C112" s="37" t="s">
        <v>648</v>
      </c>
      <c r="D112" s="1" t="s">
        <v>203</v>
      </c>
      <c r="E112" s="81" t="s">
        <v>258</v>
      </c>
      <c r="F112" s="3" t="s">
        <v>267</v>
      </c>
      <c r="H112" s="3" t="s">
        <v>180</v>
      </c>
      <c r="P112" s="90" t="s">
        <v>180</v>
      </c>
    </row>
    <row r="113" spans="1:16">
      <c r="A113" s="52"/>
      <c r="B113" s="52"/>
      <c r="C113" s="21" t="s">
        <v>278</v>
      </c>
      <c r="D113" s="1"/>
      <c r="P113" s="78"/>
    </row>
    <row r="114" spans="1:16">
      <c r="A114" s="52"/>
      <c r="B114" s="52"/>
      <c r="C114" s="37" t="s">
        <v>649</v>
      </c>
      <c r="D114" s="1"/>
      <c r="P114" s="78"/>
    </row>
    <row r="115" spans="1:16">
      <c r="A115" s="52"/>
      <c r="B115" s="52"/>
      <c r="C115" s="21" t="s">
        <v>280</v>
      </c>
      <c r="D115" s="1"/>
      <c r="P115" s="78"/>
    </row>
    <row r="116" spans="1:16">
      <c r="A116" s="52"/>
      <c r="B116" s="52"/>
      <c r="C116" s="37" t="s">
        <v>650</v>
      </c>
      <c r="D116" s="1"/>
      <c r="P116" s="78"/>
    </row>
    <row r="117" spans="1:16">
      <c r="A117" s="52"/>
      <c r="B117" s="52"/>
      <c r="C117" s="21" t="s">
        <v>281</v>
      </c>
      <c r="D117" s="1"/>
      <c r="P117" s="78"/>
    </row>
    <row r="118" spans="1:16">
      <c r="A118" s="52"/>
      <c r="B118" s="52"/>
      <c r="C118" s="37" t="s">
        <v>651</v>
      </c>
      <c r="D118" s="1"/>
      <c r="P118" s="78"/>
    </row>
    <row r="119" spans="1:16">
      <c r="A119" s="52"/>
      <c r="B119" s="52"/>
      <c r="C119" s="21" t="s">
        <v>282</v>
      </c>
      <c r="D119" s="1"/>
      <c r="P119" s="78"/>
    </row>
    <row r="120" spans="1:16">
      <c r="A120" s="52"/>
      <c r="B120" s="52"/>
      <c r="C120" s="37" t="s">
        <v>652</v>
      </c>
      <c r="D120" s="1"/>
      <c r="P120" s="78"/>
    </row>
    <row r="121" spans="1:16">
      <c r="A121" s="52"/>
      <c r="B121" s="52"/>
      <c r="C121" s="21" t="s">
        <v>283</v>
      </c>
      <c r="D121" s="1" t="s">
        <v>176</v>
      </c>
      <c r="E121" s="81" t="s">
        <v>190</v>
      </c>
      <c r="F121" s="3" t="s">
        <v>178</v>
      </c>
      <c r="G121" s="3" t="s">
        <v>179</v>
      </c>
      <c r="H121" s="3" t="s">
        <v>180</v>
      </c>
      <c r="I121" s="43" t="s">
        <v>179</v>
      </c>
      <c r="P121" s="78" t="s">
        <v>180</v>
      </c>
    </row>
    <row r="122" spans="1:16">
      <c r="A122" s="52"/>
      <c r="B122" s="52"/>
      <c r="C122" s="21" t="s">
        <v>284</v>
      </c>
      <c r="D122" s="1" t="s">
        <v>203</v>
      </c>
      <c r="E122" s="81" t="s">
        <v>190</v>
      </c>
      <c r="F122" s="3" t="s">
        <v>178</v>
      </c>
      <c r="H122" s="3" t="s">
        <v>180</v>
      </c>
      <c r="P122" s="78" t="s">
        <v>180</v>
      </c>
    </row>
    <row r="123" spans="1:16">
      <c r="A123" s="52"/>
      <c r="B123" s="52"/>
      <c r="C123" s="37" t="s">
        <v>653</v>
      </c>
      <c r="D123" s="1" t="s">
        <v>203</v>
      </c>
      <c r="E123" s="81" t="s">
        <v>190</v>
      </c>
      <c r="F123" s="3" t="s">
        <v>178</v>
      </c>
      <c r="H123" s="3" t="s">
        <v>180</v>
      </c>
      <c r="P123" s="78" t="s">
        <v>180</v>
      </c>
    </row>
    <row r="124" spans="1:16">
      <c r="A124" s="52"/>
      <c r="B124" s="52"/>
      <c r="C124" s="21" t="s">
        <v>565</v>
      </c>
      <c r="D124" s="1" t="s">
        <v>176</v>
      </c>
      <c r="E124" s="81" t="s">
        <v>654</v>
      </c>
      <c r="F124" s="3" t="s">
        <v>185</v>
      </c>
      <c r="G124" s="3" t="s">
        <v>179</v>
      </c>
      <c r="H124" s="3" t="s">
        <v>180</v>
      </c>
      <c r="I124" s="43" t="s">
        <v>179</v>
      </c>
      <c r="P124" s="78" t="s">
        <v>180</v>
      </c>
    </row>
    <row r="125" spans="1:16">
      <c r="A125" s="52"/>
      <c r="B125" s="52"/>
      <c r="C125" s="37" t="s">
        <v>285</v>
      </c>
      <c r="D125" s="1" t="s">
        <v>286</v>
      </c>
      <c r="E125" s="81" t="s">
        <v>654</v>
      </c>
      <c r="F125" s="3" t="s">
        <v>185</v>
      </c>
      <c r="H125" s="3" t="s">
        <v>180</v>
      </c>
      <c r="P125" s="78" t="s">
        <v>180</v>
      </c>
    </row>
    <row r="126" spans="1:16">
      <c r="A126" s="52"/>
      <c r="B126" s="52"/>
      <c r="C126" s="37" t="s">
        <v>288</v>
      </c>
      <c r="D126" s="1" t="s">
        <v>286</v>
      </c>
    </row>
    <row r="127" spans="1:16">
      <c r="A127" s="52"/>
      <c r="B127" s="52"/>
      <c r="C127" s="37" t="s">
        <v>655</v>
      </c>
      <c r="D127" s="1" t="s">
        <v>286</v>
      </c>
    </row>
    <row r="128" spans="1:16">
      <c r="A128" s="52"/>
      <c r="B128" s="52"/>
      <c r="C128" s="37" t="s">
        <v>290</v>
      </c>
      <c r="D128" s="1" t="s">
        <v>286</v>
      </c>
    </row>
    <row r="129" spans="1:16">
      <c r="A129" s="52"/>
      <c r="B129" s="52"/>
      <c r="C129" s="37" t="s">
        <v>656</v>
      </c>
      <c r="D129" s="1" t="s">
        <v>286</v>
      </c>
    </row>
    <row r="130" spans="1:16">
      <c r="A130" s="52"/>
      <c r="B130" s="52"/>
      <c r="C130" s="37" t="s">
        <v>315</v>
      </c>
      <c r="D130" s="1"/>
    </row>
    <row r="131" spans="1:16">
      <c r="A131" s="52"/>
      <c r="B131" s="52"/>
      <c r="C131" s="37" t="s">
        <v>316</v>
      </c>
      <c r="D131" s="1"/>
    </row>
    <row r="132" spans="1:16">
      <c r="A132" s="52"/>
      <c r="B132" s="52"/>
      <c r="C132" s="37" t="s">
        <v>317</v>
      </c>
      <c r="D132" s="1"/>
    </row>
    <row r="133" spans="1:16">
      <c r="A133" s="52"/>
      <c r="B133" s="52"/>
      <c r="C133" s="21" t="s">
        <v>318</v>
      </c>
      <c r="D133" s="1" t="s">
        <v>193</v>
      </c>
      <c r="E133" s="81" t="s">
        <v>657</v>
      </c>
      <c r="F133" s="3" t="s">
        <v>185</v>
      </c>
      <c r="H133" s="3" t="s">
        <v>180</v>
      </c>
    </row>
    <row r="134" spans="1:16">
      <c r="A134" s="52"/>
      <c r="B134" s="52"/>
      <c r="C134" s="37" t="s">
        <v>320</v>
      </c>
      <c r="D134" s="1" t="s">
        <v>176</v>
      </c>
      <c r="E134" s="81" t="s">
        <v>658</v>
      </c>
      <c r="F134" s="3" t="s">
        <v>178</v>
      </c>
      <c r="G134" s="3" t="s">
        <v>179</v>
      </c>
      <c r="H134" s="3" t="s">
        <v>180</v>
      </c>
      <c r="I134" s="43" t="s">
        <v>179</v>
      </c>
      <c r="P134" s="90" t="s">
        <v>180</v>
      </c>
    </row>
    <row r="135" spans="1:16">
      <c r="A135" s="52"/>
      <c r="B135" s="52"/>
      <c r="C135" s="21" t="s">
        <v>322</v>
      </c>
      <c r="D135" s="1" t="s">
        <v>203</v>
      </c>
      <c r="E135" s="81" t="s">
        <v>323</v>
      </c>
      <c r="F135" s="3" t="s">
        <v>178</v>
      </c>
      <c r="H135" s="3" t="s">
        <v>180</v>
      </c>
    </row>
    <row r="136" spans="1:16">
      <c r="A136" s="52"/>
      <c r="B136" s="52"/>
      <c r="C136" s="37" t="s">
        <v>659</v>
      </c>
      <c r="D136" s="1" t="s">
        <v>203</v>
      </c>
      <c r="E136" s="81" t="s">
        <v>323</v>
      </c>
      <c r="F136" s="3" t="s">
        <v>178</v>
      </c>
      <c r="H136" s="3" t="s">
        <v>180</v>
      </c>
    </row>
    <row r="137" spans="1:16">
      <c r="A137" s="52"/>
      <c r="B137" s="52"/>
      <c r="C137" s="21" t="s">
        <v>324</v>
      </c>
      <c r="D137" s="1" t="s">
        <v>203</v>
      </c>
      <c r="E137" s="81" t="s">
        <v>325</v>
      </c>
      <c r="F137" s="3" t="s">
        <v>178</v>
      </c>
      <c r="H137" s="3" t="s">
        <v>180</v>
      </c>
    </row>
    <row r="138" spans="1:16">
      <c r="A138" s="52"/>
      <c r="B138" s="52"/>
      <c r="C138" s="37" t="s">
        <v>660</v>
      </c>
      <c r="D138" s="1" t="s">
        <v>203</v>
      </c>
      <c r="E138" s="81" t="s">
        <v>325</v>
      </c>
      <c r="F138" s="3" t="s">
        <v>178</v>
      </c>
      <c r="H138" s="3" t="s">
        <v>180</v>
      </c>
    </row>
    <row r="139" spans="1:16">
      <c r="A139" s="52"/>
      <c r="B139" s="52"/>
      <c r="C139" s="21" t="s">
        <v>326</v>
      </c>
      <c r="D139" s="1" t="s">
        <v>203</v>
      </c>
      <c r="E139" s="81" t="s">
        <v>327</v>
      </c>
      <c r="F139" s="3" t="s">
        <v>178</v>
      </c>
      <c r="H139" s="3" t="s">
        <v>180</v>
      </c>
    </row>
    <row r="140" spans="1:16">
      <c r="A140" s="52"/>
      <c r="B140" s="52"/>
      <c r="C140" s="37" t="s">
        <v>661</v>
      </c>
      <c r="D140" s="1" t="s">
        <v>203</v>
      </c>
      <c r="E140" s="81" t="s">
        <v>327</v>
      </c>
      <c r="F140" s="3" t="s">
        <v>178</v>
      </c>
      <c r="H140" s="3" t="s">
        <v>180</v>
      </c>
    </row>
    <row r="141" spans="1:16">
      <c r="A141" s="52"/>
      <c r="B141" s="52"/>
      <c r="C141" s="21" t="s">
        <v>328</v>
      </c>
      <c r="D141" s="1" t="s">
        <v>176</v>
      </c>
      <c r="E141" s="81" t="s">
        <v>658</v>
      </c>
      <c r="F141" s="3" t="s">
        <v>185</v>
      </c>
      <c r="G141" s="3" t="s">
        <v>179</v>
      </c>
      <c r="H141" s="3" t="s">
        <v>180</v>
      </c>
      <c r="I141" s="43" t="s">
        <v>179</v>
      </c>
      <c r="P141" s="90" t="s">
        <v>180</v>
      </c>
    </row>
    <row r="142" spans="1:16">
      <c r="A142" s="52"/>
      <c r="B142" s="52"/>
      <c r="C142" s="21" t="s">
        <v>330</v>
      </c>
      <c r="D142" s="1" t="s">
        <v>203</v>
      </c>
      <c r="E142" s="81" t="s">
        <v>323</v>
      </c>
      <c r="F142" s="3" t="s">
        <v>185</v>
      </c>
      <c r="H142" s="3" t="s">
        <v>180</v>
      </c>
    </row>
    <row r="143" spans="1:16">
      <c r="A143" s="52"/>
      <c r="B143" s="52"/>
      <c r="C143" s="37" t="s">
        <v>662</v>
      </c>
      <c r="D143" s="1" t="s">
        <v>203</v>
      </c>
      <c r="E143" s="81" t="s">
        <v>323</v>
      </c>
      <c r="F143" s="3" t="s">
        <v>185</v>
      </c>
      <c r="H143" s="3" t="s">
        <v>180</v>
      </c>
    </row>
    <row r="144" spans="1:16">
      <c r="A144" s="52"/>
      <c r="B144" s="52"/>
      <c r="C144" s="21" t="s">
        <v>332</v>
      </c>
      <c r="D144" s="1" t="s">
        <v>203</v>
      </c>
      <c r="E144" s="81" t="s">
        <v>325</v>
      </c>
      <c r="F144" s="3" t="s">
        <v>185</v>
      </c>
      <c r="H144" s="3" t="s">
        <v>180</v>
      </c>
    </row>
    <row r="145" spans="1:16">
      <c r="A145" s="52"/>
      <c r="B145" s="52"/>
      <c r="C145" s="37" t="s">
        <v>663</v>
      </c>
      <c r="D145" s="1" t="s">
        <v>203</v>
      </c>
      <c r="E145" s="81" t="s">
        <v>325</v>
      </c>
      <c r="F145" s="3" t="s">
        <v>185</v>
      </c>
      <c r="H145" s="3" t="s">
        <v>180</v>
      </c>
    </row>
    <row r="146" spans="1:16">
      <c r="A146" s="52"/>
      <c r="B146" s="52"/>
      <c r="C146" s="21" t="s">
        <v>334</v>
      </c>
      <c r="D146" s="1" t="s">
        <v>203</v>
      </c>
      <c r="E146" s="81" t="s">
        <v>327</v>
      </c>
      <c r="F146" s="3" t="s">
        <v>185</v>
      </c>
      <c r="H146" s="3" t="s">
        <v>180</v>
      </c>
    </row>
    <row r="147" spans="1:16">
      <c r="A147" s="52"/>
      <c r="B147" s="52"/>
      <c r="C147" s="37" t="s">
        <v>664</v>
      </c>
      <c r="D147" s="1" t="s">
        <v>203</v>
      </c>
      <c r="E147" s="81" t="s">
        <v>327</v>
      </c>
      <c r="F147" s="3" t="s">
        <v>185</v>
      </c>
      <c r="H147" s="3" t="s">
        <v>180</v>
      </c>
    </row>
    <row r="148" spans="1:16">
      <c r="A148" s="52"/>
      <c r="B148" s="52"/>
      <c r="C148" s="21" t="s">
        <v>335</v>
      </c>
      <c r="D148" s="1" t="s">
        <v>176</v>
      </c>
      <c r="E148" s="81" t="s">
        <v>665</v>
      </c>
      <c r="F148" s="3" t="s">
        <v>178</v>
      </c>
      <c r="G148" s="3" t="s">
        <v>179</v>
      </c>
      <c r="H148" s="3" t="s">
        <v>180</v>
      </c>
      <c r="I148" s="43" t="s">
        <v>179</v>
      </c>
      <c r="P148" s="90" t="s">
        <v>180</v>
      </c>
    </row>
    <row r="149" spans="1:16">
      <c r="A149" s="52"/>
      <c r="B149" s="52"/>
      <c r="C149" s="21" t="s">
        <v>337</v>
      </c>
      <c r="D149" s="1" t="s">
        <v>176</v>
      </c>
      <c r="E149" s="81" t="s">
        <v>666</v>
      </c>
      <c r="F149" s="3" t="s">
        <v>178</v>
      </c>
      <c r="G149" s="3" t="s">
        <v>179</v>
      </c>
      <c r="H149" s="3" t="s">
        <v>180</v>
      </c>
      <c r="I149" s="43" t="s">
        <v>179</v>
      </c>
      <c r="P149" s="90" t="s">
        <v>180</v>
      </c>
    </row>
    <row r="150" spans="1:16">
      <c r="A150" s="52"/>
      <c r="B150" s="52"/>
      <c r="C150" s="21" t="s">
        <v>339</v>
      </c>
      <c r="D150" s="1" t="s">
        <v>203</v>
      </c>
      <c r="E150" s="81" t="s">
        <v>667</v>
      </c>
      <c r="F150" s="3" t="s">
        <v>178</v>
      </c>
      <c r="H150" s="3" t="s">
        <v>180</v>
      </c>
      <c r="P150" s="90" t="s">
        <v>180</v>
      </c>
    </row>
    <row r="151" spans="1:16">
      <c r="A151" s="52"/>
      <c r="B151" s="52"/>
      <c r="C151" s="37" t="s">
        <v>668</v>
      </c>
      <c r="D151" s="1" t="s">
        <v>203</v>
      </c>
      <c r="E151" s="81" t="s">
        <v>667</v>
      </c>
      <c r="F151" s="3" t="s">
        <v>178</v>
      </c>
      <c r="H151" s="3" t="s">
        <v>180</v>
      </c>
      <c r="P151" s="90" t="s">
        <v>180</v>
      </c>
    </row>
    <row r="152" spans="1:16">
      <c r="A152" s="52"/>
      <c r="B152" s="52"/>
      <c r="C152" s="21" t="s">
        <v>341</v>
      </c>
      <c r="D152" s="1" t="s">
        <v>203</v>
      </c>
      <c r="E152" s="81" t="s">
        <v>669</v>
      </c>
      <c r="F152" s="3" t="s">
        <v>178</v>
      </c>
      <c r="H152" s="3" t="s">
        <v>180</v>
      </c>
      <c r="P152" s="90" t="s">
        <v>180</v>
      </c>
    </row>
    <row r="153" spans="1:16">
      <c r="A153" s="52"/>
      <c r="B153" s="52"/>
      <c r="C153" s="37" t="s">
        <v>670</v>
      </c>
      <c r="D153" s="1" t="s">
        <v>203</v>
      </c>
      <c r="E153" s="81" t="s">
        <v>669</v>
      </c>
      <c r="F153" s="3" t="s">
        <v>178</v>
      </c>
      <c r="H153" s="3" t="s">
        <v>180</v>
      </c>
      <c r="P153" s="90" t="s">
        <v>180</v>
      </c>
    </row>
    <row r="154" spans="1:16">
      <c r="A154" s="52"/>
      <c r="B154" s="52"/>
      <c r="C154" s="21" t="s">
        <v>343</v>
      </c>
      <c r="D154" s="1" t="s">
        <v>203</v>
      </c>
      <c r="E154" s="81" t="s">
        <v>671</v>
      </c>
      <c r="F154" s="3" t="s">
        <v>178</v>
      </c>
      <c r="H154" s="3" t="s">
        <v>180</v>
      </c>
      <c r="P154" s="90" t="s">
        <v>180</v>
      </c>
    </row>
    <row r="155" spans="1:16">
      <c r="A155" s="52"/>
      <c r="B155" s="52"/>
      <c r="C155" s="37" t="s">
        <v>672</v>
      </c>
      <c r="D155" s="1" t="s">
        <v>203</v>
      </c>
      <c r="E155" s="81" t="s">
        <v>671</v>
      </c>
      <c r="F155" s="3" t="s">
        <v>178</v>
      </c>
      <c r="H155" s="3" t="s">
        <v>180</v>
      </c>
      <c r="P155" s="90" t="s">
        <v>180</v>
      </c>
    </row>
    <row r="156" spans="1:16">
      <c r="A156" s="52"/>
      <c r="B156" s="52"/>
      <c r="C156" s="21" t="s">
        <v>345</v>
      </c>
      <c r="D156" s="1" t="s">
        <v>203</v>
      </c>
      <c r="E156" s="81" t="s">
        <v>673</v>
      </c>
      <c r="F156" s="3" t="s">
        <v>178</v>
      </c>
      <c r="H156" s="3" t="s">
        <v>180</v>
      </c>
      <c r="P156" s="90" t="s">
        <v>180</v>
      </c>
    </row>
    <row r="157" spans="1:16">
      <c r="A157" s="52"/>
      <c r="B157" s="52"/>
      <c r="C157" s="37" t="s">
        <v>674</v>
      </c>
      <c r="D157" s="1" t="s">
        <v>203</v>
      </c>
      <c r="E157" s="81" t="s">
        <v>673</v>
      </c>
      <c r="F157" s="3" t="s">
        <v>178</v>
      </c>
      <c r="H157" s="3" t="s">
        <v>180</v>
      </c>
      <c r="P157" s="90" t="s">
        <v>180</v>
      </c>
    </row>
    <row r="158" spans="1:16">
      <c r="A158" s="52"/>
      <c r="B158" s="52"/>
      <c r="C158" s="21" t="s">
        <v>357</v>
      </c>
      <c r="D158" s="1" t="s">
        <v>176</v>
      </c>
      <c r="E158" s="81" t="s">
        <v>675</v>
      </c>
      <c r="F158" s="3" t="s">
        <v>178</v>
      </c>
      <c r="G158" s="3" t="s">
        <v>179</v>
      </c>
      <c r="H158" s="3" t="s">
        <v>180</v>
      </c>
      <c r="I158" s="43" t="s">
        <v>179</v>
      </c>
      <c r="P158" s="90" t="s">
        <v>180</v>
      </c>
    </row>
    <row r="159" spans="1:16">
      <c r="A159" s="52"/>
      <c r="B159" s="52"/>
      <c r="C159" s="21" t="s">
        <v>359</v>
      </c>
      <c r="D159" s="1" t="s">
        <v>176</v>
      </c>
      <c r="E159" s="81" t="s">
        <v>676</v>
      </c>
      <c r="F159" s="3" t="s">
        <v>178</v>
      </c>
      <c r="G159" s="3" t="s">
        <v>179</v>
      </c>
      <c r="H159" s="3" t="s">
        <v>180</v>
      </c>
      <c r="I159" s="43" t="s">
        <v>179</v>
      </c>
      <c r="P159" s="90" t="s">
        <v>180</v>
      </c>
    </row>
    <row r="160" spans="1:16">
      <c r="A160" s="52"/>
      <c r="B160" s="52"/>
      <c r="C160" s="21" t="s">
        <v>361</v>
      </c>
      <c r="D160" s="1" t="s">
        <v>203</v>
      </c>
      <c r="E160" s="81" t="s">
        <v>677</v>
      </c>
      <c r="F160" s="3" t="s">
        <v>178</v>
      </c>
      <c r="H160" s="3" t="s">
        <v>180</v>
      </c>
      <c r="P160" s="90" t="s">
        <v>180</v>
      </c>
    </row>
    <row r="161" spans="1:16">
      <c r="A161" s="52"/>
      <c r="B161" s="52"/>
      <c r="C161" s="37" t="s">
        <v>678</v>
      </c>
      <c r="D161" s="1" t="s">
        <v>203</v>
      </c>
      <c r="E161" s="81" t="s">
        <v>677</v>
      </c>
      <c r="F161" s="3" t="s">
        <v>178</v>
      </c>
      <c r="H161" s="3" t="s">
        <v>180</v>
      </c>
      <c r="P161" s="90" t="s">
        <v>180</v>
      </c>
    </row>
    <row r="162" spans="1:16">
      <c r="A162" s="52"/>
      <c r="B162" s="52"/>
      <c r="C162" s="21" t="s">
        <v>363</v>
      </c>
      <c r="D162" s="1" t="s">
        <v>203</v>
      </c>
      <c r="E162" s="81" t="s">
        <v>679</v>
      </c>
      <c r="F162" s="3" t="s">
        <v>178</v>
      </c>
      <c r="H162" s="3" t="s">
        <v>180</v>
      </c>
      <c r="P162" s="90" t="s">
        <v>180</v>
      </c>
    </row>
    <row r="163" spans="1:16">
      <c r="A163" s="52"/>
      <c r="B163" s="52"/>
      <c r="C163" s="37" t="s">
        <v>680</v>
      </c>
      <c r="D163" s="1" t="s">
        <v>203</v>
      </c>
      <c r="E163" s="81" t="s">
        <v>679</v>
      </c>
      <c r="F163" s="3" t="s">
        <v>178</v>
      </c>
      <c r="H163" s="3" t="s">
        <v>180</v>
      </c>
      <c r="P163" s="90" t="s">
        <v>180</v>
      </c>
    </row>
    <row r="164" spans="1:16">
      <c r="A164" s="52"/>
      <c r="B164" s="52"/>
      <c r="C164" s="21" t="s">
        <v>365</v>
      </c>
      <c r="D164" s="1" t="s">
        <v>203</v>
      </c>
      <c r="E164" s="81" t="s">
        <v>681</v>
      </c>
      <c r="F164" s="3" t="s">
        <v>178</v>
      </c>
      <c r="H164" s="3" t="s">
        <v>180</v>
      </c>
      <c r="P164" s="90" t="s">
        <v>180</v>
      </c>
    </row>
    <row r="165" spans="1:16">
      <c r="A165" s="52"/>
      <c r="B165" s="52"/>
      <c r="C165" s="37" t="s">
        <v>682</v>
      </c>
      <c r="D165" s="1" t="s">
        <v>203</v>
      </c>
      <c r="E165" s="81" t="s">
        <v>681</v>
      </c>
      <c r="F165" s="3" t="s">
        <v>178</v>
      </c>
      <c r="H165" s="3" t="s">
        <v>180</v>
      </c>
      <c r="P165" s="90" t="s">
        <v>180</v>
      </c>
    </row>
    <row r="166" spans="1:16">
      <c r="A166" s="52"/>
      <c r="B166" s="52"/>
      <c r="C166" s="21" t="s">
        <v>367</v>
      </c>
      <c r="D166" s="1" t="s">
        <v>203</v>
      </c>
      <c r="E166" s="81" t="s">
        <v>683</v>
      </c>
      <c r="F166" s="3" t="s">
        <v>178</v>
      </c>
      <c r="H166" s="3" t="s">
        <v>180</v>
      </c>
      <c r="P166" s="90" t="s">
        <v>180</v>
      </c>
    </row>
    <row r="167" spans="1:16">
      <c r="A167" s="52"/>
      <c r="B167" s="52"/>
      <c r="C167" s="37" t="s">
        <v>684</v>
      </c>
      <c r="D167" s="1" t="s">
        <v>203</v>
      </c>
      <c r="E167" s="81" t="s">
        <v>683</v>
      </c>
      <c r="F167" s="3" t="s">
        <v>178</v>
      </c>
      <c r="H167" s="3" t="s">
        <v>180</v>
      </c>
      <c r="P167" s="90" t="s">
        <v>180</v>
      </c>
    </row>
    <row r="168" spans="1:16">
      <c r="A168" s="52"/>
      <c r="B168" s="52"/>
      <c r="C168" s="21" t="s">
        <v>369</v>
      </c>
      <c r="D168" s="1" t="s">
        <v>176</v>
      </c>
      <c r="E168" s="81" t="s">
        <v>675</v>
      </c>
      <c r="F168" s="3" t="s">
        <v>185</v>
      </c>
      <c r="G168" s="3" t="s">
        <v>179</v>
      </c>
      <c r="H168" s="3" t="s">
        <v>180</v>
      </c>
      <c r="I168" s="43" t="s">
        <v>179</v>
      </c>
      <c r="P168" s="90" t="s">
        <v>180</v>
      </c>
    </row>
    <row r="169" spans="1:16">
      <c r="A169" s="52"/>
      <c r="B169" s="52"/>
      <c r="C169" s="21" t="s">
        <v>371</v>
      </c>
      <c r="D169" s="1" t="s">
        <v>176</v>
      </c>
      <c r="E169" s="81" t="s">
        <v>681</v>
      </c>
      <c r="F169" s="3" t="s">
        <v>185</v>
      </c>
      <c r="G169" s="3" t="s">
        <v>179</v>
      </c>
      <c r="H169" s="3" t="s">
        <v>180</v>
      </c>
      <c r="I169" s="43" t="s">
        <v>179</v>
      </c>
      <c r="P169" s="90" t="s">
        <v>180</v>
      </c>
    </row>
    <row r="170" spans="1:16">
      <c r="A170" s="52"/>
      <c r="B170" s="52"/>
      <c r="C170" s="21" t="s">
        <v>372</v>
      </c>
      <c r="D170" s="1" t="s">
        <v>203</v>
      </c>
      <c r="E170" s="81" t="s">
        <v>677</v>
      </c>
      <c r="F170" s="3" t="s">
        <v>185</v>
      </c>
      <c r="H170" s="3" t="s">
        <v>180</v>
      </c>
      <c r="P170" s="90" t="s">
        <v>180</v>
      </c>
    </row>
    <row r="171" spans="1:16">
      <c r="A171" s="52"/>
      <c r="B171" s="52"/>
      <c r="C171" s="37" t="s">
        <v>685</v>
      </c>
      <c r="D171" s="1" t="s">
        <v>203</v>
      </c>
      <c r="E171" s="81" t="s">
        <v>677</v>
      </c>
      <c r="F171" s="3" t="s">
        <v>185</v>
      </c>
      <c r="H171" s="3" t="s">
        <v>180</v>
      </c>
      <c r="P171" s="90" t="s">
        <v>180</v>
      </c>
    </row>
    <row r="172" spans="1:16">
      <c r="A172" s="52"/>
      <c r="B172" s="52"/>
      <c r="C172" s="21" t="s">
        <v>374</v>
      </c>
      <c r="D172" s="1" t="s">
        <v>203</v>
      </c>
      <c r="E172" s="81" t="s">
        <v>679</v>
      </c>
      <c r="F172" s="3" t="s">
        <v>185</v>
      </c>
      <c r="H172" s="3" t="s">
        <v>180</v>
      </c>
      <c r="P172" s="90" t="s">
        <v>180</v>
      </c>
    </row>
    <row r="173" spans="1:16">
      <c r="A173" s="52"/>
      <c r="B173" s="52"/>
      <c r="C173" s="37" t="s">
        <v>686</v>
      </c>
      <c r="D173" s="1" t="s">
        <v>203</v>
      </c>
      <c r="E173" s="81" t="s">
        <v>679</v>
      </c>
      <c r="F173" s="3" t="s">
        <v>185</v>
      </c>
      <c r="H173" s="3" t="s">
        <v>180</v>
      </c>
      <c r="P173" s="90" t="s">
        <v>180</v>
      </c>
    </row>
    <row r="174" spans="1:16">
      <c r="A174" s="52"/>
      <c r="B174" s="52"/>
      <c r="C174" s="21" t="s">
        <v>376</v>
      </c>
      <c r="D174" s="1" t="s">
        <v>203</v>
      </c>
      <c r="E174" s="81" t="s">
        <v>681</v>
      </c>
      <c r="F174" s="3" t="s">
        <v>185</v>
      </c>
      <c r="H174" s="3" t="s">
        <v>180</v>
      </c>
      <c r="P174" s="90" t="s">
        <v>180</v>
      </c>
    </row>
    <row r="175" spans="1:16">
      <c r="A175" s="52"/>
      <c r="B175" s="52"/>
      <c r="C175" s="37" t="s">
        <v>687</v>
      </c>
      <c r="D175" s="1" t="s">
        <v>203</v>
      </c>
      <c r="E175" s="81" t="s">
        <v>681</v>
      </c>
      <c r="F175" s="3" t="s">
        <v>185</v>
      </c>
      <c r="H175" s="3" t="s">
        <v>180</v>
      </c>
      <c r="P175" s="90" t="s">
        <v>180</v>
      </c>
    </row>
    <row r="176" spans="1:16">
      <c r="A176" s="52"/>
      <c r="B176" s="52"/>
      <c r="C176" s="21" t="s">
        <v>688</v>
      </c>
      <c r="D176" s="1" t="s">
        <v>176</v>
      </c>
      <c r="E176" s="81" t="s">
        <v>675</v>
      </c>
      <c r="F176" s="3" t="s">
        <v>187</v>
      </c>
      <c r="G176" s="3" t="s">
        <v>179</v>
      </c>
      <c r="H176" s="3" t="s">
        <v>180</v>
      </c>
      <c r="I176" s="43" t="s">
        <v>179</v>
      </c>
      <c r="P176" s="90" t="s">
        <v>180</v>
      </c>
    </row>
    <row r="177" spans="1:16">
      <c r="A177" s="52"/>
      <c r="B177" s="52"/>
      <c r="C177" s="21" t="s">
        <v>689</v>
      </c>
      <c r="D177" s="1" t="s">
        <v>176</v>
      </c>
      <c r="E177" s="81" t="s">
        <v>681</v>
      </c>
      <c r="F177" s="3" t="s">
        <v>187</v>
      </c>
      <c r="G177" s="3" t="s">
        <v>179</v>
      </c>
      <c r="H177" s="3" t="s">
        <v>180</v>
      </c>
      <c r="I177" s="43" t="s">
        <v>179</v>
      </c>
      <c r="P177" s="90" t="s">
        <v>180</v>
      </c>
    </row>
    <row r="178" spans="1:16">
      <c r="A178" s="52"/>
      <c r="B178" s="52"/>
      <c r="C178" s="21" t="s">
        <v>379</v>
      </c>
      <c r="D178" s="1" t="s">
        <v>203</v>
      </c>
      <c r="E178" s="81" t="s">
        <v>677</v>
      </c>
      <c r="F178" s="3" t="s">
        <v>187</v>
      </c>
      <c r="H178" s="3" t="s">
        <v>180</v>
      </c>
      <c r="P178" s="90" t="s">
        <v>180</v>
      </c>
    </row>
    <row r="179" spans="1:16">
      <c r="A179" s="52"/>
      <c r="B179" s="52"/>
      <c r="C179" s="37" t="s">
        <v>690</v>
      </c>
      <c r="D179" s="1" t="s">
        <v>203</v>
      </c>
      <c r="E179" s="81" t="s">
        <v>677</v>
      </c>
      <c r="F179" s="3" t="s">
        <v>187</v>
      </c>
      <c r="H179" s="3" t="s">
        <v>180</v>
      </c>
      <c r="P179" s="90" t="s">
        <v>180</v>
      </c>
    </row>
    <row r="180" spans="1:16">
      <c r="A180" s="52"/>
      <c r="B180" s="52"/>
      <c r="C180" s="21" t="s">
        <v>380</v>
      </c>
      <c r="D180" s="1" t="s">
        <v>203</v>
      </c>
      <c r="E180" s="81" t="s">
        <v>679</v>
      </c>
      <c r="F180" s="3" t="s">
        <v>187</v>
      </c>
      <c r="H180" s="3" t="s">
        <v>180</v>
      </c>
      <c r="P180" s="90" t="s">
        <v>180</v>
      </c>
    </row>
    <row r="181" spans="1:16">
      <c r="A181" s="52"/>
      <c r="B181" s="52"/>
      <c r="C181" s="37" t="s">
        <v>691</v>
      </c>
      <c r="D181" s="1" t="s">
        <v>203</v>
      </c>
      <c r="E181" s="81" t="s">
        <v>679</v>
      </c>
      <c r="F181" s="3" t="s">
        <v>187</v>
      </c>
      <c r="H181" s="3" t="s">
        <v>180</v>
      </c>
      <c r="P181" s="90" t="s">
        <v>180</v>
      </c>
    </row>
    <row r="182" spans="1:16">
      <c r="A182" s="52"/>
      <c r="B182" s="52"/>
      <c r="C182" s="21" t="s">
        <v>381</v>
      </c>
      <c r="D182" s="1" t="s">
        <v>203</v>
      </c>
      <c r="E182" s="81" t="s">
        <v>681</v>
      </c>
      <c r="F182" s="3" t="s">
        <v>187</v>
      </c>
      <c r="H182" s="3" t="s">
        <v>180</v>
      </c>
      <c r="P182" s="90" t="s">
        <v>180</v>
      </c>
    </row>
    <row r="183" spans="1:16">
      <c r="A183" s="52"/>
      <c r="B183" s="52"/>
      <c r="C183" s="37" t="s">
        <v>692</v>
      </c>
      <c r="D183" s="1" t="s">
        <v>203</v>
      </c>
      <c r="E183" s="81" t="s">
        <v>681</v>
      </c>
      <c r="F183" s="3" t="s">
        <v>187</v>
      </c>
      <c r="H183" s="3" t="s">
        <v>180</v>
      </c>
      <c r="P183" s="90" t="s">
        <v>180</v>
      </c>
    </row>
    <row r="184" spans="1:16">
      <c r="A184" s="52"/>
      <c r="B184" s="52"/>
      <c r="C184" s="21" t="s">
        <v>239</v>
      </c>
      <c r="D184" s="1" t="s">
        <v>193</v>
      </c>
      <c r="J184" s="81" t="s">
        <v>180</v>
      </c>
      <c r="K184" s="3" t="s">
        <v>185</v>
      </c>
      <c r="L184" s="3"/>
      <c r="M184" s="3" t="s">
        <v>180</v>
      </c>
      <c r="N184" s="43"/>
    </row>
    <row r="185" spans="1:16">
      <c r="A185" s="52"/>
      <c r="B185" s="52"/>
      <c r="C185" s="21" t="s">
        <v>241</v>
      </c>
      <c r="D185" s="1"/>
      <c r="J185" s="81"/>
      <c r="K185" s="3"/>
      <c r="L185" s="3"/>
      <c r="M185" s="3"/>
      <c r="N185" s="43"/>
    </row>
    <row r="186" spans="1:16">
      <c r="A186" s="52"/>
      <c r="B186" s="52"/>
      <c r="C186" s="21" t="s">
        <v>242</v>
      </c>
      <c r="D186" s="1"/>
      <c r="J186" s="81"/>
      <c r="K186" s="3"/>
      <c r="L186" s="3"/>
      <c r="M186" s="3"/>
      <c r="N186" s="43"/>
    </row>
    <row r="187" spans="1:16">
      <c r="A187" s="52"/>
      <c r="B187" s="52"/>
      <c r="C187" s="21" t="s">
        <v>243</v>
      </c>
      <c r="D187" s="1" t="s">
        <v>193</v>
      </c>
      <c r="J187" s="81" t="s">
        <v>244</v>
      </c>
      <c r="K187" s="3" t="s">
        <v>185</v>
      </c>
      <c r="L187" s="3"/>
      <c r="M187" s="3" t="s">
        <v>180</v>
      </c>
      <c r="N187" s="43"/>
    </row>
    <row r="188" spans="1:16">
      <c r="A188" s="52"/>
      <c r="B188" s="52"/>
      <c r="C188" s="37" t="s">
        <v>630</v>
      </c>
      <c r="J188" s="81"/>
      <c r="K188" s="3"/>
      <c r="L188" s="3"/>
      <c r="M188" s="3"/>
      <c r="N188" s="43"/>
    </row>
    <row r="189" spans="1:16">
      <c r="A189" s="52"/>
      <c r="B189" s="52"/>
      <c r="C189" s="21" t="s">
        <v>245</v>
      </c>
      <c r="D189" s="1" t="s">
        <v>193</v>
      </c>
      <c r="J189" s="81" t="s">
        <v>246</v>
      </c>
      <c r="K189" s="3" t="s">
        <v>185</v>
      </c>
      <c r="L189" s="3"/>
      <c r="M189" s="3" t="s">
        <v>180</v>
      </c>
      <c r="N189" s="43"/>
    </row>
    <row r="190" spans="1:16">
      <c r="A190" s="52"/>
      <c r="B190" s="52"/>
      <c r="C190" s="37" t="s">
        <v>631</v>
      </c>
      <c r="J190" s="81"/>
      <c r="K190" s="3"/>
      <c r="L190" s="3"/>
      <c r="M190" s="3"/>
      <c r="N190" s="43"/>
    </row>
    <row r="191" spans="1:16">
      <c r="A191" s="52"/>
      <c r="B191" s="52"/>
      <c r="C191" s="21" t="s">
        <v>247</v>
      </c>
      <c r="D191" s="1" t="s">
        <v>193</v>
      </c>
      <c r="J191" s="82" t="s">
        <v>632</v>
      </c>
      <c r="K191" s="3" t="s">
        <v>185</v>
      </c>
      <c r="L191" s="3"/>
      <c r="M191" s="3" t="s">
        <v>180</v>
      </c>
      <c r="N191" s="43"/>
    </row>
    <row r="192" spans="1:16">
      <c r="A192" s="52"/>
      <c r="B192" s="52"/>
      <c r="C192" s="37" t="s">
        <v>633</v>
      </c>
      <c r="D192" s="1"/>
      <c r="J192" s="81"/>
      <c r="K192" s="3"/>
      <c r="L192" s="3"/>
      <c r="M192" s="3"/>
      <c r="N192" s="43"/>
    </row>
    <row r="193" spans="1:16">
      <c r="A193" s="52"/>
      <c r="B193" s="52"/>
      <c r="C193" s="21" t="s">
        <v>249</v>
      </c>
      <c r="D193" s="1" t="s">
        <v>193</v>
      </c>
      <c r="J193" s="82" t="s">
        <v>185</v>
      </c>
      <c r="K193" s="3" t="s">
        <v>180</v>
      </c>
      <c r="L193" s="3"/>
      <c r="M193" s="3" t="s">
        <v>180</v>
      </c>
      <c r="N193" s="43"/>
    </row>
    <row r="194" spans="1:16">
      <c r="A194" s="52"/>
      <c r="B194" s="52"/>
      <c r="C194" s="21" t="s">
        <v>250</v>
      </c>
      <c r="D194" s="1" t="s">
        <v>176</v>
      </c>
      <c r="J194" s="81" t="s">
        <v>251</v>
      </c>
      <c r="K194" s="3" t="s">
        <v>178</v>
      </c>
      <c r="L194" s="3" t="s">
        <v>179</v>
      </c>
      <c r="M194" s="3" t="s">
        <v>180</v>
      </c>
      <c r="N194" s="43" t="s">
        <v>179</v>
      </c>
      <c r="P194" s="78" t="s">
        <v>180</v>
      </c>
    </row>
    <row r="195" spans="1:16">
      <c r="A195" s="52"/>
      <c r="B195" s="52"/>
      <c r="C195" s="21" t="s">
        <v>252</v>
      </c>
      <c r="D195" s="1" t="s">
        <v>203</v>
      </c>
      <c r="J195" s="81" t="s">
        <v>185</v>
      </c>
      <c r="K195" s="3" t="s">
        <v>178</v>
      </c>
      <c r="L195" s="3"/>
      <c r="M195" s="3" t="s">
        <v>180</v>
      </c>
      <c r="N195" s="43"/>
      <c r="P195" s="78" t="s">
        <v>180</v>
      </c>
    </row>
    <row r="196" spans="1:16">
      <c r="A196" s="52"/>
      <c r="B196" s="52"/>
      <c r="C196" s="37" t="s">
        <v>634</v>
      </c>
      <c r="D196" s="1" t="s">
        <v>203</v>
      </c>
      <c r="J196" s="81" t="s">
        <v>185</v>
      </c>
      <c r="K196" s="3" t="s">
        <v>178</v>
      </c>
      <c r="L196" s="3"/>
      <c r="M196" s="3" t="s">
        <v>180</v>
      </c>
      <c r="N196" s="43"/>
      <c r="P196" s="78" t="s">
        <v>180</v>
      </c>
    </row>
    <row r="197" spans="1:16">
      <c r="A197" s="52"/>
      <c r="B197" s="52"/>
      <c r="C197" s="21" t="s">
        <v>253</v>
      </c>
      <c r="D197" s="1" t="s">
        <v>203</v>
      </c>
      <c r="J197" s="81" t="s">
        <v>254</v>
      </c>
      <c r="K197" s="3" t="s">
        <v>178</v>
      </c>
      <c r="L197" s="3"/>
      <c r="M197" s="3" t="s">
        <v>180</v>
      </c>
      <c r="N197" s="43"/>
      <c r="P197" s="78" t="s">
        <v>180</v>
      </c>
    </row>
    <row r="198" spans="1:16">
      <c r="A198" s="52"/>
      <c r="B198" s="52"/>
      <c r="C198" s="37" t="s">
        <v>635</v>
      </c>
      <c r="D198" s="1" t="s">
        <v>203</v>
      </c>
      <c r="J198" s="81" t="s">
        <v>254</v>
      </c>
      <c r="K198" s="3" t="s">
        <v>178</v>
      </c>
      <c r="L198" s="3"/>
      <c r="M198" s="3" t="s">
        <v>180</v>
      </c>
      <c r="N198" s="43"/>
      <c r="P198" s="78" t="s">
        <v>180</v>
      </c>
    </row>
    <row r="199" spans="1:16">
      <c r="A199" s="52"/>
      <c r="B199" s="52"/>
      <c r="C199" s="21" t="s">
        <v>255</v>
      </c>
      <c r="D199" s="1" t="s">
        <v>203</v>
      </c>
      <c r="J199" s="81" t="s">
        <v>256</v>
      </c>
      <c r="K199" s="3" t="s">
        <v>178</v>
      </c>
      <c r="L199" s="3"/>
      <c r="M199" s="3" t="s">
        <v>180</v>
      </c>
      <c r="N199" s="43"/>
      <c r="P199" s="78" t="s">
        <v>180</v>
      </c>
    </row>
    <row r="200" spans="1:16">
      <c r="A200" s="52"/>
      <c r="B200" s="52"/>
      <c r="C200" s="37" t="s">
        <v>485</v>
      </c>
      <c r="D200" s="1" t="s">
        <v>203</v>
      </c>
      <c r="J200" s="81" t="s">
        <v>256</v>
      </c>
      <c r="K200" s="3" t="s">
        <v>178</v>
      </c>
      <c r="L200" s="3"/>
      <c r="M200" s="3" t="s">
        <v>180</v>
      </c>
      <c r="N200" s="43"/>
      <c r="P200" s="78" t="s">
        <v>180</v>
      </c>
    </row>
    <row r="201" spans="1:16">
      <c r="A201" s="52"/>
      <c r="B201" s="52"/>
      <c r="C201" s="21" t="s">
        <v>257</v>
      </c>
      <c r="D201" s="1" t="s">
        <v>203</v>
      </c>
      <c r="J201" s="81" t="s">
        <v>258</v>
      </c>
      <c r="K201" s="3" t="s">
        <v>178</v>
      </c>
      <c r="L201" s="3"/>
      <c r="M201" s="3" t="s">
        <v>180</v>
      </c>
      <c r="N201" s="43"/>
      <c r="P201" s="78" t="s">
        <v>180</v>
      </c>
    </row>
    <row r="202" spans="1:16">
      <c r="A202" s="52"/>
      <c r="B202" s="52"/>
      <c r="C202" s="37" t="s">
        <v>636</v>
      </c>
      <c r="D202" s="1" t="s">
        <v>203</v>
      </c>
      <c r="J202" s="81" t="s">
        <v>258</v>
      </c>
      <c r="K202" s="3" t="s">
        <v>178</v>
      </c>
      <c r="L202" s="3"/>
      <c r="M202" s="3" t="s">
        <v>180</v>
      </c>
      <c r="N202" s="43"/>
      <c r="P202" s="78" t="s">
        <v>180</v>
      </c>
    </row>
    <row r="203" spans="1:16">
      <c r="A203" s="52"/>
      <c r="B203" s="52"/>
      <c r="C203" s="21" t="s">
        <v>259</v>
      </c>
      <c r="D203" s="1" t="s">
        <v>176</v>
      </c>
      <c r="J203" s="81" t="s">
        <v>251</v>
      </c>
      <c r="K203" s="3" t="s">
        <v>185</v>
      </c>
      <c r="L203" s="3" t="s">
        <v>179</v>
      </c>
      <c r="M203" s="3" t="s">
        <v>180</v>
      </c>
      <c r="N203" s="43" t="s">
        <v>179</v>
      </c>
      <c r="P203" s="78" t="s">
        <v>180</v>
      </c>
    </row>
    <row r="204" spans="1:16">
      <c r="A204" s="52"/>
      <c r="B204" s="52"/>
      <c r="C204" s="21" t="s">
        <v>260</v>
      </c>
      <c r="D204" s="1" t="s">
        <v>203</v>
      </c>
      <c r="J204" s="81" t="s">
        <v>185</v>
      </c>
      <c r="K204" s="3" t="s">
        <v>185</v>
      </c>
      <c r="L204" s="3"/>
      <c r="M204" s="3" t="s">
        <v>180</v>
      </c>
      <c r="N204" s="43"/>
      <c r="P204" s="78" t="s">
        <v>180</v>
      </c>
    </row>
    <row r="205" spans="1:16">
      <c r="A205" s="52"/>
      <c r="B205" s="52"/>
      <c r="C205" s="37" t="s">
        <v>637</v>
      </c>
      <c r="D205" s="1" t="s">
        <v>203</v>
      </c>
      <c r="J205" s="81" t="s">
        <v>185</v>
      </c>
      <c r="K205" s="3" t="s">
        <v>185</v>
      </c>
      <c r="L205" s="3"/>
      <c r="M205" s="3" t="s">
        <v>180</v>
      </c>
      <c r="N205" s="43"/>
      <c r="P205" s="78" t="s">
        <v>180</v>
      </c>
    </row>
    <row r="206" spans="1:16">
      <c r="A206" s="52"/>
      <c r="B206" s="52"/>
      <c r="C206" s="21" t="s">
        <v>261</v>
      </c>
      <c r="D206" s="1" t="s">
        <v>203</v>
      </c>
      <c r="J206" s="81" t="s">
        <v>254</v>
      </c>
      <c r="K206" s="3" t="s">
        <v>185</v>
      </c>
      <c r="L206" s="3"/>
      <c r="M206" s="3" t="s">
        <v>180</v>
      </c>
      <c r="N206" s="43"/>
      <c r="P206" s="78" t="s">
        <v>180</v>
      </c>
    </row>
    <row r="207" spans="1:16">
      <c r="A207" s="52"/>
      <c r="B207" s="52"/>
      <c r="C207" s="37" t="s">
        <v>638</v>
      </c>
      <c r="D207" s="1" t="s">
        <v>203</v>
      </c>
      <c r="J207" s="81" t="s">
        <v>254</v>
      </c>
      <c r="K207" s="3" t="s">
        <v>185</v>
      </c>
      <c r="L207" s="3"/>
      <c r="M207" s="3" t="s">
        <v>180</v>
      </c>
      <c r="N207" s="43"/>
      <c r="P207" s="78" t="s">
        <v>180</v>
      </c>
    </row>
    <row r="208" spans="1:16">
      <c r="A208" s="52"/>
      <c r="B208" s="52"/>
      <c r="C208" s="21" t="s">
        <v>262</v>
      </c>
      <c r="D208" s="1" t="s">
        <v>203</v>
      </c>
      <c r="J208" s="81" t="s">
        <v>256</v>
      </c>
      <c r="K208" s="3" t="s">
        <v>185</v>
      </c>
      <c r="L208" s="3"/>
      <c r="M208" s="3" t="s">
        <v>180</v>
      </c>
      <c r="N208" s="43"/>
      <c r="P208" s="78" t="s">
        <v>180</v>
      </c>
    </row>
    <row r="209" spans="1:16">
      <c r="A209" s="52"/>
      <c r="B209" s="52"/>
      <c r="C209" s="37" t="s">
        <v>639</v>
      </c>
      <c r="D209" s="1" t="s">
        <v>203</v>
      </c>
      <c r="J209" s="81" t="s">
        <v>256</v>
      </c>
      <c r="K209" s="3" t="s">
        <v>185</v>
      </c>
      <c r="L209" s="3"/>
      <c r="M209" s="3" t="s">
        <v>180</v>
      </c>
      <c r="N209" s="43"/>
      <c r="P209" s="78" t="s">
        <v>180</v>
      </c>
    </row>
    <row r="210" spans="1:16">
      <c r="A210" s="52"/>
      <c r="B210" s="52"/>
      <c r="C210" s="21" t="s">
        <v>263</v>
      </c>
      <c r="D210" s="1" t="s">
        <v>203</v>
      </c>
      <c r="J210" s="81" t="s">
        <v>258</v>
      </c>
      <c r="K210" s="3" t="s">
        <v>185</v>
      </c>
      <c r="L210" s="3"/>
      <c r="M210" s="3" t="s">
        <v>180</v>
      </c>
      <c r="N210" s="43"/>
      <c r="P210" s="78" t="s">
        <v>180</v>
      </c>
    </row>
    <row r="211" spans="1:16">
      <c r="A211" s="52"/>
      <c r="B211" s="52"/>
      <c r="C211" s="37" t="s">
        <v>640</v>
      </c>
      <c r="D211" s="1" t="s">
        <v>203</v>
      </c>
      <c r="J211" s="81" t="s">
        <v>258</v>
      </c>
      <c r="K211" s="3" t="s">
        <v>185</v>
      </c>
      <c r="L211" s="3"/>
      <c r="M211" s="3" t="s">
        <v>180</v>
      </c>
      <c r="N211" s="43"/>
      <c r="P211" s="78" t="s">
        <v>180</v>
      </c>
    </row>
    <row r="212" spans="1:16">
      <c r="A212" s="52"/>
      <c r="B212" s="52"/>
      <c r="C212" s="21" t="s">
        <v>264</v>
      </c>
      <c r="D212" s="1" t="s">
        <v>176</v>
      </c>
      <c r="J212" s="81" t="s">
        <v>265</v>
      </c>
      <c r="K212" s="3" t="s">
        <v>185</v>
      </c>
      <c r="L212" s="3" t="s">
        <v>179</v>
      </c>
      <c r="M212" s="3" t="s">
        <v>180</v>
      </c>
      <c r="N212" s="43" t="s">
        <v>179</v>
      </c>
      <c r="P212" s="78" t="s">
        <v>180</v>
      </c>
    </row>
    <row r="213" spans="1:16">
      <c r="A213" s="52"/>
      <c r="B213" s="52"/>
      <c r="C213" s="21" t="s">
        <v>266</v>
      </c>
      <c r="D213" s="1" t="s">
        <v>203</v>
      </c>
      <c r="J213" s="81" t="s">
        <v>267</v>
      </c>
      <c r="K213" s="3" t="s">
        <v>185</v>
      </c>
      <c r="L213" s="3"/>
      <c r="M213" s="3" t="s">
        <v>180</v>
      </c>
      <c r="N213" s="43"/>
      <c r="P213" s="78" t="s">
        <v>180</v>
      </c>
    </row>
    <row r="214" spans="1:16">
      <c r="A214" s="52"/>
      <c r="B214" s="52"/>
      <c r="C214" s="37" t="s">
        <v>641</v>
      </c>
      <c r="D214" s="1" t="s">
        <v>203</v>
      </c>
      <c r="J214" s="81" t="s">
        <v>267</v>
      </c>
      <c r="K214" s="3" t="s">
        <v>185</v>
      </c>
      <c r="L214" s="3"/>
      <c r="M214" s="3" t="s">
        <v>180</v>
      </c>
      <c r="N214" s="43"/>
      <c r="P214" s="90" t="s">
        <v>180</v>
      </c>
    </row>
    <row r="215" spans="1:16">
      <c r="A215" s="52"/>
      <c r="B215" s="52"/>
      <c r="C215" s="21" t="s">
        <v>268</v>
      </c>
      <c r="D215" s="1" t="s">
        <v>203</v>
      </c>
      <c r="J215" s="81" t="s">
        <v>269</v>
      </c>
      <c r="K215" s="3" t="s">
        <v>185</v>
      </c>
      <c r="L215" s="3"/>
      <c r="M215" s="3" t="s">
        <v>180</v>
      </c>
      <c r="N215" s="43"/>
      <c r="P215" s="90" t="s">
        <v>180</v>
      </c>
    </row>
    <row r="216" spans="1:16">
      <c r="A216" s="52"/>
      <c r="B216" s="52"/>
      <c r="C216" s="37" t="s">
        <v>642</v>
      </c>
      <c r="D216" s="1" t="s">
        <v>203</v>
      </c>
      <c r="J216" s="81" t="s">
        <v>269</v>
      </c>
      <c r="K216" s="3" t="s">
        <v>185</v>
      </c>
      <c r="L216" s="3"/>
      <c r="M216" s="3" t="s">
        <v>180</v>
      </c>
      <c r="N216" s="43"/>
      <c r="P216" s="90" t="s">
        <v>180</v>
      </c>
    </row>
    <row r="217" spans="1:16">
      <c r="A217" s="52"/>
      <c r="B217" s="52"/>
      <c r="C217" s="21" t="s">
        <v>270</v>
      </c>
      <c r="D217" s="1" t="s">
        <v>203</v>
      </c>
      <c r="J217" s="81" t="s">
        <v>271</v>
      </c>
      <c r="K217" s="3" t="s">
        <v>185</v>
      </c>
      <c r="L217" s="3"/>
      <c r="M217" s="3" t="s">
        <v>180</v>
      </c>
      <c r="N217" s="43"/>
      <c r="P217" s="90" t="s">
        <v>180</v>
      </c>
    </row>
    <row r="218" spans="1:16">
      <c r="A218" s="52"/>
      <c r="B218" s="52"/>
      <c r="C218" s="37" t="s">
        <v>643</v>
      </c>
      <c r="D218" s="1" t="s">
        <v>203</v>
      </c>
      <c r="J218" s="81" t="s">
        <v>271</v>
      </c>
      <c r="K218" s="3" t="s">
        <v>185</v>
      </c>
      <c r="L218" s="3"/>
      <c r="M218" s="3" t="s">
        <v>180</v>
      </c>
      <c r="N218" s="43"/>
      <c r="P218" s="90" t="s">
        <v>180</v>
      </c>
    </row>
    <row r="219" spans="1:16">
      <c r="A219" s="52"/>
      <c r="B219" s="52"/>
      <c r="C219" s="21" t="s">
        <v>272</v>
      </c>
      <c r="D219" s="1" t="s">
        <v>203</v>
      </c>
      <c r="J219" s="81" t="s">
        <v>183</v>
      </c>
      <c r="K219" s="3" t="s">
        <v>185</v>
      </c>
      <c r="L219" s="3"/>
      <c r="M219" s="3" t="s">
        <v>180</v>
      </c>
      <c r="N219" s="43"/>
      <c r="P219" s="90" t="s">
        <v>180</v>
      </c>
    </row>
    <row r="220" spans="1:16">
      <c r="A220" s="52"/>
      <c r="B220" s="52"/>
      <c r="C220" s="37" t="s">
        <v>644</v>
      </c>
      <c r="D220" s="1" t="s">
        <v>203</v>
      </c>
      <c r="J220" s="81" t="s">
        <v>183</v>
      </c>
      <c r="K220" s="3" t="s">
        <v>185</v>
      </c>
      <c r="L220" s="3"/>
      <c r="M220" s="3" t="s">
        <v>180</v>
      </c>
      <c r="N220" s="43"/>
      <c r="P220" s="90" t="s">
        <v>180</v>
      </c>
    </row>
    <row r="221" spans="1:16">
      <c r="A221" s="52"/>
      <c r="B221" s="52"/>
      <c r="C221" s="21" t="s">
        <v>273</v>
      </c>
      <c r="D221" s="1" t="s">
        <v>176</v>
      </c>
      <c r="J221" s="81" t="s">
        <v>251</v>
      </c>
      <c r="K221" s="3" t="s">
        <v>267</v>
      </c>
      <c r="L221" s="3" t="s">
        <v>179</v>
      </c>
      <c r="M221" s="3" t="s">
        <v>180</v>
      </c>
      <c r="N221" s="43" t="s">
        <v>179</v>
      </c>
      <c r="P221" s="90" t="s">
        <v>180</v>
      </c>
    </row>
    <row r="222" spans="1:16">
      <c r="A222" s="52"/>
      <c r="B222" s="52"/>
      <c r="C222" s="21" t="s">
        <v>274</v>
      </c>
      <c r="D222" s="1" t="s">
        <v>203</v>
      </c>
      <c r="J222" s="81" t="s">
        <v>185</v>
      </c>
      <c r="K222" s="3" t="s">
        <v>267</v>
      </c>
      <c r="L222" s="3"/>
      <c r="M222" s="3" t="s">
        <v>180</v>
      </c>
      <c r="N222" s="43"/>
      <c r="P222" s="90" t="s">
        <v>180</v>
      </c>
    </row>
    <row r="223" spans="1:16">
      <c r="A223" s="52"/>
      <c r="B223" s="52"/>
      <c r="C223" s="37" t="s">
        <v>645</v>
      </c>
      <c r="D223" s="1" t="s">
        <v>203</v>
      </c>
      <c r="J223" s="81" t="s">
        <v>185</v>
      </c>
      <c r="K223" s="3" t="s">
        <v>267</v>
      </c>
      <c r="L223" s="3"/>
      <c r="M223" s="3" t="s">
        <v>180</v>
      </c>
      <c r="N223" s="43"/>
      <c r="P223" s="90" t="s">
        <v>180</v>
      </c>
    </row>
    <row r="224" spans="1:16">
      <c r="A224" s="52"/>
      <c r="B224" s="52"/>
      <c r="C224" s="21" t="s">
        <v>275</v>
      </c>
      <c r="D224" s="1" t="s">
        <v>203</v>
      </c>
      <c r="J224" s="81" t="s">
        <v>254</v>
      </c>
      <c r="K224" s="3" t="s">
        <v>267</v>
      </c>
      <c r="L224" s="3"/>
      <c r="M224" s="3" t="s">
        <v>180</v>
      </c>
      <c r="N224" s="43"/>
      <c r="P224" s="90" t="s">
        <v>180</v>
      </c>
    </row>
    <row r="225" spans="1:16">
      <c r="A225" s="52"/>
      <c r="B225" s="52"/>
      <c r="C225" s="37" t="s">
        <v>646</v>
      </c>
      <c r="D225" s="1" t="s">
        <v>203</v>
      </c>
      <c r="J225" s="81" t="s">
        <v>254</v>
      </c>
      <c r="K225" s="3" t="s">
        <v>267</v>
      </c>
      <c r="L225" s="3"/>
      <c r="M225" s="3" t="s">
        <v>180</v>
      </c>
      <c r="N225" s="43"/>
      <c r="P225" s="90" t="s">
        <v>180</v>
      </c>
    </row>
    <row r="226" spans="1:16">
      <c r="A226" s="52"/>
      <c r="B226" s="52"/>
      <c r="C226" s="21" t="s">
        <v>276</v>
      </c>
      <c r="D226" s="1" t="s">
        <v>203</v>
      </c>
      <c r="J226" s="81" t="s">
        <v>256</v>
      </c>
      <c r="K226" s="3" t="s">
        <v>267</v>
      </c>
      <c r="L226" s="3"/>
      <c r="M226" s="3" t="s">
        <v>180</v>
      </c>
      <c r="N226" s="43"/>
      <c r="P226" s="90" t="s">
        <v>180</v>
      </c>
    </row>
    <row r="227" spans="1:16">
      <c r="A227" s="52"/>
      <c r="B227" s="52"/>
      <c r="C227" s="37" t="s">
        <v>647</v>
      </c>
      <c r="D227" s="1" t="s">
        <v>203</v>
      </c>
      <c r="J227" s="81" t="s">
        <v>256</v>
      </c>
      <c r="K227" s="3" t="s">
        <v>267</v>
      </c>
      <c r="L227" s="3"/>
      <c r="M227" s="3" t="s">
        <v>180</v>
      </c>
      <c r="N227" s="43"/>
      <c r="P227" s="90" t="s">
        <v>180</v>
      </c>
    </row>
    <row r="228" spans="1:16">
      <c r="A228" s="52"/>
      <c r="B228" s="52"/>
      <c r="C228" s="21" t="s">
        <v>277</v>
      </c>
      <c r="D228" s="1" t="s">
        <v>203</v>
      </c>
      <c r="J228" s="81" t="s">
        <v>258</v>
      </c>
      <c r="K228" s="3" t="s">
        <v>267</v>
      </c>
      <c r="L228" s="3"/>
      <c r="M228" s="3" t="s">
        <v>180</v>
      </c>
      <c r="N228" s="43"/>
      <c r="P228" s="90" t="s">
        <v>180</v>
      </c>
    </row>
    <row r="229" spans="1:16">
      <c r="A229" s="52"/>
      <c r="B229" s="52"/>
      <c r="C229" s="37" t="s">
        <v>648</v>
      </c>
      <c r="D229" s="1" t="s">
        <v>203</v>
      </c>
      <c r="J229" s="81" t="s">
        <v>258</v>
      </c>
      <c r="K229" s="3" t="s">
        <v>267</v>
      </c>
      <c r="L229" s="3"/>
      <c r="M229" s="3" t="s">
        <v>180</v>
      </c>
      <c r="N229" s="43"/>
      <c r="P229" s="90" t="s">
        <v>180</v>
      </c>
    </row>
    <row r="230" spans="1:16">
      <c r="A230" s="52"/>
      <c r="B230" s="52"/>
      <c r="C230" s="21" t="s">
        <v>278</v>
      </c>
      <c r="D230" s="1"/>
      <c r="J230" s="81"/>
      <c r="K230" s="3"/>
      <c r="L230" s="3"/>
      <c r="M230" s="3"/>
      <c r="N230" s="43"/>
      <c r="P230" s="78"/>
    </row>
    <row r="231" spans="1:16">
      <c r="A231" s="52"/>
      <c r="B231" s="52"/>
      <c r="C231" s="37" t="s">
        <v>649</v>
      </c>
      <c r="D231" s="1"/>
      <c r="J231" s="81"/>
      <c r="K231" s="3"/>
      <c r="L231" s="3"/>
      <c r="M231" s="3"/>
      <c r="N231" s="43"/>
      <c r="P231" s="78"/>
    </row>
    <row r="232" spans="1:16">
      <c r="A232" s="52"/>
      <c r="B232" s="52"/>
      <c r="C232" s="21" t="s">
        <v>280</v>
      </c>
      <c r="D232" s="1"/>
      <c r="J232" s="81"/>
      <c r="K232" s="3"/>
      <c r="L232" s="3"/>
      <c r="M232" s="3"/>
      <c r="N232" s="43"/>
      <c r="P232" s="78"/>
    </row>
    <row r="233" spans="1:16">
      <c r="A233" s="52"/>
      <c r="B233" s="52"/>
      <c r="C233" s="37" t="s">
        <v>650</v>
      </c>
      <c r="D233" s="1"/>
      <c r="J233" s="81"/>
      <c r="K233" s="3"/>
      <c r="L233" s="3"/>
      <c r="M233" s="3"/>
      <c r="N233" s="43"/>
      <c r="P233" s="78"/>
    </row>
    <row r="234" spans="1:16">
      <c r="A234" s="52"/>
      <c r="B234" s="52"/>
      <c r="C234" s="21" t="s">
        <v>281</v>
      </c>
      <c r="D234" s="1"/>
      <c r="J234" s="81"/>
      <c r="K234" s="3"/>
      <c r="L234" s="3"/>
      <c r="M234" s="3"/>
      <c r="N234" s="43"/>
      <c r="P234" s="78"/>
    </row>
    <row r="235" spans="1:16">
      <c r="A235" s="52"/>
      <c r="B235" s="52"/>
      <c r="C235" s="37" t="s">
        <v>651</v>
      </c>
      <c r="D235" s="1"/>
      <c r="J235" s="81"/>
      <c r="K235" s="3"/>
      <c r="L235" s="3"/>
      <c r="M235" s="3"/>
      <c r="N235" s="43"/>
      <c r="P235" s="78"/>
    </row>
    <row r="236" spans="1:16">
      <c r="A236" s="52"/>
      <c r="B236" s="52"/>
      <c r="C236" s="21" t="s">
        <v>282</v>
      </c>
      <c r="D236" s="1"/>
      <c r="J236" s="81"/>
      <c r="K236" s="3"/>
      <c r="L236" s="3"/>
      <c r="M236" s="3"/>
      <c r="N236" s="43"/>
      <c r="P236" s="78"/>
    </row>
    <row r="237" spans="1:16">
      <c r="A237" s="52"/>
      <c r="B237" s="52"/>
      <c r="C237" s="37" t="s">
        <v>652</v>
      </c>
      <c r="D237" s="1"/>
      <c r="J237" s="81"/>
      <c r="K237" s="3"/>
      <c r="L237" s="3"/>
      <c r="M237" s="3"/>
      <c r="N237" s="43"/>
      <c r="P237" s="78"/>
    </row>
    <row r="238" spans="1:16">
      <c r="A238" s="52"/>
      <c r="B238" s="52"/>
      <c r="C238" s="21" t="s">
        <v>283</v>
      </c>
      <c r="D238" s="1" t="s">
        <v>176</v>
      </c>
      <c r="J238" s="81" t="s">
        <v>190</v>
      </c>
      <c r="K238" s="3" t="s">
        <v>178</v>
      </c>
      <c r="L238" s="3" t="s">
        <v>179</v>
      </c>
      <c r="M238" s="3" t="s">
        <v>180</v>
      </c>
      <c r="N238" s="43" t="s">
        <v>179</v>
      </c>
      <c r="P238" s="78" t="s">
        <v>180</v>
      </c>
    </row>
    <row r="239" spans="1:16">
      <c r="A239" s="52"/>
      <c r="B239" s="52"/>
      <c r="C239" s="21" t="s">
        <v>284</v>
      </c>
      <c r="D239" s="1" t="s">
        <v>203</v>
      </c>
      <c r="J239" s="81" t="s">
        <v>190</v>
      </c>
      <c r="K239" s="3" t="s">
        <v>178</v>
      </c>
      <c r="L239" s="3"/>
      <c r="M239" s="3" t="s">
        <v>180</v>
      </c>
      <c r="N239" s="43"/>
      <c r="P239" s="78" t="s">
        <v>180</v>
      </c>
    </row>
    <row r="240" spans="1:16">
      <c r="A240" s="52"/>
      <c r="B240" s="52"/>
      <c r="C240" s="37" t="s">
        <v>653</v>
      </c>
      <c r="D240" s="1" t="s">
        <v>203</v>
      </c>
      <c r="J240" s="81" t="s">
        <v>190</v>
      </c>
      <c r="K240" s="3" t="s">
        <v>178</v>
      </c>
      <c r="L240" s="3"/>
      <c r="M240" s="3" t="s">
        <v>180</v>
      </c>
      <c r="N240" s="43"/>
      <c r="P240" s="78" t="s">
        <v>180</v>
      </c>
    </row>
    <row r="241" spans="1:16">
      <c r="A241" s="52"/>
      <c r="B241" s="52"/>
      <c r="C241" s="21" t="s">
        <v>565</v>
      </c>
      <c r="D241" s="1" t="s">
        <v>176</v>
      </c>
      <c r="J241" s="81" t="s">
        <v>654</v>
      </c>
      <c r="K241" s="3" t="s">
        <v>185</v>
      </c>
      <c r="L241" s="3" t="s">
        <v>179</v>
      </c>
      <c r="M241" s="3" t="s">
        <v>180</v>
      </c>
      <c r="N241" s="43" t="s">
        <v>179</v>
      </c>
      <c r="P241" s="78" t="s">
        <v>180</v>
      </c>
    </row>
    <row r="242" spans="1:16">
      <c r="A242" s="52"/>
      <c r="B242" s="52"/>
      <c r="C242" s="37" t="s">
        <v>285</v>
      </c>
      <c r="D242" s="1" t="s">
        <v>286</v>
      </c>
      <c r="J242" s="81" t="s">
        <v>654</v>
      </c>
      <c r="K242" s="3" t="s">
        <v>185</v>
      </c>
      <c r="L242" s="3"/>
      <c r="M242" s="3" t="s">
        <v>180</v>
      </c>
      <c r="N242" s="43"/>
      <c r="P242" s="78" t="s">
        <v>180</v>
      </c>
    </row>
    <row r="243" spans="1:16">
      <c r="A243" s="52"/>
      <c r="B243" s="52"/>
      <c r="C243" s="37" t="s">
        <v>288</v>
      </c>
      <c r="D243" s="1" t="s">
        <v>286</v>
      </c>
      <c r="J243" s="81"/>
      <c r="K243" s="3"/>
      <c r="L243" s="3"/>
      <c r="M243" s="3"/>
      <c r="N243" s="43"/>
    </row>
    <row r="244" spans="1:16">
      <c r="A244" s="52"/>
      <c r="B244" s="52"/>
      <c r="C244" s="37" t="s">
        <v>655</v>
      </c>
      <c r="D244" s="1" t="s">
        <v>286</v>
      </c>
      <c r="J244" s="81"/>
      <c r="K244" s="3"/>
      <c r="L244" s="3"/>
      <c r="M244" s="3"/>
      <c r="N244" s="43"/>
    </row>
    <row r="245" spans="1:16">
      <c r="A245" s="52"/>
      <c r="B245" s="52"/>
      <c r="C245" s="37" t="s">
        <v>290</v>
      </c>
      <c r="D245" s="1" t="s">
        <v>286</v>
      </c>
      <c r="J245" s="81"/>
      <c r="K245" s="3"/>
      <c r="L245" s="3"/>
      <c r="M245" s="3"/>
      <c r="N245" s="43"/>
    </row>
    <row r="246" spans="1:16">
      <c r="A246" s="52"/>
      <c r="B246" s="52"/>
      <c r="C246" s="37" t="s">
        <v>656</v>
      </c>
      <c r="D246" s="1" t="s">
        <v>286</v>
      </c>
      <c r="J246" s="81"/>
      <c r="K246" s="3"/>
      <c r="L246" s="3"/>
      <c r="M246" s="3"/>
      <c r="N246" s="43"/>
    </row>
    <row r="247" spans="1:16">
      <c r="A247" s="52"/>
      <c r="B247" s="52"/>
      <c r="C247" s="37" t="s">
        <v>315</v>
      </c>
      <c r="D247" s="1"/>
      <c r="J247" s="81"/>
      <c r="K247" s="3"/>
      <c r="L247" s="3"/>
      <c r="M247" s="3"/>
      <c r="N247" s="43"/>
    </row>
    <row r="248" spans="1:16">
      <c r="A248" s="52"/>
      <c r="B248" s="52"/>
      <c r="C248" s="37" t="s">
        <v>316</v>
      </c>
      <c r="D248" s="1"/>
      <c r="J248" s="81"/>
      <c r="K248" s="3"/>
      <c r="L248" s="3"/>
      <c r="M248" s="3"/>
      <c r="N248" s="43"/>
    </row>
    <row r="249" spans="1:16">
      <c r="A249" s="52"/>
      <c r="B249" s="52"/>
      <c r="C249" s="37" t="s">
        <v>317</v>
      </c>
      <c r="D249" s="1"/>
      <c r="J249" s="81"/>
      <c r="K249" s="3"/>
      <c r="L249" s="3"/>
      <c r="M249" s="3"/>
      <c r="N249" s="43"/>
    </row>
    <row r="250" spans="1:16">
      <c r="A250" s="52"/>
      <c r="B250" s="52"/>
      <c r="C250" s="21" t="s">
        <v>318</v>
      </c>
      <c r="D250" s="1" t="s">
        <v>193</v>
      </c>
      <c r="J250" s="81" t="s">
        <v>657</v>
      </c>
      <c r="K250" s="3" t="s">
        <v>185</v>
      </c>
      <c r="L250" s="3"/>
      <c r="M250" s="3" t="s">
        <v>180</v>
      </c>
      <c r="N250" s="43"/>
    </row>
    <row r="251" spans="1:16">
      <c r="A251" s="52"/>
      <c r="B251" s="52"/>
      <c r="C251" s="37" t="s">
        <v>320</v>
      </c>
      <c r="D251" s="1" t="s">
        <v>176</v>
      </c>
      <c r="J251" s="81" t="s">
        <v>658</v>
      </c>
      <c r="K251" s="3" t="s">
        <v>178</v>
      </c>
      <c r="L251" s="3" t="s">
        <v>179</v>
      </c>
      <c r="M251" s="3" t="s">
        <v>180</v>
      </c>
      <c r="N251" s="43" t="s">
        <v>179</v>
      </c>
      <c r="P251" s="90" t="s">
        <v>180</v>
      </c>
    </row>
    <row r="252" spans="1:16">
      <c r="A252" s="52"/>
      <c r="B252" s="52"/>
      <c r="C252" s="21" t="s">
        <v>322</v>
      </c>
      <c r="D252" s="1" t="s">
        <v>203</v>
      </c>
      <c r="J252" s="81" t="s">
        <v>323</v>
      </c>
      <c r="K252" s="3" t="s">
        <v>178</v>
      </c>
      <c r="L252" s="3"/>
      <c r="M252" s="3" t="s">
        <v>180</v>
      </c>
      <c r="N252" s="43"/>
    </row>
    <row r="253" spans="1:16">
      <c r="A253" s="52"/>
      <c r="B253" s="52"/>
      <c r="C253" s="37" t="s">
        <v>659</v>
      </c>
      <c r="D253" s="1" t="s">
        <v>203</v>
      </c>
      <c r="J253" s="81" t="s">
        <v>323</v>
      </c>
      <c r="K253" s="3" t="s">
        <v>178</v>
      </c>
      <c r="L253" s="3"/>
      <c r="M253" s="3" t="s">
        <v>180</v>
      </c>
      <c r="N253" s="43"/>
    </row>
    <row r="254" spans="1:16">
      <c r="A254" s="52"/>
      <c r="B254" s="52"/>
      <c r="C254" s="21" t="s">
        <v>324</v>
      </c>
      <c r="D254" s="1" t="s">
        <v>203</v>
      </c>
      <c r="J254" s="81" t="s">
        <v>325</v>
      </c>
      <c r="K254" s="3" t="s">
        <v>178</v>
      </c>
      <c r="L254" s="3"/>
      <c r="M254" s="3" t="s">
        <v>180</v>
      </c>
      <c r="N254" s="43"/>
    </row>
    <row r="255" spans="1:16">
      <c r="A255" s="52"/>
      <c r="B255" s="52"/>
      <c r="C255" s="37" t="s">
        <v>660</v>
      </c>
      <c r="D255" s="1" t="s">
        <v>203</v>
      </c>
      <c r="J255" s="81" t="s">
        <v>325</v>
      </c>
      <c r="K255" s="3" t="s">
        <v>178</v>
      </c>
      <c r="L255" s="3"/>
      <c r="M255" s="3" t="s">
        <v>180</v>
      </c>
      <c r="N255" s="43"/>
    </row>
    <row r="256" spans="1:16">
      <c r="A256" s="52"/>
      <c r="B256" s="52"/>
      <c r="C256" s="21" t="s">
        <v>326</v>
      </c>
      <c r="D256" s="1" t="s">
        <v>203</v>
      </c>
      <c r="J256" s="81" t="s">
        <v>327</v>
      </c>
      <c r="K256" s="3" t="s">
        <v>178</v>
      </c>
      <c r="L256" s="3"/>
      <c r="M256" s="3" t="s">
        <v>180</v>
      </c>
      <c r="N256" s="43"/>
    </row>
    <row r="257" spans="1:16">
      <c r="A257" s="52"/>
      <c r="B257" s="52"/>
      <c r="C257" s="37" t="s">
        <v>661</v>
      </c>
      <c r="D257" s="1" t="s">
        <v>203</v>
      </c>
      <c r="J257" s="81" t="s">
        <v>327</v>
      </c>
      <c r="K257" s="3" t="s">
        <v>178</v>
      </c>
      <c r="L257" s="3"/>
      <c r="M257" s="3" t="s">
        <v>180</v>
      </c>
      <c r="N257" s="43"/>
    </row>
    <row r="258" spans="1:16">
      <c r="A258" s="52"/>
      <c r="B258" s="52"/>
      <c r="C258" s="21" t="s">
        <v>328</v>
      </c>
      <c r="D258" s="1" t="s">
        <v>176</v>
      </c>
      <c r="J258" s="81" t="s">
        <v>658</v>
      </c>
      <c r="K258" s="3" t="s">
        <v>185</v>
      </c>
      <c r="L258" s="3" t="s">
        <v>179</v>
      </c>
      <c r="M258" s="3" t="s">
        <v>180</v>
      </c>
      <c r="N258" s="43" t="s">
        <v>179</v>
      </c>
      <c r="P258" s="90" t="s">
        <v>180</v>
      </c>
    </row>
    <row r="259" spans="1:16">
      <c r="A259" s="52"/>
      <c r="B259" s="52"/>
      <c r="C259" s="21" t="s">
        <v>330</v>
      </c>
      <c r="D259" s="1" t="s">
        <v>203</v>
      </c>
      <c r="J259" s="81" t="s">
        <v>323</v>
      </c>
      <c r="K259" s="3" t="s">
        <v>185</v>
      </c>
      <c r="L259" s="3"/>
      <c r="M259" s="3" t="s">
        <v>180</v>
      </c>
      <c r="N259" s="43"/>
    </row>
    <row r="260" spans="1:16">
      <c r="A260" s="52"/>
      <c r="B260" s="52"/>
      <c r="C260" s="37" t="s">
        <v>662</v>
      </c>
      <c r="D260" s="1" t="s">
        <v>203</v>
      </c>
      <c r="J260" s="81" t="s">
        <v>323</v>
      </c>
      <c r="K260" s="3" t="s">
        <v>185</v>
      </c>
      <c r="L260" s="3"/>
      <c r="M260" s="3" t="s">
        <v>180</v>
      </c>
      <c r="N260" s="43"/>
    </row>
    <row r="261" spans="1:16">
      <c r="A261" s="52"/>
      <c r="B261" s="52"/>
      <c r="C261" s="21" t="s">
        <v>332</v>
      </c>
      <c r="D261" s="1" t="s">
        <v>203</v>
      </c>
      <c r="J261" s="81" t="s">
        <v>325</v>
      </c>
      <c r="K261" s="3" t="s">
        <v>185</v>
      </c>
      <c r="L261" s="3"/>
      <c r="M261" s="3" t="s">
        <v>180</v>
      </c>
      <c r="N261" s="43"/>
    </row>
    <row r="262" spans="1:16">
      <c r="A262" s="52"/>
      <c r="B262" s="52"/>
      <c r="C262" s="37" t="s">
        <v>663</v>
      </c>
      <c r="D262" s="1" t="s">
        <v>203</v>
      </c>
      <c r="J262" s="81" t="s">
        <v>325</v>
      </c>
      <c r="K262" s="3" t="s">
        <v>185</v>
      </c>
      <c r="L262" s="3"/>
      <c r="M262" s="3" t="s">
        <v>180</v>
      </c>
      <c r="N262" s="43"/>
    </row>
    <row r="263" spans="1:16">
      <c r="A263" s="52"/>
      <c r="B263" s="52"/>
      <c r="C263" s="21" t="s">
        <v>334</v>
      </c>
      <c r="D263" s="1" t="s">
        <v>203</v>
      </c>
      <c r="J263" s="81" t="s">
        <v>327</v>
      </c>
      <c r="K263" s="3" t="s">
        <v>185</v>
      </c>
      <c r="L263" s="3"/>
      <c r="M263" s="3" t="s">
        <v>180</v>
      </c>
      <c r="N263" s="43"/>
    </row>
    <row r="264" spans="1:16">
      <c r="A264" s="52"/>
      <c r="B264" s="52"/>
      <c r="C264" s="37" t="s">
        <v>664</v>
      </c>
      <c r="D264" s="1" t="s">
        <v>203</v>
      </c>
      <c r="J264" s="81" t="s">
        <v>327</v>
      </c>
      <c r="K264" s="3" t="s">
        <v>185</v>
      </c>
      <c r="L264" s="3"/>
      <c r="M264" s="3" t="s">
        <v>180</v>
      </c>
      <c r="N264" s="43"/>
    </row>
    <row r="265" spans="1:16">
      <c r="A265" s="52"/>
      <c r="B265" s="52"/>
      <c r="C265" s="21" t="s">
        <v>335</v>
      </c>
      <c r="D265" s="1" t="s">
        <v>176</v>
      </c>
      <c r="J265" s="81" t="s">
        <v>665</v>
      </c>
      <c r="K265" s="3" t="s">
        <v>178</v>
      </c>
      <c r="L265" s="3" t="s">
        <v>179</v>
      </c>
      <c r="M265" s="3" t="s">
        <v>180</v>
      </c>
      <c r="N265" s="43" t="s">
        <v>179</v>
      </c>
      <c r="P265" s="90" t="s">
        <v>180</v>
      </c>
    </row>
    <row r="266" spans="1:16">
      <c r="A266" s="52"/>
      <c r="B266" s="52"/>
      <c r="C266" s="21" t="s">
        <v>337</v>
      </c>
      <c r="D266" s="1" t="s">
        <v>176</v>
      </c>
      <c r="J266" s="81" t="s">
        <v>666</v>
      </c>
      <c r="K266" s="3" t="s">
        <v>178</v>
      </c>
      <c r="L266" s="3" t="s">
        <v>179</v>
      </c>
      <c r="M266" s="3" t="s">
        <v>180</v>
      </c>
      <c r="N266" s="43" t="s">
        <v>179</v>
      </c>
      <c r="P266" s="90" t="s">
        <v>180</v>
      </c>
    </row>
    <row r="267" spans="1:16">
      <c r="A267" s="52"/>
      <c r="B267" s="52"/>
      <c r="C267" s="21" t="s">
        <v>339</v>
      </c>
      <c r="D267" s="1" t="s">
        <v>203</v>
      </c>
      <c r="J267" s="81" t="s">
        <v>667</v>
      </c>
      <c r="K267" s="3" t="s">
        <v>178</v>
      </c>
      <c r="L267" s="3"/>
      <c r="M267" s="3" t="s">
        <v>180</v>
      </c>
      <c r="N267" s="43"/>
      <c r="P267" s="90" t="s">
        <v>180</v>
      </c>
    </row>
    <row r="268" spans="1:16">
      <c r="A268" s="52"/>
      <c r="B268" s="52"/>
      <c r="C268" s="37" t="s">
        <v>668</v>
      </c>
      <c r="D268" s="1" t="s">
        <v>203</v>
      </c>
      <c r="J268" s="81" t="s">
        <v>667</v>
      </c>
      <c r="K268" s="3" t="s">
        <v>178</v>
      </c>
      <c r="L268" s="3"/>
      <c r="M268" s="3" t="s">
        <v>180</v>
      </c>
      <c r="N268" s="43"/>
      <c r="P268" s="90" t="s">
        <v>180</v>
      </c>
    </row>
    <row r="269" spans="1:16">
      <c r="A269" s="52"/>
      <c r="B269" s="52"/>
      <c r="C269" s="21" t="s">
        <v>341</v>
      </c>
      <c r="D269" s="1" t="s">
        <v>203</v>
      </c>
      <c r="J269" s="81" t="s">
        <v>669</v>
      </c>
      <c r="K269" s="3" t="s">
        <v>178</v>
      </c>
      <c r="L269" s="3"/>
      <c r="M269" s="3" t="s">
        <v>180</v>
      </c>
      <c r="N269" s="43"/>
      <c r="P269" s="90" t="s">
        <v>180</v>
      </c>
    </row>
    <row r="270" spans="1:16">
      <c r="A270" s="52"/>
      <c r="B270" s="52"/>
      <c r="C270" s="37" t="s">
        <v>670</v>
      </c>
      <c r="D270" s="1" t="s">
        <v>203</v>
      </c>
      <c r="J270" s="81" t="s">
        <v>669</v>
      </c>
      <c r="K270" s="3" t="s">
        <v>178</v>
      </c>
      <c r="L270" s="3"/>
      <c r="M270" s="3" t="s">
        <v>180</v>
      </c>
      <c r="N270" s="43"/>
      <c r="P270" s="90" t="s">
        <v>180</v>
      </c>
    </row>
    <row r="271" spans="1:16">
      <c r="A271" s="52"/>
      <c r="B271" s="52"/>
      <c r="C271" s="21" t="s">
        <v>343</v>
      </c>
      <c r="D271" s="1" t="s">
        <v>203</v>
      </c>
      <c r="J271" s="81" t="s">
        <v>671</v>
      </c>
      <c r="K271" s="3" t="s">
        <v>178</v>
      </c>
      <c r="L271" s="3"/>
      <c r="M271" s="3" t="s">
        <v>180</v>
      </c>
      <c r="N271" s="43"/>
      <c r="P271" s="90" t="s">
        <v>180</v>
      </c>
    </row>
    <row r="272" spans="1:16">
      <c r="A272" s="52"/>
      <c r="B272" s="52"/>
      <c r="C272" s="37" t="s">
        <v>672</v>
      </c>
      <c r="D272" s="1" t="s">
        <v>203</v>
      </c>
      <c r="J272" s="81" t="s">
        <v>671</v>
      </c>
      <c r="K272" s="3" t="s">
        <v>178</v>
      </c>
      <c r="L272" s="3"/>
      <c r="M272" s="3" t="s">
        <v>180</v>
      </c>
      <c r="N272" s="43"/>
      <c r="P272" s="90" t="s">
        <v>180</v>
      </c>
    </row>
    <row r="273" spans="1:16">
      <c r="A273" s="52"/>
      <c r="B273" s="52"/>
      <c r="C273" s="21" t="s">
        <v>345</v>
      </c>
      <c r="D273" s="1" t="s">
        <v>203</v>
      </c>
      <c r="J273" s="81" t="s">
        <v>673</v>
      </c>
      <c r="K273" s="3" t="s">
        <v>178</v>
      </c>
      <c r="L273" s="3"/>
      <c r="M273" s="3" t="s">
        <v>180</v>
      </c>
      <c r="N273" s="43"/>
      <c r="P273" s="90" t="s">
        <v>180</v>
      </c>
    </row>
    <row r="274" spans="1:16">
      <c r="A274" s="52"/>
      <c r="B274" s="52"/>
      <c r="C274" s="37" t="s">
        <v>674</v>
      </c>
      <c r="D274" s="1" t="s">
        <v>203</v>
      </c>
      <c r="J274" s="81" t="s">
        <v>673</v>
      </c>
      <c r="K274" s="3" t="s">
        <v>178</v>
      </c>
      <c r="L274" s="3"/>
      <c r="M274" s="3" t="s">
        <v>180</v>
      </c>
      <c r="N274" s="43"/>
      <c r="P274" s="90" t="s">
        <v>180</v>
      </c>
    </row>
    <row r="275" spans="1:16">
      <c r="A275" s="52"/>
      <c r="B275" s="52"/>
      <c r="C275" s="21" t="s">
        <v>357</v>
      </c>
      <c r="D275" s="1" t="s">
        <v>176</v>
      </c>
      <c r="J275" s="81" t="s">
        <v>675</v>
      </c>
      <c r="K275" s="3" t="s">
        <v>178</v>
      </c>
      <c r="L275" s="3" t="s">
        <v>179</v>
      </c>
      <c r="M275" s="3" t="s">
        <v>180</v>
      </c>
      <c r="N275" s="43" t="s">
        <v>179</v>
      </c>
      <c r="P275" s="90" t="s">
        <v>180</v>
      </c>
    </row>
    <row r="276" spans="1:16">
      <c r="A276" s="52"/>
      <c r="B276" s="52"/>
      <c r="C276" s="21" t="s">
        <v>359</v>
      </c>
      <c r="D276" s="1" t="s">
        <v>176</v>
      </c>
      <c r="J276" s="81" t="s">
        <v>676</v>
      </c>
      <c r="K276" s="3" t="s">
        <v>178</v>
      </c>
      <c r="L276" s="3" t="s">
        <v>179</v>
      </c>
      <c r="M276" s="3" t="s">
        <v>180</v>
      </c>
      <c r="N276" s="43" t="s">
        <v>179</v>
      </c>
      <c r="P276" s="90" t="s">
        <v>180</v>
      </c>
    </row>
    <row r="277" spans="1:16">
      <c r="A277" s="52"/>
      <c r="B277" s="52"/>
      <c r="C277" s="21" t="s">
        <v>361</v>
      </c>
      <c r="D277" s="1" t="s">
        <v>203</v>
      </c>
      <c r="J277" s="81" t="s">
        <v>677</v>
      </c>
      <c r="K277" s="3" t="s">
        <v>178</v>
      </c>
      <c r="L277" s="3"/>
      <c r="M277" s="3" t="s">
        <v>180</v>
      </c>
      <c r="N277" s="43"/>
      <c r="P277" s="90" t="s">
        <v>180</v>
      </c>
    </row>
    <row r="278" spans="1:16">
      <c r="A278" s="52"/>
      <c r="B278" s="52"/>
      <c r="C278" s="37" t="s">
        <v>678</v>
      </c>
      <c r="D278" s="1" t="s">
        <v>203</v>
      </c>
      <c r="J278" s="81" t="s">
        <v>677</v>
      </c>
      <c r="K278" s="3" t="s">
        <v>178</v>
      </c>
      <c r="L278" s="3"/>
      <c r="M278" s="3" t="s">
        <v>180</v>
      </c>
      <c r="N278" s="43"/>
      <c r="P278" s="90" t="s">
        <v>180</v>
      </c>
    </row>
    <row r="279" spans="1:16">
      <c r="A279" s="52"/>
      <c r="B279" s="52"/>
      <c r="C279" s="21" t="s">
        <v>363</v>
      </c>
      <c r="D279" s="1" t="s">
        <v>203</v>
      </c>
      <c r="J279" s="81" t="s">
        <v>679</v>
      </c>
      <c r="K279" s="3" t="s">
        <v>178</v>
      </c>
      <c r="L279" s="3"/>
      <c r="M279" s="3" t="s">
        <v>180</v>
      </c>
      <c r="N279" s="43"/>
      <c r="P279" s="90" t="s">
        <v>180</v>
      </c>
    </row>
    <row r="280" spans="1:16">
      <c r="A280" s="52"/>
      <c r="B280" s="52"/>
      <c r="C280" s="37" t="s">
        <v>680</v>
      </c>
      <c r="D280" s="1" t="s">
        <v>203</v>
      </c>
      <c r="J280" s="81" t="s">
        <v>679</v>
      </c>
      <c r="K280" s="3" t="s">
        <v>178</v>
      </c>
      <c r="L280" s="3"/>
      <c r="M280" s="3" t="s">
        <v>180</v>
      </c>
      <c r="N280" s="43"/>
      <c r="P280" s="90" t="s">
        <v>180</v>
      </c>
    </row>
    <row r="281" spans="1:16">
      <c r="A281" s="52"/>
      <c r="B281" s="52"/>
      <c r="C281" s="21" t="s">
        <v>365</v>
      </c>
      <c r="D281" s="1" t="s">
        <v>203</v>
      </c>
      <c r="J281" s="81" t="s">
        <v>681</v>
      </c>
      <c r="K281" s="3" t="s">
        <v>178</v>
      </c>
      <c r="L281" s="3"/>
      <c r="M281" s="3" t="s">
        <v>180</v>
      </c>
      <c r="N281" s="43"/>
      <c r="P281" s="90" t="s">
        <v>180</v>
      </c>
    </row>
    <row r="282" spans="1:16">
      <c r="A282" s="52"/>
      <c r="B282" s="52"/>
      <c r="C282" s="37" t="s">
        <v>682</v>
      </c>
      <c r="D282" s="1" t="s">
        <v>203</v>
      </c>
      <c r="J282" s="81" t="s">
        <v>681</v>
      </c>
      <c r="K282" s="3" t="s">
        <v>178</v>
      </c>
      <c r="L282" s="3"/>
      <c r="M282" s="3" t="s">
        <v>180</v>
      </c>
      <c r="N282" s="43"/>
      <c r="P282" s="90" t="s">
        <v>180</v>
      </c>
    </row>
    <row r="283" spans="1:16">
      <c r="A283" s="52"/>
      <c r="B283" s="52"/>
      <c r="C283" s="21" t="s">
        <v>367</v>
      </c>
      <c r="D283" s="1" t="s">
        <v>203</v>
      </c>
      <c r="J283" s="81" t="s">
        <v>683</v>
      </c>
      <c r="K283" s="3" t="s">
        <v>178</v>
      </c>
      <c r="L283" s="3"/>
      <c r="M283" s="3" t="s">
        <v>180</v>
      </c>
      <c r="N283" s="43"/>
      <c r="P283" s="90" t="s">
        <v>180</v>
      </c>
    </row>
    <row r="284" spans="1:16">
      <c r="A284" s="52"/>
      <c r="B284" s="52"/>
      <c r="C284" s="37" t="s">
        <v>684</v>
      </c>
      <c r="D284" s="1" t="s">
        <v>203</v>
      </c>
      <c r="J284" s="81" t="s">
        <v>683</v>
      </c>
      <c r="K284" s="3" t="s">
        <v>178</v>
      </c>
      <c r="L284" s="3"/>
      <c r="M284" s="3" t="s">
        <v>180</v>
      </c>
      <c r="N284" s="43"/>
      <c r="P284" s="90" t="s">
        <v>180</v>
      </c>
    </row>
    <row r="285" spans="1:16">
      <c r="A285" s="52"/>
      <c r="B285" s="52"/>
      <c r="C285" s="21" t="s">
        <v>369</v>
      </c>
      <c r="D285" s="1" t="s">
        <v>176</v>
      </c>
      <c r="J285" s="81" t="s">
        <v>675</v>
      </c>
      <c r="K285" s="3" t="s">
        <v>185</v>
      </c>
      <c r="L285" s="3" t="s">
        <v>179</v>
      </c>
      <c r="M285" s="3" t="s">
        <v>180</v>
      </c>
      <c r="N285" s="43" t="s">
        <v>179</v>
      </c>
      <c r="P285" s="90" t="s">
        <v>180</v>
      </c>
    </row>
    <row r="286" spans="1:16">
      <c r="A286" s="52"/>
      <c r="B286" s="52"/>
      <c r="C286" s="21" t="s">
        <v>371</v>
      </c>
      <c r="D286" s="1" t="s">
        <v>176</v>
      </c>
      <c r="J286" s="81" t="s">
        <v>681</v>
      </c>
      <c r="K286" s="3" t="s">
        <v>185</v>
      </c>
      <c r="L286" s="3" t="s">
        <v>179</v>
      </c>
      <c r="M286" s="3" t="s">
        <v>180</v>
      </c>
      <c r="N286" s="43" t="s">
        <v>179</v>
      </c>
      <c r="P286" s="90" t="s">
        <v>180</v>
      </c>
    </row>
    <row r="287" spans="1:16">
      <c r="A287" s="52"/>
      <c r="B287" s="52"/>
      <c r="C287" s="21" t="s">
        <v>372</v>
      </c>
      <c r="D287" s="1" t="s">
        <v>203</v>
      </c>
      <c r="J287" s="81" t="s">
        <v>677</v>
      </c>
      <c r="K287" s="3" t="s">
        <v>185</v>
      </c>
      <c r="L287" s="3"/>
      <c r="M287" s="3" t="s">
        <v>180</v>
      </c>
      <c r="N287" s="43"/>
      <c r="P287" s="90" t="s">
        <v>180</v>
      </c>
    </row>
    <row r="288" spans="1:16">
      <c r="A288" s="52"/>
      <c r="B288" s="52"/>
      <c r="C288" s="37" t="s">
        <v>685</v>
      </c>
      <c r="D288" s="1" t="s">
        <v>203</v>
      </c>
      <c r="J288" s="81" t="s">
        <v>677</v>
      </c>
      <c r="K288" s="3" t="s">
        <v>185</v>
      </c>
      <c r="L288" s="3"/>
      <c r="M288" s="3" t="s">
        <v>180</v>
      </c>
      <c r="N288" s="43"/>
      <c r="P288" s="90" t="s">
        <v>180</v>
      </c>
    </row>
    <row r="289" spans="1:16">
      <c r="A289" s="52"/>
      <c r="B289" s="52"/>
      <c r="C289" s="21" t="s">
        <v>374</v>
      </c>
      <c r="D289" s="1" t="s">
        <v>203</v>
      </c>
      <c r="J289" s="81" t="s">
        <v>679</v>
      </c>
      <c r="K289" s="3" t="s">
        <v>185</v>
      </c>
      <c r="L289" s="3"/>
      <c r="M289" s="3" t="s">
        <v>180</v>
      </c>
      <c r="N289" s="43"/>
      <c r="P289" s="90" t="s">
        <v>180</v>
      </c>
    </row>
    <row r="290" spans="1:16">
      <c r="A290" s="52"/>
      <c r="B290" s="52"/>
      <c r="C290" s="37" t="s">
        <v>686</v>
      </c>
      <c r="D290" s="1" t="s">
        <v>203</v>
      </c>
      <c r="J290" s="81" t="s">
        <v>679</v>
      </c>
      <c r="K290" s="3" t="s">
        <v>185</v>
      </c>
      <c r="L290" s="3"/>
      <c r="M290" s="3" t="s">
        <v>180</v>
      </c>
      <c r="N290" s="43"/>
      <c r="P290" s="90" t="s">
        <v>180</v>
      </c>
    </row>
    <row r="291" spans="1:16">
      <c r="A291" s="52"/>
      <c r="B291" s="52"/>
      <c r="C291" s="21" t="s">
        <v>376</v>
      </c>
      <c r="D291" s="1" t="s">
        <v>203</v>
      </c>
      <c r="J291" s="81" t="s">
        <v>681</v>
      </c>
      <c r="K291" s="3" t="s">
        <v>185</v>
      </c>
      <c r="L291" s="3"/>
      <c r="M291" s="3" t="s">
        <v>180</v>
      </c>
      <c r="N291" s="43"/>
      <c r="P291" s="90" t="s">
        <v>180</v>
      </c>
    </row>
    <row r="292" spans="1:16">
      <c r="A292" s="52"/>
      <c r="B292" s="52"/>
      <c r="C292" s="37" t="s">
        <v>687</v>
      </c>
      <c r="D292" s="1" t="s">
        <v>203</v>
      </c>
      <c r="J292" s="81" t="s">
        <v>681</v>
      </c>
      <c r="K292" s="3" t="s">
        <v>185</v>
      </c>
      <c r="L292" s="3"/>
      <c r="M292" s="3" t="s">
        <v>180</v>
      </c>
      <c r="N292" s="43"/>
      <c r="P292" s="90" t="s">
        <v>180</v>
      </c>
    </row>
    <row r="293" spans="1:16">
      <c r="A293" s="52"/>
      <c r="B293" s="52"/>
      <c r="C293" s="21" t="s">
        <v>688</v>
      </c>
      <c r="D293" s="1" t="s">
        <v>176</v>
      </c>
      <c r="J293" s="81" t="s">
        <v>675</v>
      </c>
      <c r="K293" s="3" t="s">
        <v>187</v>
      </c>
      <c r="L293" s="3" t="s">
        <v>179</v>
      </c>
      <c r="M293" s="3" t="s">
        <v>180</v>
      </c>
      <c r="N293" s="43" t="s">
        <v>179</v>
      </c>
      <c r="P293" s="90" t="s">
        <v>180</v>
      </c>
    </row>
    <row r="294" spans="1:16">
      <c r="A294" s="52"/>
      <c r="B294" s="52"/>
      <c r="C294" s="21" t="s">
        <v>689</v>
      </c>
      <c r="D294" s="1" t="s">
        <v>176</v>
      </c>
      <c r="J294" s="81" t="s">
        <v>681</v>
      </c>
      <c r="K294" s="3" t="s">
        <v>187</v>
      </c>
      <c r="L294" s="3" t="s">
        <v>179</v>
      </c>
      <c r="M294" s="3" t="s">
        <v>180</v>
      </c>
      <c r="N294" s="43" t="s">
        <v>179</v>
      </c>
      <c r="P294" s="90" t="s">
        <v>180</v>
      </c>
    </row>
    <row r="295" spans="1:16">
      <c r="A295" s="52"/>
      <c r="B295" s="52"/>
      <c r="C295" s="21" t="s">
        <v>379</v>
      </c>
      <c r="D295" s="1" t="s">
        <v>203</v>
      </c>
      <c r="J295" s="81" t="s">
        <v>677</v>
      </c>
      <c r="K295" s="3" t="s">
        <v>187</v>
      </c>
      <c r="L295" s="3"/>
      <c r="M295" s="3" t="s">
        <v>180</v>
      </c>
      <c r="N295" s="43"/>
      <c r="P295" s="90" t="s">
        <v>180</v>
      </c>
    </row>
    <row r="296" spans="1:16">
      <c r="A296" s="52"/>
      <c r="B296" s="52"/>
      <c r="C296" s="37" t="s">
        <v>690</v>
      </c>
      <c r="D296" s="1" t="s">
        <v>203</v>
      </c>
      <c r="J296" s="81" t="s">
        <v>677</v>
      </c>
      <c r="K296" s="3" t="s">
        <v>187</v>
      </c>
      <c r="L296" s="3"/>
      <c r="M296" s="3" t="s">
        <v>180</v>
      </c>
      <c r="N296" s="43"/>
      <c r="P296" s="90" t="s">
        <v>180</v>
      </c>
    </row>
    <row r="297" spans="1:16">
      <c r="A297" s="52"/>
      <c r="B297" s="52"/>
      <c r="C297" s="21" t="s">
        <v>380</v>
      </c>
      <c r="D297" s="1" t="s">
        <v>203</v>
      </c>
      <c r="J297" s="81" t="s">
        <v>679</v>
      </c>
      <c r="K297" s="3" t="s">
        <v>187</v>
      </c>
      <c r="L297" s="3"/>
      <c r="M297" s="3" t="s">
        <v>180</v>
      </c>
      <c r="N297" s="43"/>
      <c r="P297" s="90" t="s">
        <v>180</v>
      </c>
    </row>
    <row r="298" spans="1:16">
      <c r="A298" s="52"/>
      <c r="B298" s="52"/>
      <c r="C298" s="37" t="s">
        <v>691</v>
      </c>
      <c r="D298" s="1" t="s">
        <v>203</v>
      </c>
      <c r="J298" s="81" t="s">
        <v>679</v>
      </c>
      <c r="K298" s="3" t="s">
        <v>187</v>
      </c>
      <c r="L298" s="3"/>
      <c r="M298" s="3" t="s">
        <v>180</v>
      </c>
      <c r="N298" s="43"/>
      <c r="P298" s="90" t="s">
        <v>180</v>
      </c>
    </row>
    <row r="299" spans="1:16">
      <c r="A299" s="52"/>
      <c r="B299" s="52"/>
      <c r="C299" s="21" t="s">
        <v>381</v>
      </c>
      <c r="D299" s="1" t="s">
        <v>203</v>
      </c>
      <c r="J299" s="81" t="s">
        <v>681</v>
      </c>
      <c r="K299" s="3" t="s">
        <v>187</v>
      </c>
      <c r="L299" s="3"/>
      <c r="M299" s="3" t="s">
        <v>180</v>
      </c>
      <c r="N299" s="43"/>
      <c r="P299" s="90" t="s">
        <v>180</v>
      </c>
    </row>
    <row r="300" spans="1:16">
      <c r="A300" s="52"/>
      <c r="B300" s="52"/>
      <c r="C300" s="37" t="s">
        <v>692</v>
      </c>
      <c r="D300" s="1" t="s">
        <v>203</v>
      </c>
      <c r="J300" s="81" t="s">
        <v>681</v>
      </c>
      <c r="K300" s="3" t="s">
        <v>187</v>
      </c>
      <c r="L300" s="3"/>
      <c r="M300" s="3" t="s">
        <v>180</v>
      </c>
      <c r="N300" s="43"/>
      <c r="P300" s="90" t="s">
        <v>180</v>
      </c>
    </row>
    <row r="301" spans="1:16">
      <c r="A301" s="52"/>
      <c r="B301" s="52"/>
      <c r="C301" s="25" t="s">
        <v>693</v>
      </c>
    </row>
    <row r="302" spans="1:16">
      <c r="A302" s="52"/>
      <c r="B302" s="52"/>
      <c r="C302" s="25" t="s">
        <v>694</v>
      </c>
    </row>
    <row r="303" spans="1:16">
      <c r="A303" s="52"/>
      <c r="B303" s="52"/>
      <c r="C303" s="25" t="s">
        <v>695</v>
      </c>
    </row>
    <row r="304" spans="1:16">
      <c r="A304" s="52"/>
      <c r="B304" s="52"/>
      <c r="C304" s="25" t="s">
        <v>696</v>
      </c>
    </row>
    <row r="305" spans="1:16">
      <c r="A305" s="52"/>
      <c r="B305" s="52"/>
      <c r="C305" s="25" t="s">
        <v>697</v>
      </c>
    </row>
    <row r="306" spans="1:16">
      <c r="A306" s="52"/>
      <c r="B306" s="52"/>
      <c r="C306" s="25" t="s">
        <v>698</v>
      </c>
    </row>
    <row r="307" spans="1:16">
      <c r="A307" s="52"/>
      <c r="B307" s="51"/>
      <c r="C307" s="25" t="s">
        <v>699</v>
      </c>
    </row>
    <row r="308" spans="1:16">
      <c r="A308" s="52"/>
      <c r="B308" s="50" t="s">
        <v>700</v>
      </c>
      <c r="C308" s="25" t="s">
        <v>383</v>
      </c>
      <c r="D308" t="s">
        <v>176</v>
      </c>
      <c r="E308" s="81" t="s">
        <v>701</v>
      </c>
      <c r="F308" s="3" t="s">
        <v>178</v>
      </c>
      <c r="G308" s="3" t="s">
        <v>179</v>
      </c>
      <c r="H308" s="3" t="s">
        <v>180</v>
      </c>
      <c r="I308" s="43" t="s">
        <v>179</v>
      </c>
      <c r="P308" s="90" t="s">
        <v>180</v>
      </c>
    </row>
    <row r="309" spans="1:16">
      <c r="A309" s="52"/>
      <c r="B309" s="52"/>
      <c r="C309" s="38" t="s">
        <v>385</v>
      </c>
      <c r="D309" t="s">
        <v>386</v>
      </c>
      <c r="E309" s="81" t="s">
        <v>701</v>
      </c>
      <c r="F309" s="3" t="s">
        <v>178</v>
      </c>
      <c r="H309" s="3" t="s">
        <v>180</v>
      </c>
      <c r="P309" s="90" t="s">
        <v>180</v>
      </c>
    </row>
    <row r="310" spans="1:16">
      <c r="A310" s="52"/>
      <c r="B310" s="52"/>
      <c r="C310" s="25" t="s">
        <v>387</v>
      </c>
    </row>
    <row r="311" spans="1:16">
      <c r="A311" s="52"/>
      <c r="B311" s="52"/>
      <c r="C311" s="25" t="s">
        <v>388</v>
      </c>
    </row>
    <row r="312" spans="1:16">
      <c r="A312" s="52"/>
      <c r="B312" s="52"/>
      <c r="C312" s="25" t="s">
        <v>568</v>
      </c>
      <c r="D312" t="s">
        <v>176</v>
      </c>
      <c r="E312" s="81" t="s">
        <v>702</v>
      </c>
      <c r="F312" s="3" t="s">
        <v>178</v>
      </c>
      <c r="G312" s="3" t="s">
        <v>179</v>
      </c>
      <c r="H312" s="3" t="s">
        <v>180</v>
      </c>
      <c r="I312" s="43" t="s">
        <v>179</v>
      </c>
      <c r="P312" s="90" t="s">
        <v>180</v>
      </c>
    </row>
    <row r="313" spans="1:16">
      <c r="A313" s="52"/>
      <c r="B313" s="52"/>
      <c r="C313" s="25" t="s">
        <v>703</v>
      </c>
      <c r="D313" t="s">
        <v>203</v>
      </c>
      <c r="E313" s="81" t="s">
        <v>388</v>
      </c>
      <c r="F313" s="3" t="s">
        <v>178</v>
      </c>
      <c r="H313" s="3" t="s">
        <v>180</v>
      </c>
      <c r="P313" s="90" t="s">
        <v>180</v>
      </c>
    </row>
    <row r="314" spans="1:16">
      <c r="A314" s="52"/>
      <c r="B314" s="52"/>
      <c r="C314" s="25" t="s">
        <v>570</v>
      </c>
      <c r="D314" t="s">
        <v>203</v>
      </c>
      <c r="E314" s="81" t="s">
        <v>388</v>
      </c>
      <c r="F314" s="3" t="s">
        <v>178</v>
      </c>
      <c r="H314" s="3" t="s">
        <v>180</v>
      </c>
      <c r="P314" s="90" t="s">
        <v>180</v>
      </c>
    </row>
    <row r="315" spans="1:16">
      <c r="A315" s="52"/>
      <c r="B315" s="52"/>
      <c r="C315" s="25" t="s">
        <v>704</v>
      </c>
      <c r="D315" t="s">
        <v>203</v>
      </c>
      <c r="E315" s="81" t="s">
        <v>705</v>
      </c>
      <c r="F315" s="3" t="s">
        <v>178</v>
      </c>
      <c r="H315" s="3" t="s">
        <v>180</v>
      </c>
      <c r="P315" s="90" t="s">
        <v>180</v>
      </c>
    </row>
    <row r="316" spans="1:16">
      <c r="A316" s="52"/>
      <c r="B316" s="52"/>
      <c r="C316" s="25" t="s">
        <v>572</v>
      </c>
      <c r="D316" t="s">
        <v>203</v>
      </c>
      <c r="E316" s="81" t="s">
        <v>705</v>
      </c>
      <c r="F316" s="3" t="s">
        <v>178</v>
      </c>
      <c r="H316" s="3" t="s">
        <v>180</v>
      </c>
      <c r="P316" s="90" t="s">
        <v>180</v>
      </c>
    </row>
    <row r="317" spans="1:16">
      <c r="A317" s="52"/>
      <c r="B317" s="52"/>
      <c r="C317" s="25" t="s">
        <v>706</v>
      </c>
      <c r="D317" t="s">
        <v>203</v>
      </c>
      <c r="E317" s="81" t="s">
        <v>707</v>
      </c>
      <c r="F317" s="3" t="s">
        <v>178</v>
      </c>
      <c r="H317" s="3" t="s">
        <v>180</v>
      </c>
      <c r="P317" s="90" t="s">
        <v>180</v>
      </c>
    </row>
    <row r="318" spans="1:16">
      <c r="A318" s="52"/>
      <c r="B318" s="52"/>
      <c r="C318" s="25" t="s">
        <v>574</v>
      </c>
      <c r="D318" t="s">
        <v>203</v>
      </c>
      <c r="E318" s="81" t="s">
        <v>707</v>
      </c>
      <c r="F318" s="3" t="s">
        <v>178</v>
      </c>
      <c r="H318" s="3" t="s">
        <v>180</v>
      </c>
      <c r="P318" s="90" t="s">
        <v>180</v>
      </c>
    </row>
    <row r="319" spans="1:16">
      <c r="A319" s="52"/>
      <c r="B319" s="52"/>
      <c r="C319" s="25" t="s">
        <v>708</v>
      </c>
      <c r="D319" t="s">
        <v>203</v>
      </c>
      <c r="E319" s="81" t="s">
        <v>709</v>
      </c>
      <c r="F319" s="3" t="s">
        <v>178</v>
      </c>
      <c r="H319" s="3" t="s">
        <v>180</v>
      </c>
      <c r="P319" s="90" t="s">
        <v>180</v>
      </c>
    </row>
    <row r="320" spans="1:16">
      <c r="A320" s="52"/>
      <c r="B320" s="52"/>
      <c r="C320" s="25" t="s">
        <v>576</v>
      </c>
      <c r="D320" t="s">
        <v>203</v>
      </c>
      <c r="E320" s="81" t="s">
        <v>709</v>
      </c>
      <c r="F320" s="3" t="s">
        <v>178</v>
      </c>
      <c r="H320" s="3" t="s">
        <v>180</v>
      </c>
      <c r="P320" s="90" t="s">
        <v>180</v>
      </c>
    </row>
    <row r="321" spans="1:16">
      <c r="A321" s="52"/>
      <c r="B321" s="52"/>
      <c r="C321" s="25" t="s">
        <v>710</v>
      </c>
      <c r="D321" t="s">
        <v>203</v>
      </c>
      <c r="E321" s="81" t="s">
        <v>711</v>
      </c>
      <c r="F321" s="3" t="s">
        <v>178</v>
      </c>
      <c r="H321" s="3" t="s">
        <v>180</v>
      </c>
      <c r="P321" s="90" t="s">
        <v>180</v>
      </c>
    </row>
    <row r="322" spans="1:16">
      <c r="A322" s="52"/>
      <c r="B322" s="52"/>
      <c r="C322" s="25" t="s">
        <v>578</v>
      </c>
      <c r="D322" t="s">
        <v>203</v>
      </c>
      <c r="E322" s="81" t="s">
        <v>711</v>
      </c>
      <c r="F322" s="3" t="s">
        <v>178</v>
      </c>
      <c r="H322" s="3" t="s">
        <v>180</v>
      </c>
      <c r="P322" s="90" t="s">
        <v>180</v>
      </c>
    </row>
    <row r="323" spans="1:16">
      <c r="A323" s="52"/>
      <c r="B323" s="52"/>
      <c r="C323" s="25" t="s">
        <v>712</v>
      </c>
      <c r="D323" t="s">
        <v>203</v>
      </c>
      <c r="E323" s="81" t="s">
        <v>713</v>
      </c>
      <c r="F323" s="3" t="s">
        <v>178</v>
      </c>
      <c r="H323" s="3" t="s">
        <v>180</v>
      </c>
      <c r="P323" s="90" t="s">
        <v>180</v>
      </c>
    </row>
    <row r="324" spans="1:16">
      <c r="A324" s="52"/>
      <c r="B324" s="52"/>
      <c r="C324" s="25" t="s">
        <v>580</v>
      </c>
      <c r="D324" t="s">
        <v>203</v>
      </c>
      <c r="E324" s="81" t="s">
        <v>713</v>
      </c>
      <c r="F324" s="3" t="s">
        <v>178</v>
      </c>
      <c r="H324" s="3" t="s">
        <v>180</v>
      </c>
      <c r="P324" s="90" t="s">
        <v>180</v>
      </c>
    </row>
    <row r="325" spans="1:16">
      <c r="A325" s="52"/>
      <c r="B325" s="52"/>
      <c r="C325" s="25" t="s">
        <v>714</v>
      </c>
      <c r="D325" t="s">
        <v>203</v>
      </c>
      <c r="E325" s="81" t="s">
        <v>715</v>
      </c>
      <c r="F325" s="3" t="s">
        <v>178</v>
      </c>
      <c r="H325" s="3" t="s">
        <v>180</v>
      </c>
      <c r="P325" s="90" t="s">
        <v>180</v>
      </c>
    </row>
    <row r="326" spans="1:16">
      <c r="A326" s="52"/>
      <c r="B326" s="52"/>
      <c r="C326" s="25" t="s">
        <v>582</v>
      </c>
      <c r="D326" t="s">
        <v>203</v>
      </c>
      <c r="E326" s="81" t="s">
        <v>715</v>
      </c>
      <c r="F326" s="3" t="s">
        <v>178</v>
      </c>
      <c r="H326" s="3" t="s">
        <v>180</v>
      </c>
      <c r="P326" s="90" t="s">
        <v>180</v>
      </c>
    </row>
    <row r="327" spans="1:16">
      <c r="A327" s="52"/>
      <c r="B327" s="52"/>
      <c r="C327" s="25" t="s">
        <v>716</v>
      </c>
      <c r="D327" t="s">
        <v>203</v>
      </c>
      <c r="E327" s="81" t="s">
        <v>717</v>
      </c>
      <c r="F327" s="3" t="s">
        <v>178</v>
      </c>
      <c r="H327" s="3" t="s">
        <v>180</v>
      </c>
      <c r="P327" s="90" t="s">
        <v>180</v>
      </c>
    </row>
    <row r="328" spans="1:16">
      <c r="A328" s="52"/>
      <c r="B328" s="52"/>
      <c r="C328" s="25" t="s">
        <v>584</v>
      </c>
      <c r="D328" t="s">
        <v>203</v>
      </c>
      <c r="E328" s="81" t="s">
        <v>717</v>
      </c>
      <c r="F328" s="3" t="s">
        <v>178</v>
      </c>
      <c r="H328" s="3" t="s">
        <v>180</v>
      </c>
      <c r="P328" s="90" t="s">
        <v>180</v>
      </c>
    </row>
    <row r="329" spans="1:16">
      <c r="A329" s="52"/>
      <c r="B329" s="52"/>
      <c r="C329" s="25" t="s">
        <v>718</v>
      </c>
      <c r="D329" t="s">
        <v>203</v>
      </c>
      <c r="E329" s="81" t="s">
        <v>719</v>
      </c>
      <c r="F329" s="3" t="s">
        <v>178</v>
      </c>
      <c r="H329" s="3" t="s">
        <v>180</v>
      </c>
      <c r="P329" s="90" t="s">
        <v>180</v>
      </c>
    </row>
    <row r="330" spans="1:16">
      <c r="A330" s="52"/>
      <c r="B330" s="52"/>
      <c r="C330" s="25" t="s">
        <v>586</v>
      </c>
      <c r="D330" t="s">
        <v>203</v>
      </c>
      <c r="E330" s="81" t="s">
        <v>719</v>
      </c>
      <c r="F330" s="3" t="s">
        <v>178</v>
      </c>
      <c r="H330" s="3" t="s">
        <v>180</v>
      </c>
      <c r="P330" s="90" t="s">
        <v>180</v>
      </c>
    </row>
    <row r="331" spans="1:16">
      <c r="A331" s="52"/>
      <c r="B331" s="52"/>
      <c r="C331" s="25" t="s">
        <v>383</v>
      </c>
      <c r="D331" t="s">
        <v>176</v>
      </c>
      <c r="J331" s="81" t="s">
        <v>701</v>
      </c>
      <c r="K331" s="3" t="s">
        <v>178</v>
      </c>
      <c r="L331" s="3" t="s">
        <v>179</v>
      </c>
      <c r="M331" s="3" t="s">
        <v>180</v>
      </c>
      <c r="N331" s="43" t="s">
        <v>179</v>
      </c>
      <c r="P331" s="90" t="s">
        <v>180</v>
      </c>
    </row>
    <row r="332" spans="1:16">
      <c r="A332" s="52"/>
      <c r="B332" s="52"/>
      <c r="C332" s="38" t="s">
        <v>385</v>
      </c>
      <c r="D332" t="s">
        <v>386</v>
      </c>
      <c r="J332" s="81" t="s">
        <v>701</v>
      </c>
      <c r="K332" s="3" t="s">
        <v>178</v>
      </c>
      <c r="L332" s="3"/>
      <c r="M332" s="3" t="s">
        <v>180</v>
      </c>
      <c r="N332" s="43"/>
      <c r="P332" s="90" t="s">
        <v>180</v>
      </c>
    </row>
    <row r="333" spans="1:16">
      <c r="A333" s="52"/>
      <c r="B333" s="52"/>
      <c r="C333" s="25" t="s">
        <v>387</v>
      </c>
      <c r="J333" s="81"/>
      <c r="K333" s="3"/>
      <c r="L333" s="3"/>
      <c r="M333" s="3"/>
      <c r="N333" s="43"/>
    </row>
    <row r="334" spans="1:16">
      <c r="A334" s="52"/>
      <c r="B334" s="52"/>
      <c r="C334" s="25" t="s">
        <v>388</v>
      </c>
      <c r="J334" s="81"/>
      <c r="K334" s="3"/>
      <c r="L334" s="3"/>
      <c r="M334" s="3"/>
      <c r="N334" s="43"/>
    </row>
    <row r="335" spans="1:16">
      <c r="A335" s="52"/>
      <c r="B335" s="52"/>
      <c r="C335" s="25" t="s">
        <v>568</v>
      </c>
      <c r="D335" t="s">
        <v>176</v>
      </c>
      <c r="J335" s="81" t="s">
        <v>702</v>
      </c>
      <c r="K335" s="3" t="s">
        <v>178</v>
      </c>
      <c r="L335" s="3" t="s">
        <v>179</v>
      </c>
      <c r="M335" s="3" t="s">
        <v>180</v>
      </c>
      <c r="N335" s="43" t="s">
        <v>179</v>
      </c>
      <c r="P335" s="90" t="s">
        <v>180</v>
      </c>
    </row>
    <row r="336" spans="1:16">
      <c r="A336" s="52"/>
      <c r="B336" s="52"/>
      <c r="C336" s="25" t="s">
        <v>703</v>
      </c>
      <c r="D336" t="s">
        <v>203</v>
      </c>
      <c r="J336" s="81" t="s">
        <v>388</v>
      </c>
      <c r="K336" s="3" t="s">
        <v>178</v>
      </c>
      <c r="L336" s="3"/>
      <c r="M336" s="3" t="s">
        <v>180</v>
      </c>
      <c r="N336" s="43"/>
      <c r="P336" s="90" t="s">
        <v>180</v>
      </c>
    </row>
    <row r="337" spans="1:16">
      <c r="A337" s="52"/>
      <c r="B337" s="52"/>
      <c r="C337" s="25" t="s">
        <v>570</v>
      </c>
      <c r="D337" t="s">
        <v>203</v>
      </c>
      <c r="J337" s="81" t="s">
        <v>388</v>
      </c>
      <c r="K337" s="3" t="s">
        <v>178</v>
      </c>
      <c r="L337" s="3"/>
      <c r="M337" s="3" t="s">
        <v>180</v>
      </c>
      <c r="N337" s="43"/>
      <c r="P337" s="90" t="s">
        <v>180</v>
      </c>
    </row>
    <row r="338" spans="1:16">
      <c r="A338" s="52"/>
      <c r="B338" s="52"/>
      <c r="C338" s="25" t="s">
        <v>704</v>
      </c>
      <c r="D338" t="s">
        <v>203</v>
      </c>
      <c r="J338" s="81" t="s">
        <v>705</v>
      </c>
      <c r="K338" s="3" t="s">
        <v>178</v>
      </c>
      <c r="L338" s="3"/>
      <c r="M338" s="3" t="s">
        <v>180</v>
      </c>
      <c r="N338" s="43"/>
      <c r="P338" s="90" t="s">
        <v>180</v>
      </c>
    </row>
    <row r="339" spans="1:16">
      <c r="A339" s="52"/>
      <c r="B339" s="52"/>
      <c r="C339" s="25" t="s">
        <v>572</v>
      </c>
      <c r="D339" t="s">
        <v>203</v>
      </c>
      <c r="J339" s="81" t="s">
        <v>705</v>
      </c>
      <c r="K339" s="3" t="s">
        <v>178</v>
      </c>
      <c r="L339" s="3"/>
      <c r="M339" s="3" t="s">
        <v>180</v>
      </c>
      <c r="N339" s="43"/>
      <c r="P339" s="90" t="s">
        <v>180</v>
      </c>
    </row>
    <row r="340" spans="1:16">
      <c r="A340" s="52"/>
      <c r="B340" s="52"/>
      <c r="C340" s="25" t="s">
        <v>706</v>
      </c>
      <c r="D340" t="s">
        <v>203</v>
      </c>
      <c r="J340" s="81" t="s">
        <v>707</v>
      </c>
      <c r="K340" s="3" t="s">
        <v>178</v>
      </c>
      <c r="L340" s="3"/>
      <c r="M340" s="3" t="s">
        <v>180</v>
      </c>
      <c r="N340" s="43"/>
      <c r="P340" s="90" t="s">
        <v>180</v>
      </c>
    </row>
    <row r="341" spans="1:16">
      <c r="A341" s="52"/>
      <c r="B341" s="52"/>
      <c r="C341" s="25" t="s">
        <v>574</v>
      </c>
      <c r="D341" t="s">
        <v>203</v>
      </c>
      <c r="J341" s="81" t="s">
        <v>707</v>
      </c>
      <c r="K341" s="3" t="s">
        <v>178</v>
      </c>
      <c r="L341" s="3"/>
      <c r="M341" s="3" t="s">
        <v>180</v>
      </c>
      <c r="N341" s="43"/>
      <c r="P341" s="90" t="s">
        <v>180</v>
      </c>
    </row>
    <row r="342" spans="1:16">
      <c r="A342" s="52"/>
      <c r="B342" s="52"/>
      <c r="C342" s="25" t="s">
        <v>708</v>
      </c>
      <c r="D342" t="s">
        <v>203</v>
      </c>
      <c r="J342" s="81" t="s">
        <v>709</v>
      </c>
      <c r="K342" s="3" t="s">
        <v>178</v>
      </c>
      <c r="L342" s="3"/>
      <c r="M342" s="3" t="s">
        <v>180</v>
      </c>
      <c r="N342" s="43"/>
      <c r="P342" s="90" t="s">
        <v>180</v>
      </c>
    </row>
    <row r="343" spans="1:16">
      <c r="A343" s="52"/>
      <c r="B343" s="52"/>
      <c r="C343" s="25" t="s">
        <v>576</v>
      </c>
      <c r="D343" t="s">
        <v>203</v>
      </c>
      <c r="J343" s="81" t="s">
        <v>709</v>
      </c>
      <c r="K343" s="3" t="s">
        <v>178</v>
      </c>
      <c r="L343" s="3"/>
      <c r="M343" s="3" t="s">
        <v>180</v>
      </c>
      <c r="N343" s="43"/>
      <c r="P343" s="90" t="s">
        <v>180</v>
      </c>
    </row>
    <row r="344" spans="1:16">
      <c r="A344" s="52"/>
      <c r="B344" s="52"/>
      <c r="C344" s="25" t="s">
        <v>710</v>
      </c>
      <c r="D344" t="s">
        <v>203</v>
      </c>
      <c r="J344" s="81" t="s">
        <v>711</v>
      </c>
      <c r="K344" s="3" t="s">
        <v>178</v>
      </c>
      <c r="L344" s="3"/>
      <c r="M344" s="3" t="s">
        <v>180</v>
      </c>
      <c r="N344" s="43"/>
      <c r="P344" s="90" t="s">
        <v>180</v>
      </c>
    </row>
    <row r="345" spans="1:16">
      <c r="A345" s="52"/>
      <c r="B345" s="52"/>
      <c r="C345" s="25" t="s">
        <v>578</v>
      </c>
      <c r="D345" t="s">
        <v>203</v>
      </c>
      <c r="J345" s="81" t="s">
        <v>711</v>
      </c>
      <c r="K345" s="3" t="s">
        <v>178</v>
      </c>
      <c r="L345" s="3"/>
      <c r="M345" s="3" t="s">
        <v>180</v>
      </c>
      <c r="N345" s="43"/>
      <c r="P345" s="90" t="s">
        <v>180</v>
      </c>
    </row>
    <row r="346" spans="1:16">
      <c r="A346" s="52"/>
      <c r="B346" s="52"/>
      <c r="C346" s="25" t="s">
        <v>712</v>
      </c>
      <c r="D346" t="s">
        <v>203</v>
      </c>
      <c r="J346" s="81" t="s">
        <v>713</v>
      </c>
      <c r="K346" s="3" t="s">
        <v>178</v>
      </c>
      <c r="L346" s="3"/>
      <c r="M346" s="3" t="s">
        <v>180</v>
      </c>
      <c r="N346" s="43"/>
      <c r="P346" s="90" t="s">
        <v>180</v>
      </c>
    </row>
    <row r="347" spans="1:16">
      <c r="A347" s="52"/>
      <c r="B347" s="52"/>
      <c r="C347" s="25" t="s">
        <v>580</v>
      </c>
      <c r="D347" t="s">
        <v>203</v>
      </c>
      <c r="J347" s="81" t="s">
        <v>713</v>
      </c>
      <c r="K347" s="3" t="s">
        <v>178</v>
      </c>
      <c r="L347" s="3"/>
      <c r="M347" s="3" t="s">
        <v>180</v>
      </c>
      <c r="N347" s="43"/>
      <c r="P347" s="90" t="s">
        <v>180</v>
      </c>
    </row>
    <row r="348" spans="1:16">
      <c r="A348" s="52"/>
      <c r="B348" s="52"/>
      <c r="C348" s="25" t="s">
        <v>714</v>
      </c>
      <c r="D348" t="s">
        <v>203</v>
      </c>
      <c r="J348" s="81" t="s">
        <v>715</v>
      </c>
      <c r="K348" s="3" t="s">
        <v>178</v>
      </c>
      <c r="L348" s="3"/>
      <c r="M348" s="3" t="s">
        <v>180</v>
      </c>
      <c r="N348" s="43"/>
      <c r="P348" s="90" t="s">
        <v>180</v>
      </c>
    </row>
    <row r="349" spans="1:16">
      <c r="A349" s="52"/>
      <c r="B349" s="52"/>
      <c r="C349" s="25" t="s">
        <v>582</v>
      </c>
      <c r="D349" t="s">
        <v>203</v>
      </c>
      <c r="J349" s="81" t="s">
        <v>715</v>
      </c>
      <c r="K349" s="3" t="s">
        <v>178</v>
      </c>
      <c r="L349" s="3"/>
      <c r="M349" s="3" t="s">
        <v>180</v>
      </c>
      <c r="N349" s="43"/>
      <c r="P349" s="90" t="s">
        <v>180</v>
      </c>
    </row>
    <row r="350" spans="1:16">
      <c r="A350" s="52"/>
      <c r="B350" s="52"/>
      <c r="C350" s="25" t="s">
        <v>716</v>
      </c>
      <c r="D350" t="s">
        <v>203</v>
      </c>
      <c r="J350" s="81" t="s">
        <v>717</v>
      </c>
      <c r="K350" s="3" t="s">
        <v>178</v>
      </c>
      <c r="L350" s="3"/>
      <c r="M350" s="3" t="s">
        <v>180</v>
      </c>
      <c r="N350" s="43"/>
      <c r="P350" s="90" t="s">
        <v>180</v>
      </c>
    </row>
    <row r="351" spans="1:16">
      <c r="A351" s="52"/>
      <c r="B351" s="52"/>
      <c r="C351" s="25" t="s">
        <v>584</v>
      </c>
      <c r="D351" t="s">
        <v>203</v>
      </c>
      <c r="J351" s="81" t="s">
        <v>717</v>
      </c>
      <c r="K351" s="3" t="s">
        <v>178</v>
      </c>
      <c r="L351" s="3"/>
      <c r="M351" s="3" t="s">
        <v>180</v>
      </c>
      <c r="N351" s="43"/>
      <c r="P351" s="90" t="s">
        <v>180</v>
      </c>
    </row>
    <row r="352" spans="1:16">
      <c r="A352" s="52"/>
      <c r="B352" s="52"/>
      <c r="C352" s="25" t="s">
        <v>718</v>
      </c>
      <c r="D352" t="s">
        <v>203</v>
      </c>
      <c r="J352" s="81" t="s">
        <v>719</v>
      </c>
      <c r="K352" s="3" t="s">
        <v>178</v>
      </c>
      <c r="L352" s="3"/>
      <c r="M352" s="3" t="s">
        <v>180</v>
      </c>
      <c r="N352" s="43"/>
      <c r="P352" s="90" t="s">
        <v>180</v>
      </c>
    </row>
    <row r="353" spans="1:16">
      <c r="A353" s="52"/>
      <c r="B353" s="51"/>
      <c r="C353" s="25" t="s">
        <v>586</v>
      </c>
      <c r="D353" t="s">
        <v>203</v>
      </c>
      <c r="J353" s="81" t="s">
        <v>719</v>
      </c>
      <c r="K353" s="3" t="s">
        <v>178</v>
      </c>
      <c r="L353" s="3"/>
      <c r="M353" s="3" t="s">
        <v>180</v>
      </c>
      <c r="N353" s="43"/>
      <c r="P353" s="90" t="s">
        <v>180</v>
      </c>
    </row>
    <row r="354" spans="1:16">
      <c r="A354" s="52"/>
      <c r="B354" s="50" t="s">
        <v>720</v>
      </c>
      <c r="C354" s="25" t="s">
        <v>504</v>
      </c>
      <c r="D354" s="1" t="s">
        <v>193</v>
      </c>
      <c r="E354" s="81" t="s">
        <v>180</v>
      </c>
      <c r="F354" s="3" t="s">
        <v>187</v>
      </c>
      <c r="H354" s="3" t="s">
        <v>180</v>
      </c>
    </row>
    <row r="355" spans="1:16">
      <c r="A355" s="52"/>
      <c r="B355" s="52"/>
      <c r="C355" s="25" t="s">
        <v>505</v>
      </c>
    </row>
    <row r="356" spans="1:16">
      <c r="A356" s="52"/>
      <c r="B356" s="52"/>
      <c r="C356" s="25" t="s">
        <v>506</v>
      </c>
    </row>
    <row r="357" spans="1:16">
      <c r="A357" s="52"/>
      <c r="B357" s="52"/>
      <c r="C357" s="25" t="s">
        <v>721</v>
      </c>
    </row>
    <row r="358" spans="1:16">
      <c r="A358" s="52"/>
      <c r="B358" s="52"/>
      <c r="C358" s="38" t="s">
        <v>588</v>
      </c>
      <c r="D358" s="55" t="s">
        <v>193</v>
      </c>
      <c r="E358" s="83" t="s">
        <v>244</v>
      </c>
      <c r="F358" s="46" t="s">
        <v>187</v>
      </c>
      <c r="G358" s="46"/>
      <c r="H358" s="46" t="s">
        <v>180</v>
      </c>
    </row>
    <row r="359" spans="1:16">
      <c r="A359" s="52"/>
      <c r="B359" s="52"/>
      <c r="C359" s="38" t="s">
        <v>722</v>
      </c>
      <c r="D359" s="18"/>
      <c r="E359" s="83"/>
      <c r="F359" s="46"/>
      <c r="G359" s="46"/>
      <c r="H359" s="46"/>
    </row>
    <row r="360" spans="1:16">
      <c r="A360" s="52"/>
      <c r="B360" s="52"/>
      <c r="C360" s="38" t="s">
        <v>589</v>
      </c>
      <c r="D360" s="55" t="s">
        <v>193</v>
      </c>
      <c r="E360" s="83" t="s">
        <v>246</v>
      </c>
      <c r="F360" s="46" t="s">
        <v>187</v>
      </c>
      <c r="G360" s="46"/>
      <c r="H360" s="46" t="s">
        <v>180</v>
      </c>
    </row>
    <row r="361" spans="1:16">
      <c r="A361" s="52"/>
      <c r="B361" s="52"/>
      <c r="C361" s="38" t="s">
        <v>723</v>
      </c>
      <c r="D361" s="18"/>
      <c r="E361" s="83"/>
      <c r="F361" s="46"/>
      <c r="G361" s="46"/>
      <c r="H361" s="46"/>
    </row>
    <row r="362" spans="1:16">
      <c r="A362" s="52"/>
      <c r="B362" s="52"/>
      <c r="C362" s="25" t="s">
        <v>507</v>
      </c>
      <c r="D362" s="1" t="s">
        <v>193</v>
      </c>
      <c r="E362" s="82" t="s">
        <v>632</v>
      </c>
      <c r="F362" s="3" t="s">
        <v>187</v>
      </c>
      <c r="H362" s="3" t="s">
        <v>180</v>
      </c>
    </row>
    <row r="363" spans="1:16">
      <c r="A363" s="52"/>
      <c r="B363" s="52"/>
      <c r="C363" s="25" t="s">
        <v>724</v>
      </c>
    </row>
    <row r="364" spans="1:16">
      <c r="A364" s="52"/>
      <c r="B364" s="52"/>
      <c r="C364" s="38" t="s">
        <v>509</v>
      </c>
      <c r="D364" s="18" t="s">
        <v>176</v>
      </c>
      <c r="E364" s="83" t="s">
        <v>725</v>
      </c>
      <c r="F364" s="3" t="s">
        <v>178</v>
      </c>
      <c r="G364" s="3" t="s">
        <v>179</v>
      </c>
      <c r="H364" s="3" t="s">
        <v>180</v>
      </c>
      <c r="I364" s="43" t="s">
        <v>179</v>
      </c>
      <c r="P364" s="90" t="s">
        <v>180</v>
      </c>
    </row>
    <row r="365" spans="1:16">
      <c r="A365" s="52"/>
      <c r="B365" s="52"/>
      <c r="C365" s="25" t="s">
        <v>213</v>
      </c>
      <c r="D365" t="s">
        <v>203</v>
      </c>
      <c r="E365" s="81" t="s">
        <v>187</v>
      </c>
      <c r="F365" s="3" t="s">
        <v>178</v>
      </c>
      <c r="H365" s="3" t="s">
        <v>180</v>
      </c>
      <c r="P365" s="90" t="s">
        <v>180</v>
      </c>
    </row>
    <row r="366" spans="1:16">
      <c r="A366" s="52"/>
      <c r="B366" s="52"/>
      <c r="C366" s="25" t="s">
        <v>621</v>
      </c>
      <c r="D366" t="s">
        <v>203</v>
      </c>
      <c r="E366" s="81" t="s">
        <v>187</v>
      </c>
      <c r="F366" s="3" t="s">
        <v>178</v>
      </c>
      <c r="H366" s="3" t="s">
        <v>180</v>
      </c>
      <c r="P366" s="90" t="s">
        <v>180</v>
      </c>
    </row>
    <row r="367" spans="1:16">
      <c r="A367" s="52"/>
      <c r="B367" s="52"/>
      <c r="C367" s="25" t="s">
        <v>591</v>
      </c>
      <c r="D367" t="s">
        <v>203</v>
      </c>
      <c r="E367" s="81" t="s">
        <v>592</v>
      </c>
      <c r="F367" s="3" t="s">
        <v>178</v>
      </c>
      <c r="H367" s="3" t="s">
        <v>180</v>
      </c>
      <c r="P367" s="90" t="s">
        <v>180</v>
      </c>
    </row>
    <row r="368" spans="1:16">
      <c r="A368" s="52"/>
      <c r="B368" s="52"/>
      <c r="C368" s="25" t="s">
        <v>726</v>
      </c>
      <c r="D368" t="s">
        <v>203</v>
      </c>
      <c r="E368" s="81" t="s">
        <v>592</v>
      </c>
      <c r="F368" s="3" t="s">
        <v>178</v>
      </c>
      <c r="H368" s="3" t="s">
        <v>180</v>
      </c>
      <c r="P368" s="90" t="s">
        <v>180</v>
      </c>
    </row>
    <row r="369" spans="1:16">
      <c r="A369" s="52"/>
      <c r="B369" s="52"/>
      <c r="C369" s="25" t="s">
        <v>593</v>
      </c>
      <c r="D369" t="s">
        <v>203</v>
      </c>
      <c r="E369" s="81" t="s">
        <v>594</v>
      </c>
      <c r="F369" s="3" t="s">
        <v>178</v>
      </c>
      <c r="H369" s="3" t="s">
        <v>180</v>
      </c>
      <c r="P369" s="90" t="s">
        <v>180</v>
      </c>
    </row>
    <row r="370" spans="1:16">
      <c r="A370" s="52"/>
      <c r="B370" s="52"/>
      <c r="C370" s="25" t="s">
        <v>727</v>
      </c>
      <c r="D370" t="s">
        <v>203</v>
      </c>
      <c r="E370" s="81" t="s">
        <v>594</v>
      </c>
      <c r="F370" s="3" t="s">
        <v>178</v>
      </c>
      <c r="H370" s="3" t="s">
        <v>180</v>
      </c>
      <c r="P370" s="90" t="s">
        <v>180</v>
      </c>
    </row>
    <row r="371" spans="1:16">
      <c r="A371" s="52"/>
      <c r="B371" s="52"/>
      <c r="C371" s="25" t="s">
        <v>511</v>
      </c>
      <c r="D371" t="s">
        <v>203</v>
      </c>
      <c r="E371" s="81" t="s">
        <v>728</v>
      </c>
      <c r="F371" s="3" t="s">
        <v>178</v>
      </c>
      <c r="H371" s="3" t="s">
        <v>180</v>
      </c>
      <c r="P371" s="90" t="s">
        <v>180</v>
      </c>
    </row>
    <row r="372" spans="1:16">
      <c r="A372" s="52"/>
      <c r="B372" s="52"/>
      <c r="C372" s="25" t="s">
        <v>729</v>
      </c>
      <c r="D372" t="s">
        <v>203</v>
      </c>
      <c r="E372" s="81" t="s">
        <v>728</v>
      </c>
      <c r="F372" s="3" t="s">
        <v>178</v>
      </c>
      <c r="H372" s="3" t="s">
        <v>180</v>
      </c>
      <c r="P372" s="90" t="s">
        <v>180</v>
      </c>
    </row>
    <row r="373" spans="1:16">
      <c r="A373" s="52"/>
      <c r="B373" s="52"/>
      <c r="C373" s="38" t="s">
        <v>513</v>
      </c>
      <c r="D373" s="18" t="s">
        <v>176</v>
      </c>
      <c r="E373" s="83" t="s">
        <v>725</v>
      </c>
      <c r="F373" s="3" t="s">
        <v>187</v>
      </c>
      <c r="G373" s="3" t="s">
        <v>179</v>
      </c>
      <c r="H373" s="3" t="s">
        <v>180</v>
      </c>
      <c r="I373" s="43" t="s">
        <v>179</v>
      </c>
      <c r="P373" s="90" t="s">
        <v>180</v>
      </c>
    </row>
    <row r="374" spans="1:16">
      <c r="A374" s="52"/>
      <c r="B374" s="52"/>
      <c r="C374" s="25" t="s">
        <v>515</v>
      </c>
      <c r="D374" t="s">
        <v>203</v>
      </c>
      <c r="E374" s="81" t="s">
        <v>187</v>
      </c>
      <c r="F374" s="3" t="s">
        <v>187</v>
      </c>
      <c r="H374" s="3" t="s">
        <v>180</v>
      </c>
      <c r="P374" s="90" t="s">
        <v>180</v>
      </c>
    </row>
    <row r="375" spans="1:16">
      <c r="A375" s="52"/>
      <c r="B375" s="52"/>
      <c r="C375" s="25" t="s">
        <v>730</v>
      </c>
      <c r="D375" t="s">
        <v>203</v>
      </c>
      <c r="E375" s="81" t="s">
        <v>187</v>
      </c>
      <c r="F375" s="3" t="s">
        <v>187</v>
      </c>
      <c r="H375" s="3" t="s">
        <v>180</v>
      </c>
      <c r="P375" s="90" t="s">
        <v>180</v>
      </c>
    </row>
    <row r="376" spans="1:16">
      <c r="A376" s="52"/>
      <c r="B376" s="52"/>
      <c r="C376" s="25" t="s">
        <v>596</v>
      </c>
      <c r="D376" t="s">
        <v>203</v>
      </c>
      <c r="E376" s="81" t="s">
        <v>592</v>
      </c>
      <c r="F376" s="3" t="s">
        <v>187</v>
      </c>
      <c r="H376" s="3" t="s">
        <v>180</v>
      </c>
      <c r="P376" s="90" t="s">
        <v>180</v>
      </c>
    </row>
    <row r="377" spans="1:16">
      <c r="A377" s="52"/>
      <c r="B377" s="52"/>
      <c r="C377" s="25" t="s">
        <v>731</v>
      </c>
      <c r="D377" t="s">
        <v>203</v>
      </c>
      <c r="E377" s="81" t="s">
        <v>592</v>
      </c>
      <c r="F377" s="3" t="s">
        <v>187</v>
      </c>
      <c r="H377" s="3" t="s">
        <v>180</v>
      </c>
      <c r="P377" s="90" t="s">
        <v>180</v>
      </c>
    </row>
    <row r="378" spans="1:16">
      <c r="A378" s="52"/>
      <c r="B378" s="52"/>
      <c r="C378" s="25" t="s">
        <v>597</v>
      </c>
      <c r="D378" t="s">
        <v>203</v>
      </c>
      <c r="E378" s="81" t="s">
        <v>594</v>
      </c>
      <c r="F378" s="3" t="s">
        <v>187</v>
      </c>
      <c r="H378" s="3" t="s">
        <v>180</v>
      </c>
      <c r="P378" s="90" t="s">
        <v>180</v>
      </c>
    </row>
    <row r="379" spans="1:16">
      <c r="A379" s="52"/>
      <c r="B379" s="52"/>
      <c r="C379" s="25" t="s">
        <v>732</v>
      </c>
      <c r="D379" t="s">
        <v>203</v>
      </c>
      <c r="E379" s="81" t="s">
        <v>594</v>
      </c>
      <c r="F379" s="3" t="s">
        <v>187</v>
      </c>
      <c r="H379" s="3" t="s">
        <v>180</v>
      </c>
      <c r="P379" s="90" t="s">
        <v>180</v>
      </c>
    </row>
    <row r="380" spans="1:16">
      <c r="A380" s="52"/>
      <c r="B380" s="52"/>
      <c r="C380" s="25" t="s">
        <v>516</v>
      </c>
      <c r="D380" t="s">
        <v>203</v>
      </c>
      <c r="E380" s="81" t="s">
        <v>728</v>
      </c>
      <c r="F380" s="3" t="s">
        <v>187</v>
      </c>
      <c r="H380" s="3" t="s">
        <v>180</v>
      </c>
      <c r="P380" s="90" t="s">
        <v>180</v>
      </c>
    </row>
    <row r="381" spans="1:16">
      <c r="A381" s="52"/>
      <c r="B381" s="52"/>
      <c r="C381" s="25" t="s">
        <v>733</v>
      </c>
      <c r="D381" t="s">
        <v>203</v>
      </c>
      <c r="E381" s="81" t="s">
        <v>728</v>
      </c>
      <c r="F381" s="3" t="s">
        <v>187</v>
      </c>
      <c r="H381" s="3" t="s">
        <v>180</v>
      </c>
      <c r="P381" s="90" t="s">
        <v>180</v>
      </c>
    </row>
    <row r="382" spans="1:16">
      <c r="A382" s="52"/>
      <c r="B382" s="52"/>
      <c r="C382" s="38" t="s">
        <v>517</v>
      </c>
      <c r="D382" s="18" t="s">
        <v>176</v>
      </c>
      <c r="E382" s="83" t="s">
        <v>251</v>
      </c>
      <c r="F382" s="3" t="s">
        <v>187</v>
      </c>
      <c r="G382" s="3" t="s">
        <v>179</v>
      </c>
      <c r="H382" s="3" t="s">
        <v>180</v>
      </c>
      <c r="I382" s="43" t="s">
        <v>179</v>
      </c>
      <c r="P382" s="90" t="s">
        <v>180</v>
      </c>
    </row>
    <row r="383" spans="1:16">
      <c r="A383" s="52"/>
      <c r="B383" s="52"/>
      <c r="C383" s="25" t="s">
        <v>519</v>
      </c>
      <c r="D383" t="s">
        <v>203</v>
      </c>
      <c r="E383" s="81" t="s">
        <v>185</v>
      </c>
      <c r="F383" s="3" t="s">
        <v>187</v>
      </c>
      <c r="H383" s="3" t="s">
        <v>180</v>
      </c>
      <c r="P383" s="90" t="s">
        <v>180</v>
      </c>
    </row>
    <row r="384" spans="1:16">
      <c r="A384" s="52"/>
      <c r="B384" s="52"/>
      <c r="C384" s="25" t="s">
        <v>734</v>
      </c>
      <c r="D384" t="s">
        <v>203</v>
      </c>
      <c r="E384" s="81" t="s">
        <v>185</v>
      </c>
      <c r="F384" s="3" t="s">
        <v>187</v>
      </c>
      <c r="H384" s="3" t="s">
        <v>180</v>
      </c>
      <c r="P384" s="90" t="s">
        <v>180</v>
      </c>
    </row>
    <row r="385" spans="1:16">
      <c r="A385" s="52"/>
      <c r="B385" s="52"/>
      <c r="C385" s="25" t="s">
        <v>599</v>
      </c>
      <c r="D385" t="s">
        <v>203</v>
      </c>
      <c r="E385" s="81" t="s">
        <v>254</v>
      </c>
      <c r="F385" s="3" t="s">
        <v>187</v>
      </c>
      <c r="H385" s="3" t="s">
        <v>180</v>
      </c>
      <c r="P385" s="90" t="s">
        <v>180</v>
      </c>
    </row>
    <row r="386" spans="1:16">
      <c r="A386" s="52"/>
      <c r="B386" s="52"/>
      <c r="C386" s="25" t="s">
        <v>735</v>
      </c>
      <c r="D386" t="s">
        <v>203</v>
      </c>
      <c r="E386" s="81" t="s">
        <v>254</v>
      </c>
      <c r="F386" s="3" t="s">
        <v>187</v>
      </c>
      <c r="H386" s="3" t="s">
        <v>180</v>
      </c>
      <c r="P386" s="90" t="s">
        <v>180</v>
      </c>
    </row>
    <row r="387" spans="1:16">
      <c r="A387" s="52"/>
      <c r="B387" s="52"/>
      <c r="C387" s="25" t="s">
        <v>600</v>
      </c>
      <c r="D387" t="s">
        <v>203</v>
      </c>
      <c r="E387" s="81" t="s">
        <v>256</v>
      </c>
      <c r="F387" s="3" t="s">
        <v>187</v>
      </c>
      <c r="H387" s="3" t="s">
        <v>180</v>
      </c>
      <c r="P387" s="90" t="s">
        <v>180</v>
      </c>
    </row>
    <row r="388" spans="1:16">
      <c r="A388" s="52"/>
      <c r="B388" s="52"/>
      <c r="C388" s="25" t="s">
        <v>736</v>
      </c>
      <c r="D388" t="s">
        <v>203</v>
      </c>
      <c r="E388" s="81" t="s">
        <v>256</v>
      </c>
      <c r="F388" s="3" t="s">
        <v>187</v>
      </c>
      <c r="H388" s="3" t="s">
        <v>180</v>
      </c>
      <c r="P388" s="90" t="s">
        <v>180</v>
      </c>
    </row>
    <row r="389" spans="1:16">
      <c r="A389" s="52"/>
      <c r="B389" s="52"/>
      <c r="C389" s="25" t="s">
        <v>520</v>
      </c>
      <c r="D389" t="s">
        <v>203</v>
      </c>
      <c r="E389" s="81" t="s">
        <v>258</v>
      </c>
      <c r="F389" s="3" t="s">
        <v>187</v>
      </c>
      <c r="H389" s="3" t="s">
        <v>180</v>
      </c>
      <c r="P389" s="90" t="s">
        <v>180</v>
      </c>
    </row>
    <row r="390" spans="1:16">
      <c r="A390" s="52"/>
      <c r="B390" s="52"/>
      <c r="C390" s="25" t="s">
        <v>737</v>
      </c>
      <c r="D390" t="s">
        <v>203</v>
      </c>
      <c r="E390" s="81" t="s">
        <v>258</v>
      </c>
      <c r="F390" s="3" t="s">
        <v>187</v>
      </c>
      <c r="H390" s="3" t="s">
        <v>180</v>
      </c>
      <c r="P390" s="90" t="s">
        <v>180</v>
      </c>
    </row>
    <row r="391" spans="1:16">
      <c r="A391" s="52"/>
      <c r="B391" s="52"/>
      <c r="C391" s="38" t="s">
        <v>521</v>
      </c>
      <c r="D391" s="18" t="s">
        <v>176</v>
      </c>
      <c r="E391" s="83" t="s">
        <v>725</v>
      </c>
      <c r="F391" s="3" t="s">
        <v>185</v>
      </c>
      <c r="G391" s="3" t="s">
        <v>179</v>
      </c>
      <c r="H391" s="3" t="s">
        <v>180</v>
      </c>
      <c r="I391" s="43" t="s">
        <v>179</v>
      </c>
      <c r="P391" s="90" t="s">
        <v>180</v>
      </c>
    </row>
    <row r="392" spans="1:16">
      <c r="A392" s="52"/>
      <c r="B392" s="52"/>
      <c r="C392" s="25" t="s">
        <v>522</v>
      </c>
      <c r="D392" t="s">
        <v>203</v>
      </c>
      <c r="E392" s="81" t="s">
        <v>187</v>
      </c>
      <c r="F392" s="3" t="s">
        <v>185</v>
      </c>
      <c r="H392" s="3" t="s">
        <v>180</v>
      </c>
      <c r="P392" s="90" t="s">
        <v>180</v>
      </c>
    </row>
    <row r="393" spans="1:16">
      <c r="A393" s="52"/>
      <c r="B393" s="52"/>
      <c r="C393" s="25" t="s">
        <v>738</v>
      </c>
      <c r="D393" t="s">
        <v>203</v>
      </c>
      <c r="E393" s="81" t="s">
        <v>187</v>
      </c>
      <c r="F393" s="3" t="s">
        <v>185</v>
      </c>
      <c r="H393" s="3" t="s">
        <v>180</v>
      </c>
      <c r="P393" s="90" t="s">
        <v>180</v>
      </c>
    </row>
    <row r="394" spans="1:16">
      <c r="A394" s="52"/>
      <c r="B394" s="52"/>
      <c r="C394" s="25" t="s">
        <v>601</v>
      </c>
      <c r="D394" t="s">
        <v>203</v>
      </c>
      <c r="E394" s="81" t="s">
        <v>592</v>
      </c>
      <c r="F394" s="3" t="s">
        <v>185</v>
      </c>
      <c r="H394" s="3" t="s">
        <v>180</v>
      </c>
      <c r="P394" s="90" t="s">
        <v>180</v>
      </c>
    </row>
    <row r="395" spans="1:16">
      <c r="A395" s="52"/>
      <c r="B395" s="52"/>
      <c r="C395" s="25" t="s">
        <v>739</v>
      </c>
      <c r="D395" t="s">
        <v>203</v>
      </c>
      <c r="E395" s="81" t="s">
        <v>592</v>
      </c>
      <c r="F395" s="3" t="s">
        <v>185</v>
      </c>
      <c r="H395" s="3" t="s">
        <v>180</v>
      </c>
      <c r="P395" s="90" t="s">
        <v>180</v>
      </c>
    </row>
    <row r="396" spans="1:16">
      <c r="A396" s="52"/>
      <c r="B396" s="52"/>
      <c r="C396" s="25" t="s">
        <v>602</v>
      </c>
      <c r="D396" t="s">
        <v>203</v>
      </c>
      <c r="E396" s="81" t="s">
        <v>594</v>
      </c>
      <c r="F396" s="3" t="s">
        <v>185</v>
      </c>
      <c r="H396" s="3" t="s">
        <v>180</v>
      </c>
      <c r="P396" s="90" t="s">
        <v>180</v>
      </c>
    </row>
    <row r="397" spans="1:16">
      <c r="A397" s="52"/>
      <c r="B397" s="52"/>
      <c r="C397" s="25" t="s">
        <v>740</v>
      </c>
      <c r="D397" t="s">
        <v>203</v>
      </c>
      <c r="E397" s="81" t="s">
        <v>594</v>
      </c>
      <c r="F397" s="3" t="s">
        <v>185</v>
      </c>
      <c r="H397" s="3" t="s">
        <v>180</v>
      </c>
      <c r="P397" s="90" t="s">
        <v>180</v>
      </c>
    </row>
    <row r="398" spans="1:16">
      <c r="A398" s="52"/>
      <c r="B398" s="52"/>
      <c r="C398" s="25" t="s">
        <v>523</v>
      </c>
      <c r="D398" t="s">
        <v>203</v>
      </c>
      <c r="E398" s="81" t="s">
        <v>728</v>
      </c>
      <c r="F398" s="3" t="s">
        <v>185</v>
      </c>
      <c r="H398" s="3" t="s">
        <v>180</v>
      </c>
      <c r="P398" s="90" t="s">
        <v>180</v>
      </c>
    </row>
    <row r="399" spans="1:16">
      <c r="A399" s="52"/>
      <c r="B399" s="52"/>
      <c r="C399" s="25" t="s">
        <v>741</v>
      </c>
      <c r="D399" t="s">
        <v>203</v>
      </c>
      <c r="E399" s="81" t="s">
        <v>728</v>
      </c>
      <c r="F399" s="3" t="s">
        <v>185</v>
      </c>
      <c r="H399" s="3" t="s">
        <v>180</v>
      </c>
      <c r="P399" s="90" t="s">
        <v>180</v>
      </c>
    </row>
    <row r="400" spans="1:16">
      <c r="A400" s="52"/>
      <c r="B400" s="52"/>
      <c r="C400" s="25" t="s">
        <v>524</v>
      </c>
    </row>
    <row r="401" spans="1:16">
      <c r="A401" s="52"/>
      <c r="B401" s="52"/>
      <c r="C401" s="25" t="s">
        <v>742</v>
      </c>
    </row>
    <row r="402" spans="1:16">
      <c r="A402" s="52"/>
      <c r="B402" s="52"/>
      <c r="C402" s="25" t="s">
        <v>603</v>
      </c>
    </row>
    <row r="403" spans="1:16">
      <c r="A403" s="52"/>
      <c r="B403" s="52"/>
      <c r="C403" s="25" t="s">
        <v>743</v>
      </c>
    </row>
    <row r="404" spans="1:16">
      <c r="A404" s="52"/>
      <c r="B404" s="52"/>
      <c r="C404" s="25" t="s">
        <v>604</v>
      </c>
    </row>
    <row r="405" spans="1:16">
      <c r="A405" s="52"/>
      <c r="B405" s="52"/>
      <c r="C405" s="25" t="s">
        <v>744</v>
      </c>
    </row>
    <row r="406" spans="1:16">
      <c r="A406" s="52"/>
      <c r="B406" s="52"/>
      <c r="C406" s="25" t="s">
        <v>525</v>
      </c>
    </row>
    <row r="407" spans="1:16">
      <c r="A407" s="52"/>
      <c r="B407" s="52"/>
      <c r="C407" s="25" t="s">
        <v>745</v>
      </c>
    </row>
    <row r="408" spans="1:16">
      <c r="A408" s="52"/>
      <c r="B408" s="52"/>
      <c r="C408" s="25" t="s">
        <v>560</v>
      </c>
      <c r="D408" t="s">
        <v>176</v>
      </c>
      <c r="E408" s="81" t="s">
        <v>746</v>
      </c>
      <c r="F408" s="3" t="s">
        <v>187</v>
      </c>
      <c r="G408" s="3" t="s">
        <v>179</v>
      </c>
      <c r="H408" s="3" t="s">
        <v>180</v>
      </c>
      <c r="I408" s="43" t="s">
        <v>179</v>
      </c>
      <c r="P408" s="90" t="s">
        <v>180</v>
      </c>
    </row>
    <row r="409" spans="1:16">
      <c r="A409" s="52"/>
      <c r="B409" s="52"/>
      <c r="C409" s="25" t="s">
        <v>527</v>
      </c>
      <c r="D409" t="s">
        <v>286</v>
      </c>
      <c r="E409" s="81" t="s">
        <v>746</v>
      </c>
      <c r="F409" s="3" t="s">
        <v>187</v>
      </c>
      <c r="H409" s="3" t="s">
        <v>180</v>
      </c>
      <c r="P409" s="90" t="s">
        <v>180</v>
      </c>
    </row>
    <row r="410" spans="1:16">
      <c r="A410" s="52"/>
      <c r="B410" s="52"/>
      <c r="C410" s="38" t="s">
        <v>526</v>
      </c>
      <c r="D410" s="18" t="s">
        <v>176</v>
      </c>
      <c r="E410" s="83" t="s">
        <v>217</v>
      </c>
      <c r="F410" s="3" t="s">
        <v>187</v>
      </c>
      <c r="G410" s="3" t="s">
        <v>179</v>
      </c>
      <c r="H410" s="3" t="s">
        <v>180</v>
      </c>
      <c r="I410" s="43" t="s">
        <v>179</v>
      </c>
      <c r="P410" s="90" t="s">
        <v>180</v>
      </c>
    </row>
    <row r="411" spans="1:16">
      <c r="A411" s="52"/>
      <c r="B411" s="52"/>
      <c r="C411" s="38" t="s">
        <v>528</v>
      </c>
      <c r="D411" s="18" t="s">
        <v>286</v>
      </c>
      <c r="E411" s="83" t="s">
        <v>217</v>
      </c>
      <c r="F411" s="3" t="s">
        <v>187</v>
      </c>
      <c r="H411" s="3" t="s">
        <v>180</v>
      </c>
      <c r="P411" s="90" t="s">
        <v>180</v>
      </c>
    </row>
    <row r="412" spans="1:16">
      <c r="A412" s="52"/>
      <c r="B412" s="52"/>
      <c r="C412" s="38" t="s">
        <v>747</v>
      </c>
      <c r="D412" s="18" t="s">
        <v>286</v>
      </c>
      <c r="E412" s="83" t="s">
        <v>217</v>
      </c>
      <c r="F412" s="3" t="s">
        <v>187</v>
      </c>
      <c r="H412" s="3" t="s">
        <v>180</v>
      </c>
      <c r="P412" s="90" t="s">
        <v>180</v>
      </c>
    </row>
    <row r="413" spans="1:16">
      <c r="A413" s="52"/>
      <c r="B413" s="52"/>
      <c r="C413" s="38" t="s">
        <v>529</v>
      </c>
      <c r="D413" s="18" t="s">
        <v>286</v>
      </c>
      <c r="E413" s="83" t="s">
        <v>217</v>
      </c>
      <c r="F413" s="3" t="s">
        <v>187</v>
      </c>
      <c r="H413" s="3" t="s">
        <v>180</v>
      </c>
      <c r="P413" s="90" t="s">
        <v>180</v>
      </c>
    </row>
    <row r="414" spans="1:16">
      <c r="A414" s="52"/>
      <c r="B414" s="52"/>
      <c r="C414" s="38" t="s">
        <v>748</v>
      </c>
      <c r="D414" s="18" t="s">
        <v>286</v>
      </c>
      <c r="E414" s="83" t="s">
        <v>217</v>
      </c>
      <c r="F414" s="3" t="s">
        <v>187</v>
      </c>
      <c r="H414" s="3" t="s">
        <v>180</v>
      </c>
      <c r="P414" s="90" t="s">
        <v>180</v>
      </c>
    </row>
    <row r="415" spans="1:16">
      <c r="A415" s="52"/>
      <c r="B415" s="52"/>
      <c r="C415" s="25" t="s">
        <v>530</v>
      </c>
    </row>
    <row r="416" spans="1:16">
      <c r="A416" s="52"/>
      <c r="B416" s="52"/>
      <c r="C416" s="38" t="s">
        <v>531</v>
      </c>
      <c r="D416" s="18"/>
      <c r="E416" s="83"/>
    </row>
    <row r="417" spans="1:16">
      <c r="A417" s="52"/>
      <c r="B417" s="52"/>
      <c r="C417" s="38" t="s">
        <v>532</v>
      </c>
      <c r="D417" s="18"/>
      <c r="E417" s="83"/>
    </row>
    <row r="418" spans="1:16">
      <c r="A418" s="52"/>
      <c r="B418" s="52"/>
      <c r="C418" s="38" t="s">
        <v>533</v>
      </c>
      <c r="D418" s="18" t="s">
        <v>176</v>
      </c>
      <c r="E418" s="83" t="s">
        <v>749</v>
      </c>
      <c r="F418" s="3" t="s">
        <v>187</v>
      </c>
      <c r="G418" s="3" t="s">
        <v>179</v>
      </c>
      <c r="H418" s="3" t="s">
        <v>180</v>
      </c>
      <c r="I418" s="43" t="s">
        <v>179</v>
      </c>
      <c r="P418" s="90" t="s">
        <v>180</v>
      </c>
    </row>
    <row r="419" spans="1:16">
      <c r="A419" s="52"/>
      <c r="B419" s="52"/>
      <c r="C419" s="38" t="s">
        <v>535</v>
      </c>
      <c r="D419" s="18" t="s">
        <v>176</v>
      </c>
      <c r="E419" s="83" t="s">
        <v>750</v>
      </c>
      <c r="F419" s="3" t="s">
        <v>187</v>
      </c>
      <c r="G419" s="3" t="s">
        <v>179</v>
      </c>
      <c r="H419" s="3" t="s">
        <v>180</v>
      </c>
      <c r="I419" s="43" t="s">
        <v>179</v>
      </c>
      <c r="P419" s="90" t="s">
        <v>180</v>
      </c>
    </row>
    <row r="420" spans="1:16">
      <c r="A420" s="52"/>
      <c r="B420" s="52"/>
      <c r="C420" s="38" t="s">
        <v>537</v>
      </c>
      <c r="D420" s="18" t="s">
        <v>203</v>
      </c>
      <c r="E420" s="83" t="s">
        <v>751</v>
      </c>
      <c r="F420" s="3" t="s">
        <v>187</v>
      </c>
      <c r="H420" s="3" t="s">
        <v>180</v>
      </c>
      <c r="P420" s="90" t="s">
        <v>180</v>
      </c>
    </row>
    <row r="421" spans="1:16">
      <c r="A421" s="52"/>
      <c r="B421" s="52"/>
      <c r="C421" s="38" t="s">
        <v>752</v>
      </c>
      <c r="D421" s="18" t="s">
        <v>203</v>
      </c>
      <c r="E421" s="83" t="s">
        <v>751</v>
      </c>
      <c r="F421" s="3" t="s">
        <v>187</v>
      </c>
      <c r="H421" s="3" t="s">
        <v>180</v>
      </c>
      <c r="P421" s="90" t="s">
        <v>180</v>
      </c>
    </row>
    <row r="422" spans="1:16">
      <c r="A422" s="52"/>
      <c r="B422" s="52"/>
      <c r="C422" s="38" t="s">
        <v>539</v>
      </c>
      <c r="D422" s="18" t="s">
        <v>203</v>
      </c>
      <c r="E422" s="83" t="s">
        <v>753</v>
      </c>
      <c r="F422" s="3" t="s">
        <v>187</v>
      </c>
      <c r="H422" s="3" t="s">
        <v>180</v>
      </c>
      <c r="P422" s="90" t="s">
        <v>180</v>
      </c>
    </row>
    <row r="423" spans="1:16">
      <c r="A423" s="52"/>
      <c r="B423" s="52"/>
      <c r="C423" s="38" t="s">
        <v>754</v>
      </c>
      <c r="D423" s="18" t="s">
        <v>203</v>
      </c>
      <c r="E423" s="83" t="s">
        <v>753</v>
      </c>
      <c r="F423" s="3" t="s">
        <v>187</v>
      </c>
      <c r="H423" s="3" t="s">
        <v>180</v>
      </c>
      <c r="P423" s="90" t="s">
        <v>180</v>
      </c>
    </row>
    <row r="424" spans="1:16">
      <c r="A424" s="52"/>
      <c r="B424" s="52"/>
      <c r="C424" s="38" t="s">
        <v>541</v>
      </c>
      <c r="D424" s="18" t="s">
        <v>203</v>
      </c>
      <c r="E424" s="83" t="s">
        <v>755</v>
      </c>
      <c r="F424" s="3" t="s">
        <v>187</v>
      </c>
      <c r="H424" s="3" t="s">
        <v>180</v>
      </c>
      <c r="P424" s="90" t="s">
        <v>180</v>
      </c>
    </row>
    <row r="425" spans="1:16">
      <c r="A425" s="52"/>
      <c r="B425" s="52"/>
      <c r="C425" s="38" t="s">
        <v>756</v>
      </c>
      <c r="D425" s="18" t="s">
        <v>203</v>
      </c>
      <c r="E425" s="83" t="s">
        <v>755</v>
      </c>
      <c r="F425" s="3" t="s">
        <v>187</v>
      </c>
      <c r="H425" s="3" t="s">
        <v>180</v>
      </c>
      <c r="P425" s="90" t="s">
        <v>180</v>
      </c>
    </row>
    <row r="426" spans="1:16">
      <c r="A426" s="52"/>
      <c r="B426" s="52"/>
      <c r="C426" s="38" t="s">
        <v>543</v>
      </c>
      <c r="D426" s="18" t="s">
        <v>203</v>
      </c>
      <c r="E426" s="83" t="s">
        <v>757</v>
      </c>
      <c r="F426" s="3" t="s">
        <v>187</v>
      </c>
      <c r="H426" s="3" t="s">
        <v>180</v>
      </c>
      <c r="P426" s="90" t="s">
        <v>180</v>
      </c>
    </row>
    <row r="427" spans="1:16">
      <c r="A427" s="52"/>
      <c r="B427" s="52"/>
      <c r="C427" s="38" t="s">
        <v>758</v>
      </c>
      <c r="D427" s="18" t="s">
        <v>203</v>
      </c>
      <c r="E427" s="83" t="s">
        <v>757</v>
      </c>
      <c r="F427" s="3" t="s">
        <v>187</v>
      </c>
      <c r="H427" s="3" t="s">
        <v>180</v>
      </c>
      <c r="P427" s="90" t="s">
        <v>180</v>
      </c>
    </row>
    <row r="428" spans="1:16">
      <c r="A428" s="52"/>
      <c r="B428" s="52"/>
      <c r="C428" s="38" t="s">
        <v>545</v>
      </c>
      <c r="D428" s="18" t="s">
        <v>219</v>
      </c>
      <c r="E428" s="83" t="s">
        <v>217</v>
      </c>
      <c r="F428" s="3" t="s">
        <v>187</v>
      </c>
      <c r="H428" s="3" t="s">
        <v>180</v>
      </c>
      <c r="P428" s="90" t="s">
        <v>180</v>
      </c>
    </row>
    <row r="429" spans="1:16">
      <c r="A429" s="52"/>
      <c r="B429" s="52"/>
      <c r="C429" s="38" t="s">
        <v>546</v>
      </c>
      <c r="D429" s="18"/>
      <c r="E429" s="83"/>
    </row>
    <row r="430" spans="1:16">
      <c r="A430" s="52"/>
      <c r="B430" s="52"/>
      <c r="C430" s="38" t="s">
        <v>547</v>
      </c>
      <c r="D430" s="18" t="s">
        <v>203</v>
      </c>
      <c r="E430" s="84" t="s">
        <v>546</v>
      </c>
      <c r="F430" s="3" t="s">
        <v>187</v>
      </c>
      <c r="H430" s="3" t="s">
        <v>180</v>
      </c>
      <c r="P430" s="90" t="s">
        <v>180</v>
      </c>
    </row>
    <row r="431" spans="1:16">
      <c r="A431" s="52"/>
      <c r="B431" s="52"/>
      <c r="C431" s="38" t="s">
        <v>759</v>
      </c>
      <c r="D431" s="18" t="s">
        <v>203</v>
      </c>
      <c r="E431" s="84" t="s">
        <v>546</v>
      </c>
      <c r="F431" s="3" t="s">
        <v>187</v>
      </c>
      <c r="H431" s="3" t="s">
        <v>180</v>
      </c>
      <c r="P431" s="90" t="s">
        <v>180</v>
      </c>
    </row>
    <row r="432" spans="1:16">
      <c r="A432" s="52"/>
      <c r="B432" s="52"/>
      <c r="C432" s="25" t="s">
        <v>504</v>
      </c>
      <c r="D432" s="1" t="s">
        <v>193</v>
      </c>
      <c r="J432" s="81" t="s">
        <v>180</v>
      </c>
      <c r="K432" s="3" t="s">
        <v>187</v>
      </c>
      <c r="L432" s="3"/>
      <c r="M432" s="3" t="s">
        <v>180</v>
      </c>
      <c r="N432" s="43"/>
    </row>
    <row r="433" spans="1:16">
      <c r="A433" s="52"/>
      <c r="B433" s="52"/>
      <c r="C433" s="25" t="s">
        <v>505</v>
      </c>
      <c r="J433" s="81"/>
      <c r="K433" s="3"/>
      <c r="L433" s="3"/>
      <c r="M433" s="3"/>
      <c r="N433" s="43"/>
    </row>
    <row r="434" spans="1:16">
      <c r="A434" s="52"/>
      <c r="B434" s="52"/>
      <c r="C434" s="25" t="s">
        <v>506</v>
      </c>
      <c r="J434" s="81"/>
      <c r="K434" s="3"/>
      <c r="L434" s="3"/>
      <c r="M434" s="3"/>
      <c r="N434" s="43"/>
    </row>
    <row r="435" spans="1:16">
      <c r="A435" s="52"/>
      <c r="B435" s="52"/>
      <c r="C435" s="25" t="s">
        <v>721</v>
      </c>
      <c r="J435" s="81"/>
      <c r="K435" s="3"/>
      <c r="L435" s="3"/>
      <c r="M435" s="3"/>
      <c r="N435" s="43"/>
    </row>
    <row r="436" spans="1:16">
      <c r="A436" s="52"/>
      <c r="B436" s="52"/>
      <c r="C436" s="38" t="s">
        <v>588</v>
      </c>
      <c r="D436" s="55" t="s">
        <v>193</v>
      </c>
      <c r="E436" s="83"/>
      <c r="J436" s="81" t="s">
        <v>244</v>
      </c>
      <c r="K436" s="3" t="s">
        <v>187</v>
      </c>
      <c r="L436" s="3"/>
      <c r="M436" s="3" t="s">
        <v>180</v>
      </c>
      <c r="N436" s="43"/>
    </row>
    <row r="437" spans="1:16">
      <c r="A437" s="52"/>
      <c r="B437" s="52"/>
      <c r="C437" s="38" t="s">
        <v>722</v>
      </c>
      <c r="D437" s="18"/>
      <c r="E437" s="83"/>
      <c r="J437" s="81"/>
      <c r="K437" s="3"/>
      <c r="L437" s="3"/>
      <c r="M437" s="3"/>
      <c r="N437" s="43"/>
    </row>
    <row r="438" spans="1:16">
      <c r="A438" s="52"/>
      <c r="B438" s="52"/>
      <c r="C438" s="38" t="s">
        <v>589</v>
      </c>
      <c r="D438" s="55" t="s">
        <v>193</v>
      </c>
      <c r="E438" s="83"/>
      <c r="J438" s="81" t="s">
        <v>246</v>
      </c>
      <c r="K438" s="3" t="s">
        <v>187</v>
      </c>
      <c r="L438" s="3"/>
      <c r="M438" s="3" t="s">
        <v>180</v>
      </c>
      <c r="N438" s="43"/>
    </row>
    <row r="439" spans="1:16">
      <c r="A439" s="52"/>
      <c r="B439" s="52"/>
      <c r="C439" s="38" t="s">
        <v>723</v>
      </c>
      <c r="D439" s="18"/>
      <c r="E439" s="83"/>
      <c r="J439" s="81"/>
      <c r="K439" s="3"/>
      <c r="L439" s="3"/>
      <c r="M439" s="3"/>
      <c r="N439" s="43"/>
    </row>
    <row r="440" spans="1:16">
      <c r="A440" s="52"/>
      <c r="B440" s="52"/>
      <c r="C440" s="25" t="s">
        <v>507</v>
      </c>
      <c r="D440" s="1" t="s">
        <v>193</v>
      </c>
      <c r="J440" s="82" t="s">
        <v>632</v>
      </c>
      <c r="K440" s="3" t="s">
        <v>187</v>
      </c>
      <c r="L440" s="3"/>
      <c r="M440" s="3" t="s">
        <v>180</v>
      </c>
      <c r="N440" s="43"/>
    </row>
    <row r="441" spans="1:16">
      <c r="A441" s="52"/>
      <c r="B441" s="52"/>
      <c r="C441" s="25" t="s">
        <v>724</v>
      </c>
      <c r="J441" s="81"/>
      <c r="K441" s="3"/>
      <c r="L441" s="3"/>
      <c r="M441" s="3"/>
      <c r="N441" s="43"/>
    </row>
    <row r="442" spans="1:16">
      <c r="A442" s="52"/>
      <c r="B442" s="52"/>
      <c r="C442" s="38" t="s">
        <v>509</v>
      </c>
      <c r="D442" s="18" t="s">
        <v>176</v>
      </c>
      <c r="E442" s="83"/>
      <c r="F442" s="46"/>
      <c r="G442" s="46"/>
      <c r="H442" s="46"/>
      <c r="I442" s="85"/>
      <c r="J442" s="83" t="s">
        <v>725</v>
      </c>
      <c r="K442" s="46" t="s">
        <v>178</v>
      </c>
      <c r="L442" s="46" t="s">
        <v>179</v>
      </c>
      <c r="M442" s="46" t="s">
        <v>180</v>
      </c>
      <c r="N442" s="85" t="s">
        <v>179</v>
      </c>
      <c r="P442" s="90" t="s">
        <v>180</v>
      </c>
    </row>
    <row r="443" spans="1:16">
      <c r="A443" s="52"/>
      <c r="B443" s="52"/>
      <c r="C443" s="25" t="s">
        <v>213</v>
      </c>
      <c r="D443" t="s">
        <v>203</v>
      </c>
      <c r="J443" s="81" t="s">
        <v>187</v>
      </c>
      <c r="K443" s="3" t="s">
        <v>178</v>
      </c>
      <c r="L443" s="3"/>
      <c r="M443" s="3" t="s">
        <v>180</v>
      </c>
      <c r="N443" s="43"/>
      <c r="P443" s="90" t="s">
        <v>180</v>
      </c>
    </row>
    <row r="444" spans="1:16">
      <c r="A444" s="52"/>
      <c r="B444" s="52"/>
      <c r="C444" s="25" t="s">
        <v>621</v>
      </c>
      <c r="D444" t="s">
        <v>203</v>
      </c>
      <c r="J444" s="81" t="s">
        <v>187</v>
      </c>
      <c r="K444" s="3" t="s">
        <v>178</v>
      </c>
      <c r="L444" s="3"/>
      <c r="M444" s="3" t="s">
        <v>180</v>
      </c>
      <c r="N444" s="43"/>
      <c r="P444" s="90" t="s">
        <v>180</v>
      </c>
    </row>
    <row r="445" spans="1:16">
      <c r="A445" s="52"/>
      <c r="B445" s="52"/>
      <c r="C445" s="25" t="s">
        <v>591</v>
      </c>
      <c r="D445" t="s">
        <v>203</v>
      </c>
      <c r="J445" s="81" t="s">
        <v>592</v>
      </c>
      <c r="K445" s="3" t="s">
        <v>178</v>
      </c>
      <c r="L445" s="3"/>
      <c r="M445" s="3" t="s">
        <v>180</v>
      </c>
      <c r="N445" s="43"/>
      <c r="P445" s="90" t="s">
        <v>180</v>
      </c>
    </row>
    <row r="446" spans="1:16">
      <c r="A446" s="52"/>
      <c r="B446" s="52"/>
      <c r="C446" s="25" t="s">
        <v>726</v>
      </c>
      <c r="D446" t="s">
        <v>203</v>
      </c>
      <c r="J446" s="81" t="s">
        <v>592</v>
      </c>
      <c r="K446" s="3" t="s">
        <v>178</v>
      </c>
      <c r="L446" s="3"/>
      <c r="M446" s="3" t="s">
        <v>180</v>
      </c>
      <c r="N446" s="43"/>
      <c r="P446" s="90" t="s">
        <v>180</v>
      </c>
    </row>
    <row r="447" spans="1:16">
      <c r="A447" s="52"/>
      <c r="B447" s="52"/>
      <c r="C447" s="25" t="s">
        <v>593</v>
      </c>
      <c r="D447" t="s">
        <v>203</v>
      </c>
      <c r="J447" s="81" t="s">
        <v>594</v>
      </c>
      <c r="K447" s="3" t="s">
        <v>178</v>
      </c>
      <c r="L447" s="3"/>
      <c r="M447" s="3" t="s">
        <v>180</v>
      </c>
      <c r="N447" s="43"/>
      <c r="P447" s="90" t="s">
        <v>180</v>
      </c>
    </row>
    <row r="448" spans="1:16">
      <c r="A448" s="52"/>
      <c r="B448" s="52"/>
      <c r="C448" s="25" t="s">
        <v>727</v>
      </c>
      <c r="D448" t="s">
        <v>203</v>
      </c>
      <c r="J448" s="81" t="s">
        <v>594</v>
      </c>
      <c r="K448" s="3" t="s">
        <v>178</v>
      </c>
      <c r="L448" s="3"/>
      <c r="M448" s="3" t="s">
        <v>180</v>
      </c>
      <c r="N448" s="43"/>
      <c r="P448" s="90" t="s">
        <v>180</v>
      </c>
    </row>
    <row r="449" spans="1:16">
      <c r="A449" s="52"/>
      <c r="B449" s="52"/>
      <c r="C449" s="25" t="s">
        <v>511</v>
      </c>
      <c r="D449" t="s">
        <v>203</v>
      </c>
      <c r="J449" s="81" t="s">
        <v>728</v>
      </c>
      <c r="K449" s="3" t="s">
        <v>178</v>
      </c>
      <c r="L449" s="3"/>
      <c r="M449" s="3" t="s">
        <v>180</v>
      </c>
      <c r="N449" s="43"/>
      <c r="P449" s="90" t="s">
        <v>180</v>
      </c>
    </row>
    <row r="450" spans="1:16">
      <c r="A450" s="52"/>
      <c r="B450" s="52"/>
      <c r="C450" s="25" t="s">
        <v>729</v>
      </c>
      <c r="D450" t="s">
        <v>203</v>
      </c>
      <c r="J450" s="81" t="s">
        <v>728</v>
      </c>
      <c r="K450" s="3" t="s">
        <v>178</v>
      </c>
      <c r="L450" s="3"/>
      <c r="M450" s="3" t="s">
        <v>180</v>
      </c>
      <c r="N450" s="43"/>
      <c r="P450" s="90" t="s">
        <v>180</v>
      </c>
    </row>
    <row r="451" spans="1:16">
      <c r="A451" s="52"/>
      <c r="B451" s="52"/>
      <c r="C451" s="38" t="s">
        <v>513</v>
      </c>
      <c r="D451" s="18" t="s">
        <v>176</v>
      </c>
      <c r="E451" s="83"/>
      <c r="F451" s="46"/>
      <c r="G451" s="46"/>
      <c r="H451" s="46"/>
      <c r="I451" s="85"/>
      <c r="J451" s="83" t="s">
        <v>725</v>
      </c>
      <c r="K451" s="46" t="s">
        <v>187</v>
      </c>
      <c r="L451" s="46" t="s">
        <v>179</v>
      </c>
      <c r="M451" s="46" t="s">
        <v>180</v>
      </c>
      <c r="N451" s="85" t="s">
        <v>179</v>
      </c>
      <c r="P451" s="90" t="s">
        <v>180</v>
      </c>
    </row>
    <row r="452" spans="1:16">
      <c r="A452" s="52"/>
      <c r="B452" s="52"/>
      <c r="C452" s="25" t="s">
        <v>515</v>
      </c>
      <c r="D452" t="s">
        <v>203</v>
      </c>
      <c r="J452" s="81" t="s">
        <v>187</v>
      </c>
      <c r="K452" s="3" t="s">
        <v>187</v>
      </c>
      <c r="L452" s="3"/>
      <c r="M452" s="3" t="s">
        <v>180</v>
      </c>
      <c r="N452" s="43"/>
      <c r="P452" s="90" t="s">
        <v>180</v>
      </c>
    </row>
    <row r="453" spans="1:16">
      <c r="A453" s="52"/>
      <c r="B453" s="52"/>
      <c r="C453" s="25" t="s">
        <v>730</v>
      </c>
      <c r="D453" t="s">
        <v>203</v>
      </c>
      <c r="J453" s="81" t="s">
        <v>187</v>
      </c>
      <c r="K453" s="3" t="s">
        <v>187</v>
      </c>
      <c r="L453" s="3"/>
      <c r="M453" s="3" t="s">
        <v>180</v>
      </c>
      <c r="N453" s="43"/>
      <c r="P453" s="90" t="s">
        <v>180</v>
      </c>
    </row>
    <row r="454" spans="1:16">
      <c r="A454" s="52"/>
      <c r="B454" s="52"/>
      <c r="C454" s="25" t="s">
        <v>596</v>
      </c>
      <c r="D454" t="s">
        <v>203</v>
      </c>
      <c r="J454" s="81" t="s">
        <v>592</v>
      </c>
      <c r="K454" s="3" t="s">
        <v>187</v>
      </c>
      <c r="L454" s="3"/>
      <c r="M454" s="3" t="s">
        <v>180</v>
      </c>
      <c r="N454" s="43"/>
      <c r="P454" s="90" t="s">
        <v>180</v>
      </c>
    </row>
    <row r="455" spans="1:16">
      <c r="A455" s="52"/>
      <c r="B455" s="52"/>
      <c r="C455" s="25" t="s">
        <v>731</v>
      </c>
      <c r="D455" t="s">
        <v>203</v>
      </c>
      <c r="J455" s="81" t="s">
        <v>592</v>
      </c>
      <c r="K455" s="3" t="s">
        <v>187</v>
      </c>
      <c r="L455" s="3"/>
      <c r="M455" s="3" t="s">
        <v>180</v>
      </c>
      <c r="N455" s="43"/>
      <c r="P455" s="90" t="s">
        <v>180</v>
      </c>
    </row>
    <row r="456" spans="1:16">
      <c r="A456" s="52"/>
      <c r="B456" s="52"/>
      <c r="C456" s="25" t="s">
        <v>597</v>
      </c>
      <c r="D456" t="s">
        <v>203</v>
      </c>
      <c r="J456" s="81" t="s">
        <v>594</v>
      </c>
      <c r="K456" s="3" t="s">
        <v>187</v>
      </c>
      <c r="L456" s="3"/>
      <c r="M456" s="3" t="s">
        <v>180</v>
      </c>
      <c r="N456" s="43"/>
      <c r="P456" s="90" t="s">
        <v>180</v>
      </c>
    </row>
    <row r="457" spans="1:16">
      <c r="A457" s="52"/>
      <c r="B457" s="52"/>
      <c r="C457" s="25" t="s">
        <v>732</v>
      </c>
      <c r="D457" t="s">
        <v>203</v>
      </c>
      <c r="J457" s="81" t="s">
        <v>594</v>
      </c>
      <c r="K457" s="3" t="s">
        <v>187</v>
      </c>
      <c r="L457" s="3"/>
      <c r="M457" s="3" t="s">
        <v>180</v>
      </c>
      <c r="N457" s="43"/>
      <c r="P457" s="90" t="s">
        <v>180</v>
      </c>
    </row>
    <row r="458" spans="1:16">
      <c r="A458" s="52"/>
      <c r="B458" s="52"/>
      <c r="C458" s="25" t="s">
        <v>516</v>
      </c>
      <c r="D458" t="s">
        <v>203</v>
      </c>
      <c r="J458" s="81" t="s">
        <v>728</v>
      </c>
      <c r="K458" s="3" t="s">
        <v>187</v>
      </c>
      <c r="L458" s="3"/>
      <c r="M458" s="3" t="s">
        <v>180</v>
      </c>
      <c r="N458" s="43"/>
      <c r="P458" s="90" t="s">
        <v>180</v>
      </c>
    </row>
    <row r="459" spans="1:16">
      <c r="A459" s="52"/>
      <c r="B459" s="52"/>
      <c r="C459" s="25" t="s">
        <v>733</v>
      </c>
      <c r="D459" t="s">
        <v>203</v>
      </c>
      <c r="J459" s="81" t="s">
        <v>728</v>
      </c>
      <c r="K459" s="3" t="s">
        <v>187</v>
      </c>
      <c r="L459" s="3"/>
      <c r="M459" s="3" t="s">
        <v>180</v>
      </c>
      <c r="N459" s="43"/>
      <c r="P459" s="90" t="s">
        <v>180</v>
      </c>
    </row>
    <row r="460" spans="1:16">
      <c r="A460" s="52"/>
      <c r="B460" s="52"/>
      <c r="C460" s="38" t="s">
        <v>517</v>
      </c>
      <c r="D460" s="18" t="s">
        <v>176</v>
      </c>
      <c r="E460" s="83"/>
      <c r="F460" s="46"/>
      <c r="G460" s="46"/>
      <c r="H460" s="46"/>
      <c r="I460" s="85"/>
      <c r="J460" s="83" t="s">
        <v>251</v>
      </c>
      <c r="K460" s="46" t="s">
        <v>187</v>
      </c>
      <c r="L460" s="46" t="s">
        <v>179</v>
      </c>
      <c r="M460" s="46" t="s">
        <v>180</v>
      </c>
      <c r="N460" s="85" t="s">
        <v>179</v>
      </c>
      <c r="P460" s="90" t="s">
        <v>180</v>
      </c>
    </row>
    <row r="461" spans="1:16">
      <c r="A461" s="52"/>
      <c r="B461" s="52"/>
      <c r="C461" s="25" t="s">
        <v>519</v>
      </c>
      <c r="D461" t="s">
        <v>203</v>
      </c>
      <c r="J461" s="81" t="s">
        <v>185</v>
      </c>
      <c r="K461" s="3" t="s">
        <v>187</v>
      </c>
      <c r="L461" s="3"/>
      <c r="M461" s="3" t="s">
        <v>180</v>
      </c>
      <c r="N461" s="43"/>
      <c r="P461" s="90" t="s">
        <v>180</v>
      </c>
    </row>
    <row r="462" spans="1:16">
      <c r="A462" s="52"/>
      <c r="B462" s="52"/>
      <c r="C462" s="25" t="s">
        <v>734</v>
      </c>
      <c r="D462" t="s">
        <v>203</v>
      </c>
      <c r="J462" s="81" t="s">
        <v>185</v>
      </c>
      <c r="K462" s="3" t="s">
        <v>187</v>
      </c>
      <c r="L462" s="3"/>
      <c r="M462" s="3" t="s">
        <v>180</v>
      </c>
      <c r="N462" s="43"/>
      <c r="P462" s="90" t="s">
        <v>180</v>
      </c>
    </row>
    <row r="463" spans="1:16">
      <c r="A463" s="52"/>
      <c r="B463" s="52"/>
      <c r="C463" s="25" t="s">
        <v>599</v>
      </c>
      <c r="D463" t="s">
        <v>203</v>
      </c>
      <c r="J463" s="81" t="s">
        <v>254</v>
      </c>
      <c r="K463" s="3" t="s">
        <v>187</v>
      </c>
      <c r="L463" s="3"/>
      <c r="M463" s="3" t="s">
        <v>180</v>
      </c>
      <c r="N463" s="43"/>
      <c r="P463" s="90" t="s">
        <v>180</v>
      </c>
    </row>
    <row r="464" spans="1:16">
      <c r="A464" s="52"/>
      <c r="B464" s="52"/>
      <c r="C464" s="25" t="s">
        <v>735</v>
      </c>
      <c r="D464" t="s">
        <v>203</v>
      </c>
      <c r="J464" s="81" t="s">
        <v>254</v>
      </c>
      <c r="K464" s="3" t="s">
        <v>187</v>
      </c>
      <c r="L464" s="3"/>
      <c r="M464" s="3" t="s">
        <v>180</v>
      </c>
      <c r="N464" s="43"/>
      <c r="P464" s="90" t="s">
        <v>180</v>
      </c>
    </row>
    <row r="465" spans="1:16">
      <c r="A465" s="52"/>
      <c r="B465" s="52"/>
      <c r="C465" s="25" t="s">
        <v>600</v>
      </c>
      <c r="D465" t="s">
        <v>203</v>
      </c>
      <c r="J465" s="81" t="s">
        <v>256</v>
      </c>
      <c r="K465" s="3" t="s">
        <v>187</v>
      </c>
      <c r="L465" s="3"/>
      <c r="M465" s="3" t="s">
        <v>180</v>
      </c>
      <c r="N465" s="43"/>
      <c r="P465" s="90" t="s">
        <v>180</v>
      </c>
    </row>
    <row r="466" spans="1:16">
      <c r="A466" s="52"/>
      <c r="B466" s="52"/>
      <c r="C466" s="25" t="s">
        <v>736</v>
      </c>
      <c r="D466" t="s">
        <v>203</v>
      </c>
      <c r="J466" s="81" t="s">
        <v>256</v>
      </c>
      <c r="K466" s="3" t="s">
        <v>187</v>
      </c>
      <c r="L466" s="3"/>
      <c r="M466" s="3" t="s">
        <v>180</v>
      </c>
      <c r="N466" s="43"/>
      <c r="P466" s="90" t="s">
        <v>180</v>
      </c>
    </row>
    <row r="467" spans="1:16">
      <c r="A467" s="52"/>
      <c r="B467" s="52"/>
      <c r="C467" s="25" t="s">
        <v>520</v>
      </c>
      <c r="D467" t="s">
        <v>203</v>
      </c>
      <c r="J467" s="81" t="s">
        <v>258</v>
      </c>
      <c r="K467" s="3" t="s">
        <v>187</v>
      </c>
      <c r="L467" s="3"/>
      <c r="M467" s="3" t="s">
        <v>180</v>
      </c>
      <c r="N467" s="43"/>
      <c r="P467" s="90" t="s">
        <v>180</v>
      </c>
    </row>
    <row r="468" spans="1:16">
      <c r="A468" s="52"/>
      <c r="B468" s="52"/>
      <c r="C468" s="25" t="s">
        <v>737</v>
      </c>
      <c r="D468" t="s">
        <v>203</v>
      </c>
      <c r="J468" s="81" t="s">
        <v>258</v>
      </c>
      <c r="K468" s="3" t="s">
        <v>187</v>
      </c>
      <c r="L468" s="3"/>
      <c r="M468" s="3" t="s">
        <v>180</v>
      </c>
      <c r="N468" s="43"/>
      <c r="P468" s="90" t="s">
        <v>180</v>
      </c>
    </row>
    <row r="469" spans="1:16">
      <c r="A469" s="52"/>
      <c r="B469" s="52"/>
      <c r="C469" s="38" t="s">
        <v>521</v>
      </c>
      <c r="D469" s="18" t="s">
        <v>176</v>
      </c>
      <c r="E469" s="83"/>
      <c r="F469" s="46"/>
      <c r="G469" s="46"/>
      <c r="H469" s="46"/>
      <c r="I469" s="85"/>
      <c r="J469" s="83" t="s">
        <v>725</v>
      </c>
      <c r="K469" s="46" t="s">
        <v>185</v>
      </c>
      <c r="L469" s="46" t="s">
        <v>179</v>
      </c>
      <c r="M469" s="46" t="s">
        <v>180</v>
      </c>
      <c r="N469" s="85" t="s">
        <v>179</v>
      </c>
      <c r="P469" s="90" t="s">
        <v>180</v>
      </c>
    </row>
    <row r="470" spans="1:16">
      <c r="A470" s="52"/>
      <c r="B470" s="52"/>
      <c r="C470" s="25" t="s">
        <v>522</v>
      </c>
      <c r="D470" t="s">
        <v>203</v>
      </c>
      <c r="J470" s="81" t="s">
        <v>187</v>
      </c>
      <c r="K470" s="3" t="s">
        <v>185</v>
      </c>
      <c r="L470" s="3"/>
      <c r="M470" s="3" t="s">
        <v>180</v>
      </c>
      <c r="N470" s="43"/>
      <c r="P470" s="90" t="s">
        <v>180</v>
      </c>
    </row>
    <row r="471" spans="1:16">
      <c r="A471" s="52"/>
      <c r="B471" s="52"/>
      <c r="C471" s="25" t="s">
        <v>738</v>
      </c>
      <c r="D471" t="s">
        <v>203</v>
      </c>
      <c r="J471" s="81" t="s">
        <v>187</v>
      </c>
      <c r="K471" s="3" t="s">
        <v>185</v>
      </c>
      <c r="L471" s="3"/>
      <c r="M471" s="3" t="s">
        <v>180</v>
      </c>
      <c r="N471" s="43"/>
      <c r="P471" s="90" t="s">
        <v>180</v>
      </c>
    </row>
    <row r="472" spans="1:16">
      <c r="A472" s="52"/>
      <c r="B472" s="52"/>
      <c r="C472" s="25" t="s">
        <v>601</v>
      </c>
      <c r="D472" t="s">
        <v>203</v>
      </c>
      <c r="J472" s="81" t="s">
        <v>592</v>
      </c>
      <c r="K472" s="3" t="s">
        <v>185</v>
      </c>
      <c r="L472" s="3"/>
      <c r="M472" s="3" t="s">
        <v>180</v>
      </c>
      <c r="N472" s="43"/>
      <c r="P472" s="90" t="s">
        <v>180</v>
      </c>
    </row>
    <row r="473" spans="1:16">
      <c r="A473" s="52"/>
      <c r="B473" s="52"/>
      <c r="C473" s="25" t="s">
        <v>739</v>
      </c>
      <c r="D473" t="s">
        <v>203</v>
      </c>
      <c r="J473" s="81" t="s">
        <v>592</v>
      </c>
      <c r="K473" s="3" t="s">
        <v>185</v>
      </c>
      <c r="L473" s="3"/>
      <c r="M473" s="3" t="s">
        <v>180</v>
      </c>
      <c r="N473" s="43"/>
      <c r="P473" s="90" t="s">
        <v>180</v>
      </c>
    </row>
    <row r="474" spans="1:16">
      <c r="A474" s="52"/>
      <c r="B474" s="52"/>
      <c r="C474" s="25" t="s">
        <v>602</v>
      </c>
      <c r="D474" t="s">
        <v>203</v>
      </c>
      <c r="J474" s="81" t="s">
        <v>594</v>
      </c>
      <c r="K474" s="3" t="s">
        <v>185</v>
      </c>
      <c r="L474" s="3"/>
      <c r="M474" s="3" t="s">
        <v>180</v>
      </c>
      <c r="N474" s="43"/>
      <c r="P474" s="90" t="s">
        <v>180</v>
      </c>
    </row>
    <row r="475" spans="1:16">
      <c r="A475" s="52"/>
      <c r="B475" s="52"/>
      <c r="C475" s="25" t="s">
        <v>740</v>
      </c>
      <c r="D475" t="s">
        <v>203</v>
      </c>
      <c r="J475" s="81" t="s">
        <v>594</v>
      </c>
      <c r="K475" s="3" t="s">
        <v>185</v>
      </c>
      <c r="L475" s="3"/>
      <c r="M475" s="3" t="s">
        <v>180</v>
      </c>
      <c r="N475" s="43"/>
      <c r="P475" s="90" t="s">
        <v>180</v>
      </c>
    </row>
    <row r="476" spans="1:16">
      <c r="A476" s="52"/>
      <c r="B476" s="52"/>
      <c r="C476" s="25" t="s">
        <v>523</v>
      </c>
      <c r="D476" t="s">
        <v>203</v>
      </c>
      <c r="J476" s="81" t="s">
        <v>728</v>
      </c>
      <c r="K476" s="3" t="s">
        <v>185</v>
      </c>
      <c r="L476" s="3"/>
      <c r="M476" s="3" t="s">
        <v>180</v>
      </c>
      <c r="N476" s="43"/>
      <c r="P476" s="90" t="s">
        <v>180</v>
      </c>
    </row>
    <row r="477" spans="1:16">
      <c r="A477" s="52"/>
      <c r="B477" s="52"/>
      <c r="C477" s="25" t="s">
        <v>741</v>
      </c>
      <c r="D477" t="s">
        <v>203</v>
      </c>
      <c r="J477" s="81" t="s">
        <v>728</v>
      </c>
      <c r="K477" s="3" t="s">
        <v>185</v>
      </c>
      <c r="L477" s="3"/>
      <c r="M477" s="3" t="s">
        <v>180</v>
      </c>
      <c r="N477" s="43"/>
      <c r="P477" s="90" t="s">
        <v>180</v>
      </c>
    </row>
    <row r="478" spans="1:16">
      <c r="A478" s="52"/>
      <c r="B478" s="52"/>
      <c r="C478" s="25" t="s">
        <v>524</v>
      </c>
      <c r="J478" s="81"/>
      <c r="K478" s="3"/>
      <c r="L478" s="3"/>
      <c r="M478" s="3"/>
      <c r="N478" s="43"/>
    </row>
    <row r="479" spans="1:16">
      <c r="A479" s="52"/>
      <c r="B479" s="52"/>
      <c r="C479" s="25" t="s">
        <v>742</v>
      </c>
      <c r="J479" s="81"/>
      <c r="K479" s="3"/>
      <c r="L479" s="3"/>
      <c r="M479" s="3"/>
      <c r="N479" s="43"/>
    </row>
    <row r="480" spans="1:16">
      <c r="A480" s="52"/>
      <c r="B480" s="52"/>
      <c r="C480" s="38" t="s">
        <v>603</v>
      </c>
      <c r="J480" s="81"/>
      <c r="K480" s="3"/>
      <c r="L480" s="3"/>
      <c r="M480" s="3"/>
      <c r="N480" s="43"/>
    </row>
    <row r="481" spans="1:16">
      <c r="A481" s="52"/>
      <c r="B481" s="52"/>
      <c r="C481" s="38" t="s">
        <v>743</v>
      </c>
      <c r="J481" s="81"/>
      <c r="K481" s="3"/>
      <c r="L481" s="3"/>
      <c r="M481" s="3"/>
      <c r="N481" s="43"/>
    </row>
    <row r="482" spans="1:16">
      <c r="A482" s="52"/>
      <c r="B482" s="52"/>
      <c r="C482" s="38" t="s">
        <v>604</v>
      </c>
      <c r="J482" s="81"/>
      <c r="K482" s="3"/>
      <c r="L482" s="3"/>
      <c r="M482" s="3"/>
      <c r="N482" s="43"/>
    </row>
    <row r="483" spans="1:16">
      <c r="A483" s="52"/>
      <c r="B483" s="52"/>
      <c r="C483" s="38" t="s">
        <v>744</v>
      </c>
      <c r="J483" s="81"/>
      <c r="K483" s="3"/>
      <c r="L483" s="3"/>
      <c r="M483" s="3"/>
      <c r="N483" s="43"/>
    </row>
    <row r="484" spans="1:16">
      <c r="A484" s="52"/>
      <c r="B484" s="52"/>
      <c r="C484" s="25" t="s">
        <v>525</v>
      </c>
      <c r="J484" s="81"/>
      <c r="K484" s="3"/>
      <c r="L484" s="3"/>
      <c r="M484" s="3"/>
      <c r="N484" s="43"/>
    </row>
    <row r="485" spans="1:16">
      <c r="A485" s="52"/>
      <c r="B485" s="52"/>
      <c r="C485" s="25" t="s">
        <v>745</v>
      </c>
      <c r="J485" s="81"/>
      <c r="K485" s="3"/>
      <c r="L485" s="3"/>
      <c r="M485" s="3"/>
      <c r="N485" s="43"/>
    </row>
    <row r="486" spans="1:16">
      <c r="A486" s="52"/>
      <c r="B486" s="52"/>
      <c r="C486" s="25" t="s">
        <v>560</v>
      </c>
      <c r="D486" t="s">
        <v>176</v>
      </c>
      <c r="J486" s="81" t="s">
        <v>746</v>
      </c>
      <c r="K486" s="3" t="s">
        <v>187</v>
      </c>
      <c r="L486" s="3" t="s">
        <v>179</v>
      </c>
      <c r="M486" s="3" t="s">
        <v>180</v>
      </c>
      <c r="N486" s="43" t="s">
        <v>179</v>
      </c>
      <c r="P486" s="90" t="s">
        <v>180</v>
      </c>
    </row>
    <row r="487" spans="1:16">
      <c r="A487" s="52"/>
      <c r="B487" s="52"/>
      <c r="C487" s="25" t="s">
        <v>527</v>
      </c>
      <c r="D487" t="s">
        <v>286</v>
      </c>
      <c r="J487" s="81" t="s">
        <v>746</v>
      </c>
      <c r="K487" s="3" t="s">
        <v>187</v>
      </c>
      <c r="L487" s="3"/>
      <c r="M487" s="3" t="s">
        <v>180</v>
      </c>
      <c r="N487" s="43"/>
      <c r="P487" s="90" t="s">
        <v>180</v>
      </c>
    </row>
    <row r="488" spans="1:16">
      <c r="A488" s="52"/>
      <c r="B488" s="52"/>
      <c r="C488" s="38" t="s">
        <v>526</v>
      </c>
      <c r="D488" s="18" t="s">
        <v>176</v>
      </c>
      <c r="E488" s="83"/>
      <c r="F488" s="46"/>
      <c r="G488" s="46"/>
      <c r="H488" s="46"/>
      <c r="I488" s="85"/>
      <c r="J488" s="83" t="s">
        <v>217</v>
      </c>
      <c r="K488" s="46" t="s">
        <v>187</v>
      </c>
      <c r="L488" s="46" t="s">
        <v>179</v>
      </c>
      <c r="M488" s="46" t="s">
        <v>180</v>
      </c>
      <c r="N488" s="85" t="s">
        <v>179</v>
      </c>
      <c r="P488" s="90" t="s">
        <v>180</v>
      </c>
    </row>
    <row r="489" spans="1:16">
      <c r="A489" s="52"/>
      <c r="B489" s="52"/>
      <c r="C489" s="38" t="s">
        <v>528</v>
      </c>
      <c r="D489" s="18" t="s">
        <v>286</v>
      </c>
      <c r="E489" s="83"/>
      <c r="F489" s="46"/>
      <c r="G489" s="46"/>
      <c r="H489" s="46"/>
      <c r="I489" s="85"/>
      <c r="J489" s="83" t="s">
        <v>217</v>
      </c>
      <c r="K489" s="46" t="s">
        <v>187</v>
      </c>
      <c r="L489" s="46"/>
      <c r="M489" s="46" t="s">
        <v>180</v>
      </c>
      <c r="N489" s="85"/>
      <c r="P489" s="90" t="s">
        <v>180</v>
      </c>
    </row>
    <row r="490" spans="1:16">
      <c r="A490" s="52"/>
      <c r="B490" s="52"/>
      <c r="C490" s="38" t="s">
        <v>747</v>
      </c>
      <c r="D490" s="18" t="s">
        <v>286</v>
      </c>
      <c r="E490" s="83"/>
      <c r="F490" s="46"/>
      <c r="G490" s="46"/>
      <c r="H490" s="46"/>
      <c r="I490" s="85"/>
      <c r="J490" s="83" t="s">
        <v>217</v>
      </c>
      <c r="K490" s="46" t="s">
        <v>187</v>
      </c>
      <c r="L490" s="46"/>
      <c r="M490" s="46" t="s">
        <v>180</v>
      </c>
      <c r="N490" s="85"/>
      <c r="P490" s="90" t="s">
        <v>180</v>
      </c>
    </row>
    <row r="491" spans="1:16">
      <c r="A491" s="52"/>
      <c r="B491" s="52"/>
      <c r="C491" s="38" t="s">
        <v>529</v>
      </c>
      <c r="D491" s="18" t="s">
        <v>286</v>
      </c>
      <c r="E491" s="83"/>
      <c r="F491" s="46"/>
      <c r="G491" s="46"/>
      <c r="H491" s="46"/>
      <c r="I491" s="85"/>
      <c r="J491" s="83" t="s">
        <v>217</v>
      </c>
      <c r="K491" s="46" t="s">
        <v>187</v>
      </c>
      <c r="L491" s="46"/>
      <c r="M491" s="46" t="s">
        <v>180</v>
      </c>
      <c r="N491" s="85"/>
      <c r="P491" s="90" t="s">
        <v>180</v>
      </c>
    </row>
    <row r="492" spans="1:16">
      <c r="A492" s="52"/>
      <c r="B492" s="52"/>
      <c r="C492" s="38" t="s">
        <v>748</v>
      </c>
      <c r="D492" s="18" t="s">
        <v>286</v>
      </c>
      <c r="E492" s="83"/>
      <c r="F492" s="46"/>
      <c r="G492" s="46"/>
      <c r="H492" s="46"/>
      <c r="I492" s="85"/>
      <c r="J492" s="83" t="s">
        <v>217</v>
      </c>
      <c r="K492" s="46" t="s">
        <v>187</v>
      </c>
      <c r="L492" s="46"/>
      <c r="M492" s="46" t="s">
        <v>180</v>
      </c>
      <c r="N492" s="85"/>
      <c r="P492" s="90" t="s">
        <v>180</v>
      </c>
    </row>
    <row r="493" spans="1:16">
      <c r="A493" s="52"/>
      <c r="B493" s="52"/>
      <c r="C493" s="38" t="s">
        <v>530</v>
      </c>
      <c r="D493" s="18"/>
      <c r="E493" s="83"/>
      <c r="F493" s="46"/>
      <c r="G493" s="46"/>
      <c r="H493" s="46"/>
      <c r="I493" s="85"/>
      <c r="J493" s="83"/>
      <c r="K493" s="46"/>
      <c r="L493" s="46"/>
      <c r="M493" s="46"/>
      <c r="N493" s="85"/>
    </row>
    <row r="494" spans="1:16">
      <c r="A494" s="52"/>
      <c r="B494" s="52"/>
      <c r="C494" s="38" t="s">
        <v>531</v>
      </c>
      <c r="D494" s="18"/>
      <c r="E494" s="83"/>
      <c r="F494" s="46"/>
      <c r="G494" s="46"/>
      <c r="H494" s="46"/>
      <c r="I494" s="85"/>
      <c r="J494" s="83"/>
      <c r="K494" s="46"/>
      <c r="L494" s="46"/>
      <c r="M494" s="46"/>
      <c r="N494" s="85"/>
    </row>
    <row r="495" spans="1:16">
      <c r="A495" s="52"/>
      <c r="B495" s="52"/>
      <c r="C495" s="38" t="s">
        <v>532</v>
      </c>
      <c r="D495" s="18"/>
      <c r="E495" s="83"/>
      <c r="F495" s="46"/>
      <c r="G495" s="46"/>
      <c r="H495" s="46"/>
      <c r="I495" s="85"/>
      <c r="J495" s="83"/>
      <c r="K495" s="46"/>
      <c r="L495" s="46"/>
      <c r="M495" s="46"/>
      <c r="N495" s="85"/>
    </row>
    <row r="496" spans="1:16">
      <c r="A496" s="52"/>
      <c r="B496" s="52"/>
      <c r="C496" s="38" t="s">
        <v>533</v>
      </c>
      <c r="D496" s="18" t="s">
        <v>176</v>
      </c>
      <c r="E496" s="83"/>
      <c r="F496" s="46"/>
      <c r="G496" s="46"/>
      <c r="H496" s="46"/>
      <c r="I496" s="85"/>
      <c r="J496" s="83" t="s">
        <v>749</v>
      </c>
      <c r="K496" s="46" t="s">
        <v>187</v>
      </c>
      <c r="L496" s="46" t="s">
        <v>179</v>
      </c>
      <c r="M496" s="46" t="s">
        <v>180</v>
      </c>
      <c r="N496" s="85" t="s">
        <v>179</v>
      </c>
      <c r="P496" s="90" t="s">
        <v>180</v>
      </c>
    </row>
    <row r="497" spans="1:16">
      <c r="A497" s="52"/>
      <c r="B497" s="52"/>
      <c r="C497" s="38" t="s">
        <v>535</v>
      </c>
      <c r="D497" s="18" t="s">
        <v>176</v>
      </c>
      <c r="E497" s="83"/>
      <c r="F497" s="46"/>
      <c r="G497" s="46"/>
      <c r="H497" s="46"/>
      <c r="I497" s="85"/>
      <c r="J497" s="83" t="s">
        <v>750</v>
      </c>
      <c r="K497" s="46" t="s">
        <v>187</v>
      </c>
      <c r="L497" s="46" t="s">
        <v>179</v>
      </c>
      <c r="M497" s="46" t="s">
        <v>180</v>
      </c>
      <c r="N497" s="85" t="s">
        <v>179</v>
      </c>
      <c r="P497" s="90" t="s">
        <v>180</v>
      </c>
    </row>
    <row r="498" spans="1:16">
      <c r="A498" s="52"/>
      <c r="B498" s="52"/>
      <c r="C498" s="38" t="s">
        <v>537</v>
      </c>
      <c r="D498" s="18" t="s">
        <v>203</v>
      </c>
      <c r="E498" s="83"/>
      <c r="F498" s="46"/>
      <c r="G498" s="46"/>
      <c r="H498" s="46"/>
      <c r="I498" s="85"/>
      <c r="J498" s="83" t="s">
        <v>751</v>
      </c>
      <c r="K498" s="46" t="s">
        <v>187</v>
      </c>
      <c r="L498" s="46"/>
      <c r="M498" s="46" t="s">
        <v>180</v>
      </c>
      <c r="N498" s="85"/>
      <c r="P498" s="90" t="s">
        <v>180</v>
      </c>
    </row>
    <row r="499" spans="1:16">
      <c r="A499" s="52"/>
      <c r="B499" s="52"/>
      <c r="C499" s="38" t="s">
        <v>752</v>
      </c>
      <c r="D499" s="18" t="s">
        <v>203</v>
      </c>
      <c r="E499" s="83"/>
      <c r="F499" s="46"/>
      <c r="G499" s="46"/>
      <c r="H499" s="46"/>
      <c r="I499" s="85"/>
      <c r="J499" s="83" t="s">
        <v>751</v>
      </c>
      <c r="K499" s="46" t="s">
        <v>187</v>
      </c>
      <c r="L499" s="46"/>
      <c r="M499" s="46" t="s">
        <v>180</v>
      </c>
      <c r="N499" s="85"/>
      <c r="P499" s="90" t="s">
        <v>180</v>
      </c>
    </row>
    <row r="500" spans="1:16">
      <c r="A500" s="52"/>
      <c r="B500" s="52"/>
      <c r="C500" s="38" t="s">
        <v>539</v>
      </c>
      <c r="D500" s="18" t="s">
        <v>203</v>
      </c>
      <c r="E500" s="83"/>
      <c r="F500" s="46"/>
      <c r="G500" s="46"/>
      <c r="H500" s="46"/>
      <c r="I500" s="85"/>
      <c r="J500" s="83" t="s">
        <v>753</v>
      </c>
      <c r="K500" s="46" t="s">
        <v>187</v>
      </c>
      <c r="L500" s="46"/>
      <c r="M500" s="46" t="s">
        <v>180</v>
      </c>
      <c r="N500" s="85"/>
      <c r="P500" s="90" t="s">
        <v>180</v>
      </c>
    </row>
    <row r="501" spans="1:16">
      <c r="A501" s="52"/>
      <c r="B501" s="52"/>
      <c r="C501" s="38" t="s">
        <v>754</v>
      </c>
      <c r="D501" s="18" t="s">
        <v>203</v>
      </c>
      <c r="E501" s="83"/>
      <c r="F501" s="46"/>
      <c r="G501" s="46"/>
      <c r="H501" s="46"/>
      <c r="I501" s="85"/>
      <c r="J501" s="83" t="s">
        <v>753</v>
      </c>
      <c r="K501" s="46" t="s">
        <v>187</v>
      </c>
      <c r="L501" s="46"/>
      <c r="M501" s="46" t="s">
        <v>180</v>
      </c>
      <c r="N501" s="85"/>
      <c r="P501" s="90" t="s">
        <v>180</v>
      </c>
    </row>
    <row r="502" spans="1:16">
      <c r="A502" s="52"/>
      <c r="B502" s="52"/>
      <c r="C502" s="38" t="s">
        <v>541</v>
      </c>
      <c r="D502" s="18" t="s">
        <v>203</v>
      </c>
      <c r="E502" s="83"/>
      <c r="F502" s="46"/>
      <c r="G502" s="46"/>
      <c r="H502" s="46"/>
      <c r="I502" s="85"/>
      <c r="J502" s="83" t="s">
        <v>755</v>
      </c>
      <c r="K502" s="46" t="s">
        <v>187</v>
      </c>
      <c r="L502" s="46"/>
      <c r="M502" s="46" t="s">
        <v>180</v>
      </c>
      <c r="N502" s="85"/>
      <c r="P502" s="90" t="s">
        <v>180</v>
      </c>
    </row>
    <row r="503" spans="1:16">
      <c r="A503" s="52"/>
      <c r="B503" s="52"/>
      <c r="C503" s="38" t="s">
        <v>756</v>
      </c>
      <c r="D503" s="18" t="s">
        <v>203</v>
      </c>
      <c r="E503" s="83"/>
      <c r="F503" s="46"/>
      <c r="G503" s="46"/>
      <c r="H503" s="46"/>
      <c r="I503" s="85"/>
      <c r="J503" s="83" t="s">
        <v>755</v>
      </c>
      <c r="K503" s="46" t="s">
        <v>187</v>
      </c>
      <c r="L503" s="46"/>
      <c r="M503" s="46" t="s">
        <v>180</v>
      </c>
      <c r="N503" s="85"/>
      <c r="P503" s="90" t="s">
        <v>180</v>
      </c>
    </row>
    <row r="504" spans="1:16">
      <c r="A504" s="52"/>
      <c r="B504" s="52"/>
      <c r="C504" s="38" t="s">
        <v>543</v>
      </c>
      <c r="D504" s="18" t="s">
        <v>203</v>
      </c>
      <c r="E504" s="83"/>
      <c r="F504" s="46"/>
      <c r="G504" s="46"/>
      <c r="H504" s="46"/>
      <c r="I504" s="85"/>
      <c r="J504" s="83" t="s">
        <v>757</v>
      </c>
      <c r="K504" s="46" t="s">
        <v>187</v>
      </c>
      <c r="L504" s="46"/>
      <c r="M504" s="46" t="s">
        <v>180</v>
      </c>
      <c r="N504" s="85"/>
      <c r="P504" s="90" t="s">
        <v>180</v>
      </c>
    </row>
    <row r="505" spans="1:16">
      <c r="A505" s="52"/>
      <c r="B505" s="52"/>
      <c r="C505" s="38" t="s">
        <v>758</v>
      </c>
      <c r="D505" s="18" t="s">
        <v>203</v>
      </c>
      <c r="E505" s="83"/>
      <c r="F505" s="46"/>
      <c r="G505" s="46"/>
      <c r="H505" s="46"/>
      <c r="I505" s="85"/>
      <c r="J505" s="83" t="s">
        <v>757</v>
      </c>
      <c r="K505" s="46" t="s">
        <v>187</v>
      </c>
      <c r="L505" s="46"/>
      <c r="M505" s="46" t="s">
        <v>180</v>
      </c>
      <c r="N505" s="85"/>
      <c r="P505" s="90" t="s">
        <v>180</v>
      </c>
    </row>
    <row r="506" spans="1:16">
      <c r="A506" s="52"/>
      <c r="B506" s="52"/>
      <c r="C506" s="38" t="s">
        <v>545</v>
      </c>
      <c r="D506" s="18" t="s">
        <v>219</v>
      </c>
      <c r="E506" s="83"/>
      <c r="F506" s="46"/>
      <c r="G506" s="46"/>
      <c r="H506" s="46"/>
      <c r="I506" s="85"/>
      <c r="J506" s="83" t="s">
        <v>217</v>
      </c>
      <c r="K506" s="46" t="s">
        <v>187</v>
      </c>
      <c r="L506" s="46"/>
      <c r="M506" s="46" t="s">
        <v>180</v>
      </c>
      <c r="N506" s="85"/>
      <c r="P506" s="90" t="s">
        <v>180</v>
      </c>
    </row>
    <row r="507" spans="1:16">
      <c r="A507" s="52"/>
      <c r="B507" s="52"/>
      <c r="C507" s="38" t="s">
        <v>546</v>
      </c>
      <c r="D507" s="18"/>
      <c r="E507" s="83"/>
      <c r="F507" s="46"/>
      <c r="G507" s="46"/>
      <c r="H507" s="46"/>
      <c r="I507" s="85"/>
      <c r="J507" s="83"/>
      <c r="K507" s="46"/>
      <c r="L507" s="46"/>
      <c r="M507" s="46"/>
      <c r="N507" s="85"/>
    </row>
    <row r="508" spans="1:16">
      <c r="A508" s="52"/>
      <c r="B508" s="52"/>
      <c r="C508" s="38" t="s">
        <v>547</v>
      </c>
      <c r="D508" s="18" t="s">
        <v>203</v>
      </c>
      <c r="E508" s="83"/>
      <c r="F508" s="46"/>
      <c r="G508" s="46"/>
      <c r="H508" s="46"/>
      <c r="I508" s="85"/>
      <c r="J508" s="84" t="s">
        <v>546</v>
      </c>
      <c r="K508" s="46" t="s">
        <v>187</v>
      </c>
      <c r="L508" s="46"/>
      <c r="M508" s="46" t="s">
        <v>180</v>
      </c>
      <c r="N508" s="85"/>
      <c r="P508" s="90" t="s">
        <v>180</v>
      </c>
    </row>
    <row r="509" spans="1:16">
      <c r="A509" s="52"/>
      <c r="B509" s="51"/>
      <c r="C509" s="38" t="s">
        <v>759</v>
      </c>
      <c r="D509" s="18" t="s">
        <v>203</v>
      </c>
      <c r="E509" s="83"/>
      <c r="F509" s="46"/>
      <c r="G509" s="46"/>
      <c r="H509" s="46"/>
      <c r="I509" s="85"/>
      <c r="J509" s="84" t="s">
        <v>546</v>
      </c>
      <c r="K509" s="46" t="s">
        <v>187</v>
      </c>
      <c r="L509" s="46"/>
      <c r="M509" s="46" t="s">
        <v>180</v>
      </c>
      <c r="N509" s="85"/>
      <c r="P509" s="90" t="s">
        <v>180</v>
      </c>
    </row>
    <row r="510" spans="1:16">
      <c r="A510" s="39"/>
      <c r="B510" s="50" t="s">
        <v>760</v>
      </c>
      <c r="C510" s="17" t="s">
        <v>390</v>
      </c>
      <c r="D510" t="s">
        <v>176</v>
      </c>
      <c r="E510" s="81" t="s">
        <v>761</v>
      </c>
      <c r="F510" s="3" t="s">
        <v>205</v>
      </c>
      <c r="G510" s="3" t="s">
        <v>179</v>
      </c>
      <c r="H510" s="3" t="s">
        <v>180</v>
      </c>
      <c r="I510" s="43" t="s">
        <v>179</v>
      </c>
      <c r="P510" s="90" t="s">
        <v>180</v>
      </c>
    </row>
    <row r="511" spans="1:16">
      <c r="A511" s="39"/>
      <c r="B511" s="52"/>
      <c r="C511" s="17" t="s">
        <v>392</v>
      </c>
      <c r="D511" t="s">
        <v>176</v>
      </c>
      <c r="E511" s="81" t="s">
        <v>761</v>
      </c>
      <c r="F511" s="3" t="s">
        <v>246</v>
      </c>
      <c r="G511" s="3" t="s">
        <v>179</v>
      </c>
      <c r="H511" s="3" t="s">
        <v>180</v>
      </c>
      <c r="I511" s="43" t="s">
        <v>179</v>
      </c>
      <c r="P511" s="90" t="s">
        <v>180</v>
      </c>
    </row>
    <row r="512" spans="1:16">
      <c r="A512" s="39"/>
      <c r="B512" s="52"/>
      <c r="C512" s="17" t="s">
        <v>393</v>
      </c>
      <c r="D512" t="s">
        <v>176</v>
      </c>
      <c r="E512" s="81" t="s">
        <v>761</v>
      </c>
      <c r="F512" s="3" t="s">
        <v>394</v>
      </c>
      <c r="G512" s="3" t="s">
        <v>179</v>
      </c>
      <c r="H512" s="3" t="s">
        <v>180</v>
      </c>
      <c r="I512" s="43" t="s">
        <v>179</v>
      </c>
      <c r="P512" s="90" t="s">
        <v>180</v>
      </c>
    </row>
    <row r="513" spans="1:16">
      <c r="A513" s="39"/>
      <c r="B513" s="52"/>
      <c r="C513" s="17" t="s">
        <v>395</v>
      </c>
      <c r="D513" t="s">
        <v>176</v>
      </c>
      <c r="E513" s="81" t="s">
        <v>761</v>
      </c>
      <c r="F513" s="3" t="s">
        <v>183</v>
      </c>
      <c r="G513" s="3" t="s">
        <v>179</v>
      </c>
      <c r="H513" s="3" t="s">
        <v>180</v>
      </c>
      <c r="I513" s="43" t="s">
        <v>179</v>
      </c>
      <c r="P513" s="90" t="s">
        <v>180</v>
      </c>
    </row>
    <row r="514" spans="1:16">
      <c r="A514" s="39"/>
      <c r="B514" s="52"/>
      <c r="C514" s="17" t="s">
        <v>396</v>
      </c>
      <c r="D514" t="s">
        <v>176</v>
      </c>
      <c r="E514" s="81" t="s">
        <v>761</v>
      </c>
      <c r="F514" s="3" t="s">
        <v>397</v>
      </c>
      <c r="G514" s="3" t="s">
        <v>179</v>
      </c>
      <c r="H514" s="3" t="s">
        <v>180</v>
      </c>
      <c r="I514" s="43" t="s">
        <v>179</v>
      </c>
      <c r="P514" s="90" t="s">
        <v>180</v>
      </c>
    </row>
    <row r="515" spans="1:16">
      <c r="A515" s="39"/>
      <c r="B515" s="52"/>
      <c r="C515" s="17" t="s">
        <v>398</v>
      </c>
      <c r="D515" t="s">
        <v>176</v>
      </c>
      <c r="E515" s="81" t="s">
        <v>761</v>
      </c>
      <c r="F515" s="3" t="s">
        <v>267</v>
      </c>
      <c r="G515" s="3" t="s">
        <v>179</v>
      </c>
      <c r="H515" s="3" t="s">
        <v>180</v>
      </c>
      <c r="I515" s="43" t="s">
        <v>179</v>
      </c>
      <c r="P515" s="90" t="s">
        <v>180</v>
      </c>
    </row>
    <row r="516" spans="1:16">
      <c r="A516" s="39"/>
      <c r="B516" s="52"/>
      <c r="C516" s="17" t="s">
        <v>399</v>
      </c>
      <c r="D516" t="s">
        <v>176</v>
      </c>
      <c r="E516" s="81" t="s">
        <v>761</v>
      </c>
      <c r="F516" s="3" t="s">
        <v>210</v>
      </c>
      <c r="G516" s="3" t="s">
        <v>179</v>
      </c>
      <c r="H516" s="3" t="s">
        <v>180</v>
      </c>
      <c r="I516" s="43" t="s">
        <v>179</v>
      </c>
      <c r="P516" s="90" t="s">
        <v>180</v>
      </c>
    </row>
    <row r="517" spans="1:16">
      <c r="A517" s="39"/>
      <c r="B517" s="52"/>
      <c r="C517" s="17" t="s">
        <v>400</v>
      </c>
      <c r="D517" t="s">
        <v>203</v>
      </c>
      <c r="E517" s="81" t="s">
        <v>762</v>
      </c>
      <c r="F517" s="3" t="s">
        <v>205</v>
      </c>
      <c r="H517" s="3" t="s">
        <v>180</v>
      </c>
      <c r="P517" s="90" t="s">
        <v>180</v>
      </c>
    </row>
    <row r="518" spans="1:16">
      <c r="A518" s="39"/>
      <c r="B518" s="52"/>
      <c r="C518" s="17" t="s">
        <v>402</v>
      </c>
      <c r="D518" t="s">
        <v>203</v>
      </c>
      <c r="E518" s="81" t="s">
        <v>763</v>
      </c>
      <c r="F518" s="3" t="s">
        <v>205</v>
      </c>
      <c r="H518" s="3" t="s">
        <v>180</v>
      </c>
      <c r="P518" s="90" t="s">
        <v>180</v>
      </c>
    </row>
    <row r="519" spans="1:16">
      <c r="A519" s="39"/>
      <c r="B519" s="52"/>
      <c r="C519" s="17" t="s">
        <v>404</v>
      </c>
      <c r="D519" t="s">
        <v>203</v>
      </c>
      <c r="E519" s="81" t="s">
        <v>323</v>
      </c>
      <c r="F519" s="3" t="s">
        <v>205</v>
      </c>
      <c r="H519" s="3" t="s">
        <v>180</v>
      </c>
      <c r="P519" s="90" t="s">
        <v>180</v>
      </c>
    </row>
    <row r="520" spans="1:16">
      <c r="A520" s="39"/>
      <c r="B520" s="52"/>
      <c r="C520" s="17" t="s">
        <v>405</v>
      </c>
      <c r="D520" t="s">
        <v>203</v>
      </c>
      <c r="E520" s="81" t="s">
        <v>764</v>
      </c>
      <c r="F520" s="3" t="s">
        <v>205</v>
      </c>
      <c r="H520" s="3" t="s">
        <v>180</v>
      </c>
      <c r="P520" s="90" t="s">
        <v>180</v>
      </c>
    </row>
    <row r="521" spans="1:16">
      <c r="A521" s="39"/>
      <c r="B521" s="52"/>
      <c r="C521" s="17" t="s">
        <v>407</v>
      </c>
      <c r="D521" t="s">
        <v>203</v>
      </c>
      <c r="E521" s="81" t="s">
        <v>765</v>
      </c>
      <c r="F521" s="3" t="s">
        <v>205</v>
      </c>
      <c r="H521" s="3" t="s">
        <v>180</v>
      </c>
      <c r="P521" s="90" t="s">
        <v>180</v>
      </c>
    </row>
    <row r="522" spans="1:16">
      <c r="A522" s="39"/>
      <c r="B522" s="52"/>
      <c r="C522" s="17" t="s">
        <v>409</v>
      </c>
      <c r="D522" t="s">
        <v>203</v>
      </c>
      <c r="E522" s="81" t="s">
        <v>762</v>
      </c>
      <c r="F522" s="3" t="s">
        <v>246</v>
      </c>
      <c r="H522" s="3" t="s">
        <v>180</v>
      </c>
      <c r="P522" s="90" t="s">
        <v>180</v>
      </c>
    </row>
    <row r="523" spans="1:16">
      <c r="A523" s="39"/>
      <c r="B523" s="52"/>
      <c r="C523" s="17" t="s">
        <v>410</v>
      </c>
      <c r="D523" t="s">
        <v>203</v>
      </c>
      <c r="E523" s="81" t="s">
        <v>763</v>
      </c>
      <c r="F523" s="3" t="s">
        <v>246</v>
      </c>
      <c r="H523" s="3" t="s">
        <v>180</v>
      </c>
      <c r="P523" s="90" t="s">
        <v>180</v>
      </c>
    </row>
    <row r="524" spans="1:16">
      <c r="A524" s="39"/>
      <c r="B524" s="52"/>
      <c r="C524" s="17" t="s">
        <v>411</v>
      </c>
      <c r="D524" t="s">
        <v>203</v>
      </c>
      <c r="E524" s="81" t="s">
        <v>323</v>
      </c>
      <c r="F524" s="3" t="s">
        <v>246</v>
      </c>
      <c r="H524" s="3" t="s">
        <v>180</v>
      </c>
      <c r="P524" s="90" t="s">
        <v>180</v>
      </c>
    </row>
    <row r="525" spans="1:16">
      <c r="A525" s="39"/>
      <c r="B525" s="52"/>
      <c r="C525" s="17" t="s">
        <v>412</v>
      </c>
      <c r="D525" t="s">
        <v>203</v>
      </c>
      <c r="E525" s="81" t="s">
        <v>764</v>
      </c>
      <c r="F525" s="3" t="s">
        <v>246</v>
      </c>
      <c r="H525" s="3" t="s">
        <v>180</v>
      </c>
      <c r="P525" s="90" t="s">
        <v>180</v>
      </c>
    </row>
    <row r="526" spans="1:16">
      <c r="A526" s="39"/>
      <c r="B526" s="52"/>
      <c r="C526" s="17" t="s">
        <v>413</v>
      </c>
      <c r="D526" t="s">
        <v>203</v>
      </c>
      <c r="E526" s="81" t="s">
        <v>765</v>
      </c>
      <c r="F526" s="3" t="s">
        <v>246</v>
      </c>
      <c r="H526" s="3" t="s">
        <v>180</v>
      </c>
      <c r="P526" s="90" t="s">
        <v>180</v>
      </c>
    </row>
    <row r="527" spans="1:16">
      <c r="A527" s="39"/>
      <c r="B527" s="52"/>
      <c r="C527" s="17" t="s">
        <v>414</v>
      </c>
      <c r="D527" t="s">
        <v>203</v>
      </c>
      <c r="E527" s="81" t="s">
        <v>762</v>
      </c>
      <c r="F527" s="3" t="s">
        <v>394</v>
      </c>
      <c r="H527" s="3" t="s">
        <v>180</v>
      </c>
      <c r="P527" s="90" t="s">
        <v>180</v>
      </c>
    </row>
    <row r="528" spans="1:16">
      <c r="A528" s="39"/>
      <c r="B528" s="52"/>
      <c r="C528" s="17" t="s">
        <v>415</v>
      </c>
      <c r="D528" t="s">
        <v>203</v>
      </c>
      <c r="E528" s="81" t="s">
        <v>763</v>
      </c>
      <c r="F528" s="3" t="s">
        <v>394</v>
      </c>
      <c r="H528" s="3" t="s">
        <v>180</v>
      </c>
      <c r="P528" s="90" t="s">
        <v>180</v>
      </c>
    </row>
    <row r="529" spans="1:16">
      <c r="A529" s="39"/>
      <c r="B529" s="52"/>
      <c r="C529" s="17" t="s">
        <v>416</v>
      </c>
      <c r="D529" t="s">
        <v>203</v>
      </c>
      <c r="E529" s="81" t="s">
        <v>323</v>
      </c>
      <c r="F529" s="3" t="s">
        <v>394</v>
      </c>
      <c r="H529" s="3" t="s">
        <v>180</v>
      </c>
      <c r="P529" s="90" t="s">
        <v>180</v>
      </c>
    </row>
    <row r="530" spans="1:16">
      <c r="A530" s="39"/>
      <c r="B530" s="52"/>
      <c r="C530" s="17" t="s">
        <v>417</v>
      </c>
      <c r="D530" t="s">
        <v>203</v>
      </c>
      <c r="E530" s="81" t="s">
        <v>764</v>
      </c>
      <c r="F530" s="3" t="s">
        <v>394</v>
      </c>
      <c r="H530" s="3" t="s">
        <v>180</v>
      </c>
      <c r="P530" s="90" t="s">
        <v>180</v>
      </c>
    </row>
    <row r="531" spans="1:16">
      <c r="A531" s="39"/>
      <c r="B531" s="52"/>
      <c r="C531" s="17" t="s">
        <v>418</v>
      </c>
      <c r="D531" t="s">
        <v>203</v>
      </c>
      <c r="E531" s="81" t="s">
        <v>765</v>
      </c>
      <c r="F531" s="3" t="s">
        <v>394</v>
      </c>
      <c r="H531" s="3" t="s">
        <v>180</v>
      </c>
      <c r="P531" s="90" t="s">
        <v>180</v>
      </c>
    </row>
    <row r="532" spans="1:16">
      <c r="A532" s="39"/>
      <c r="B532" s="52"/>
      <c r="C532" s="17" t="s">
        <v>419</v>
      </c>
      <c r="D532" t="s">
        <v>203</v>
      </c>
      <c r="E532" s="81" t="s">
        <v>762</v>
      </c>
      <c r="F532" s="3" t="s">
        <v>183</v>
      </c>
      <c r="H532" s="3" t="s">
        <v>180</v>
      </c>
      <c r="P532" s="90" t="s">
        <v>180</v>
      </c>
    </row>
    <row r="533" spans="1:16">
      <c r="A533" s="39"/>
      <c r="B533" s="52"/>
      <c r="C533" s="17" t="s">
        <v>420</v>
      </c>
      <c r="D533" t="s">
        <v>203</v>
      </c>
      <c r="E533" s="81" t="s">
        <v>763</v>
      </c>
      <c r="F533" s="3" t="s">
        <v>183</v>
      </c>
      <c r="H533" s="3" t="s">
        <v>180</v>
      </c>
      <c r="P533" s="90" t="s">
        <v>180</v>
      </c>
    </row>
    <row r="534" spans="1:16">
      <c r="A534" s="39"/>
      <c r="B534" s="52"/>
      <c r="C534" s="17" t="s">
        <v>421</v>
      </c>
      <c r="D534" t="s">
        <v>203</v>
      </c>
      <c r="E534" s="81" t="s">
        <v>323</v>
      </c>
      <c r="F534" s="3" t="s">
        <v>183</v>
      </c>
      <c r="H534" s="3" t="s">
        <v>180</v>
      </c>
      <c r="P534" s="90" t="s">
        <v>180</v>
      </c>
    </row>
    <row r="535" spans="1:16">
      <c r="A535" s="39"/>
      <c r="B535" s="52"/>
      <c r="C535" s="17" t="s">
        <v>422</v>
      </c>
      <c r="D535" t="s">
        <v>203</v>
      </c>
      <c r="E535" s="81" t="s">
        <v>764</v>
      </c>
      <c r="F535" s="3" t="s">
        <v>183</v>
      </c>
      <c r="H535" s="3" t="s">
        <v>180</v>
      </c>
      <c r="P535" s="90" t="s">
        <v>180</v>
      </c>
    </row>
    <row r="536" spans="1:16">
      <c r="A536" s="39"/>
      <c r="B536" s="52"/>
      <c r="C536" s="17" t="s">
        <v>423</v>
      </c>
      <c r="D536" t="s">
        <v>203</v>
      </c>
      <c r="E536" s="81" t="s">
        <v>765</v>
      </c>
      <c r="F536" s="3" t="s">
        <v>183</v>
      </c>
      <c r="H536" s="3" t="s">
        <v>180</v>
      </c>
      <c r="P536" s="90" t="s">
        <v>180</v>
      </c>
    </row>
    <row r="537" spans="1:16">
      <c r="A537" s="39"/>
      <c r="B537" s="52"/>
      <c r="C537" s="17" t="s">
        <v>424</v>
      </c>
      <c r="D537" t="s">
        <v>203</v>
      </c>
      <c r="E537" s="81" t="s">
        <v>762</v>
      </c>
      <c r="F537" s="3" t="s">
        <v>397</v>
      </c>
      <c r="H537" s="3" t="s">
        <v>180</v>
      </c>
      <c r="P537" s="90" t="s">
        <v>180</v>
      </c>
    </row>
    <row r="538" spans="1:16">
      <c r="A538" s="39"/>
      <c r="B538" s="52"/>
      <c r="C538" s="17" t="s">
        <v>425</v>
      </c>
      <c r="D538" t="s">
        <v>203</v>
      </c>
      <c r="E538" s="81" t="s">
        <v>763</v>
      </c>
      <c r="F538" s="3" t="s">
        <v>397</v>
      </c>
      <c r="H538" s="3" t="s">
        <v>180</v>
      </c>
      <c r="P538" s="90" t="s">
        <v>180</v>
      </c>
    </row>
    <row r="539" spans="1:16">
      <c r="A539" s="39"/>
      <c r="B539" s="52"/>
      <c r="C539" s="17" t="s">
        <v>426</v>
      </c>
      <c r="D539" t="s">
        <v>203</v>
      </c>
      <c r="E539" s="81" t="s">
        <v>323</v>
      </c>
      <c r="F539" s="3" t="s">
        <v>397</v>
      </c>
      <c r="H539" s="3" t="s">
        <v>180</v>
      </c>
      <c r="P539" s="90" t="s">
        <v>180</v>
      </c>
    </row>
    <row r="540" spans="1:16">
      <c r="A540" s="39"/>
      <c r="B540" s="52"/>
      <c r="C540" s="17" t="s">
        <v>427</v>
      </c>
      <c r="D540" t="s">
        <v>203</v>
      </c>
      <c r="E540" s="81" t="s">
        <v>764</v>
      </c>
      <c r="F540" s="3" t="s">
        <v>397</v>
      </c>
      <c r="H540" s="3" t="s">
        <v>180</v>
      </c>
      <c r="P540" s="90" t="s">
        <v>180</v>
      </c>
    </row>
    <row r="541" spans="1:16">
      <c r="A541" s="39"/>
      <c r="B541" s="52"/>
      <c r="C541" s="17" t="s">
        <v>428</v>
      </c>
      <c r="D541" t="s">
        <v>203</v>
      </c>
      <c r="E541" s="81" t="s">
        <v>765</v>
      </c>
      <c r="F541" s="3" t="s">
        <v>397</v>
      </c>
      <c r="H541" s="3" t="s">
        <v>180</v>
      </c>
      <c r="P541" s="90" t="s">
        <v>180</v>
      </c>
    </row>
    <row r="542" spans="1:16">
      <c r="A542" s="39"/>
      <c r="B542" s="52"/>
      <c r="C542" s="17" t="s">
        <v>429</v>
      </c>
      <c r="D542" t="s">
        <v>203</v>
      </c>
      <c r="E542" s="81" t="s">
        <v>762</v>
      </c>
      <c r="F542" s="3" t="s">
        <v>267</v>
      </c>
      <c r="H542" s="3" t="s">
        <v>180</v>
      </c>
      <c r="P542" s="90" t="s">
        <v>180</v>
      </c>
    </row>
    <row r="543" spans="1:16">
      <c r="A543" s="39"/>
      <c r="B543" s="52"/>
      <c r="C543" s="17" t="s">
        <v>430</v>
      </c>
      <c r="D543" t="s">
        <v>203</v>
      </c>
      <c r="E543" s="81" t="s">
        <v>763</v>
      </c>
      <c r="F543" s="3" t="s">
        <v>267</v>
      </c>
      <c r="H543" s="3" t="s">
        <v>180</v>
      </c>
      <c r="P543" s="90" t="s">
        <v>180</v>
      </c>
    </row>
    <row r="544" spans="1:16">
      <c r="A544" s="39"/>
      <c r="B544" s="52"/>
      <c r="C544" s="17" t="s">
        <v>431</v>
      </c>
      <c r="D544" t="s">
        <v>203</v>
      </c>
      <c r="E544" s="81" t="s">
        <v>323</v>
      </c>
      <c r="F544" s="3" t="s">
        <v>267</v>
      </c>
      <c r="H544" s="3" t="s">
        <v>180</v>
      </c>
      <c r="P544" s="90" t="s">
        <v>180</v>
      </c>
    </row>
    <row r="545" spans="1:16">
      <c r="A545" s="39"/>
      <c r="B545" s="52"/>
      <c r="C545" s="17" t="s">
        <v>432</v>
      </c>
      <c r="D545" t="s">
        <v>203</v>
      </c>
      <c r="E545" s="81" t="s">
        <v>764</v>
      </c>
      <c r="F545" s="3" t="s">
        <v>267</v>
      </c>
      <c r="H545" s="3" t="s">
        <v>180</v>
      </c>
      <c r="P545" s="90" t="s">
        <v>180</v>
      </c>
    </row>
    <row r="546" spans="1:16">
      <c r="A546" s="39"/>
      <c r="B546" s="52"/>
      <c r="C546" s="17" t="s">
        <v>433</v>
      </c>
      <c r="D546" t="s">
        <v>203</v>
      </c>
      <c r="E546" s="81" t="s">
        <v>765</v>
      </c>
      <c r="F546" s="3" t="s">
        <v>267</v>
      </c>
      <c r="H546" s="3" t="s">
        <v>180</v>
      </c>
      <c r="P546" s="90" t="s">
        <v>180</v>
      </c>
    </row>
    <row r="547" spans="1:16">
      <c r="A547" s="39"/>
      <c r="B547" s="52"/>
      <c r="C547" s="17" t="s">
        <v>434</v>
      </c>
      <c r="D547" t="s">
        <v>203</v>
      </c>
      <c r="E547" s="81" t="s">
        <v>762</v>
      </c>
      <c r="F547" s="3" t="s">
        <v>210</v>
      </c>
      <c r="H547" s="3" t="s">
        <v>180</v>
      </c>
      <c r="P547" s="90" t="s">
        <v>180</v>
      </c>
    </row>
    <row r="548" spans="1:16">
      <c r="A548" s="39"/>
      <c r="B548" s="52"/>
      <c r="C548" s="17" t="s">
        <v>435</v>
      </c>
      <c r="D548" t="s">
        <v>203</v>
      </c>
      <c r="E548" s="81" t="s">
        <v>763</v>
      </c>
      <c r="F548" s="3" t="s">
        <v>210</v>
      </c>
      <c r="H548" s="3" t="s">
        <v>180</v>
      </c>
      <c r="P548" s="90" t="s">
        <v>180</v>
      </c>
    </row>
    <row r="549" spans="1:16">
      <c r="A549" s="39"/>
      <c r="B549" s="52"/>
      <c r="C549" s="17" t="s">
        <v>436</v>
      </c>
      <c r="D549" t="s">
        <v>203</v>
      </c>
      <c r="E549" s="81" t="s">
        <v>323</v>
      </c>
      <c r="F549" s="3" t="s">
        <v>210</v>
      </c>
      <c r="H549" s="3" t="s">
        <v>180</v>
      </c>
      <c r="P549" s="90" t="s">
        <v>180</v>
      </c>
    </row>
    <row r="550" spans="1:16">
      <c r="A550" s="39"/>
      <c r="B550" s="52"/>
      <c r="C550" s="17" t="s">
        <v>437</v>
      </c>
      <c r="D550" t="s">
        <v>203</v>
      </c>
      <c r="E550" s="81" t="s">
        <v>764</v>
      </c>
      <c r="F550" s="3" t="s">
        <v>210</v>
      </c>
      <c r="H550" s="3" t="s">
        <v>180</v>
      </c>
      <c r="P550" s="90" t="s">
        <v>180</v>
      </c>
    </row>
    <row r="551" spans="1:16">
      <c r="A551" s="39"/>
      <c r="B551" s="52"/>
      <c r="C551" s="17" t="s">
        <v>438</v>
      </c>
      <c r="D551" t="s">
        <v>203</v>
      </c>
      <c r="E551" s="81" t="s">
        <v>765</v>
      </c>
      <c r="F551" s="3" t="s">
        <v>210</v>
      </c>
      <c r="H551" s="3" t="s">
        <v>180</v>
      </c>
      <c r="P551" s="90" t="s">
        <v>180</v>
      </c>
    </row>
    <row r="552" spans="1:16">
      <c r="A552" s="39"/>
      <c r="B552" s="52"/>
      <c r="C552" s="17" t="s">
        <v>439</v>
      </c>
    </row>
    <row r="553" spans="1:16">
      <c r="A553" s="39"/>
      <c r="B553" s="52"/>
      <c r="C553" s="17" t="s">
        <v>440</v>
      </c>
    </row>
    <row r="554" spans="1:16">
      <c r="A554" s="39"/>
      <c r="B554" s="52"/>
      <c r="C554" s="17" t="s">
        <v>441</v>
      </c>
    </row>
    <row r="555" spans="1:16">
      <c r="A555" s="39"/>
      <c r="B555" s="52"/>
      <c r="C555" s="17" t="s">
        <v>442</v>
      </c>
    </row>
    <row r="556" spans="1:16">
      <c r="A556" s="39"/>
      <c r="B556" s="52"/>
      <c r="C556" s="17" t="s">
        <v>443</v>
      </c>
    </row>
    <row r="557" spans="1:16">
      <c r="A557" s="39"/>
      <c r="B557" s="52"/>
      <c r="C557" s="17" t="s">
        <v>444</v>
      </c>
    </row>
    <row r="558" spans="1:16">
      <c r="A558" s="39"/>
      <c r="B558" s="52"/>
      <c r="C558" s="17" t="s">
        <v>445</v>
      </c>
    </row>
    <row r="559" spans="1:16">
      <c r="A559" s="39"/>
      <c r="B559" s="52"/>
      <c r="C559" s="17" t="s">
        <v>446</v>
      </c>
    </row>
    <row r="560" spans="1:16">
      <c r="A560" s="39"/>
      <c r="B560" s="52"/>
      <c r="C560" s="17" t="s">
        <v>447</v>
      </c>
    </row>
    <row r="561" spans="1:3">
      <c r="A561" s="39"/>
      <c r="B561" s="52"/>
      <c r="C561" s="17" t="s">
        <v>448</v>
      </c>
    </row>
    <row r="562" spans="1:3">
      <c r="A562" s="39"/>
      <c r="B562" s="52"/>
      <c r="C562" s="17" t="s">
        <v>449</v>
      </c>
    </row>
    <row r="563" spans="1:3">
      <c r="A563" s="39"/>
      <c r="B563" s="52"/>
      <c r="C563" s="17" t="s">
        <v>450</v>
      </c>
    </row>
    <row r="564" spans="1:3">
      <c r="A564" s="39"/>
      <c r="B564" s="52"/>
      <c r="C564" s="17" t="s">
        <v>451</v>
      </c>
    </row>
    <row r="565" spans="1:3">
      <c r="A565" s="39"/>
      <c r="B565" s="52"/>
      <c r="C565" s="17" t="s">
        <v>452</v>
      </c>
    </row>
    <row r="566" spans="1:3">
      <c r="A566" s="39"/>
      <c r="B566" s="52"/>
      <c r="C566" s="17" t="s">
        <v>453</v>
      </c>
    </row>
    <row r="567" spans="1:3">
      <c r="A567" s="39"/>
      <c r="B567" s="52"/>
      <c r="C567" s="17" t="s">
        <v>454</v>
      </c>
    </row>
    <row r="568" spans="1:3">
      <c r="A568" s="39"/>
      <c r="B568" s="52"/>
      <c r="C568" s="17" t="s">
        <v>455</v>
      </c>
    </row>
    <row r="569" spans="1:3">
      <c r="A569" s="39"/>
      <c r="B569" s="52"/>
      <c r="C569" s="17" t="s">
        <v>456</v>
      </c>
    </row>
    <row r="570" spans="1:3">
      <c r="A570" s="39"/>
      <c r="B570" s="52"/>
      <c r="C570" s="17" t="s">
        <v>457</v>
      </c>
    </row>
    <row r="571" spans="1:3">
      <c r="A571" s="39"/>
      <c r="B571" s="52"/>
      <c r="C571" s="17" t="s">
        <v>458</v>
      </c>
    </row>
    <row r="572" spans="1:3">
      <c r="A572" s="39"/>
      <c r="B572" s="52"/>
      <c r="C572" s="17" t="s">
        <v>459</v>
      </c>
    </row>
    <row r="573" spans="1:3">
      <c r="A573" s="39"/>
      <c r="B573" s="52"/>
      <c r="C573" s="17" t="s">
        <v>460</v>
      </c>
    </row>
    <row r="574" spans="1:3">
      <c r="A574" s="39"/>
      <c r="B574" s="52"/>
      <c r="C574" s="17" t="s">
        <v>461</v>
      </c>
    </row>
    <row r="575" spans="1:3">
      <c r="A575" s="39"/>
      <c r="B575" s="52"/>
      <c r="C575" s="17" t="s">
        <v>462</v>
      </c>
    </row>
    <row r="576" spans="1:3">
      <c r="A576" s="39"/>
      <c r="B576" s="52"/>
      <c r="C576" s="17" t="s">
        <v>463</v>
      </c>
    </row>
    <row r="577" spans="1:3">
      <c r="A577" s="39"/>
      <c r="B577" s="52"/>
      <c r="C577" s="17" t="s">
        <v>464</v>
      </c>
    </row>
    <row r="578" spans="1:3">
      <c r="A578" s="39"/>
      <c r="B578" s="52"/>
      <c r="C578" s="17" t="s">
        <v>465</v>
      </c>
    </row>
    <row r="579" spans="1:3">
      <c r="A579" s="39"/>
      <c r="B579" s="52"/>
      <c r="C579" s="17" t="s">
        <v>466</v>
      </c>
    </row>
    <row r="580" spans="1:3">
      <c r="A580" s="39"/>
      <c r="B580" s="52"/>
      <c r="C580" s="17" t="s">
        <v>467</v>
      </c>
    </row>
    <row r="581" spans="1:3">
      <c r="A581" s="39"/>
      <c r="B581" s="52"/>
      <c r="C581" s="17" t="s">
        <v>468</v>
      </c>
    </row>
    <row r="582" spans="1:3">
      <c r="A582" s="39"/>
      <c r="B582" s="52"/>
      <c r="C582" s="17" t="s">
        <v>469</v>
      </c>
    </row>
    <row r="583" spans="1:3">
      <c r="A583" s="39"/>
      <c r="B583" s="52"/>
      <c r="C583" s="17" t="s">
        <v>470</v>
      </c>
    </row>
    <row r="584" spans="1:3">
      <c r="A584" s="39"/>
      <c r="B584" s="52"/>
      <c r="C584" s="17" t="s">
        <v>471</v>
      </c>
    </row>
    <row r="585" spans="1:3">
      <c r="A585" s="39"/>
      <c r="B585" s="52"/>
      <c r="C585" s="17" t="s">
        <v>472</v>
      </c>
    </row>
    <row r="586" spans="1:3">
      <c r="A586" s="39"/>
      <c r="B586" s="52"/>
      <c r="C586" s="17" t="s">
        <v>473</v>
      </c>
    </row>
    <row r="587" spans="1:3">
      <c r="A587" s="39"/>
      <c r="B587" s="52"/>
      <c r="C587" s="17" t="s">
        <v>474</v>
      </c>
    </row>
    <row r="588" spans="1:3">
      <c r="A588" s="39"/>
      <c r="B588" s="52"/>
      <c r="C588" s="17" t="s">
        <v>475</v>
      </c>
    </row>
    <row r="589" spans="1:3">
      <c r="A589" s="39"/>
      <c r="B589" s="52"/>
      <c r="C589" s="17" t="s">
        <v>476</v>
      </c>
    </row>
    <row r="590" spans="1:3">
      <c r="A590" s="39"/>
      <c r="B590" s="52"/>
      <c r="C590" s="17" t="s">
        <v>477</v>
      </c>
    </row>
    <row r="591" spans="1:3">
      <c r="A591" s="39"/>
      <c r="B591" s="52"/>
      <c r="C591" s="17" t="s">
        <v>478</v>
      </c>
    </row>
    <row r="592" spans="1:3">
      <c r="A592" s="39"/>
      <c r="B592" s="52"/>
      <c r="C592" s="17" t="s">
        <v>479</v>
      </c>
    </row>
    <row r="593" spans="1:16">
      <c r="A593" s="39"/>
      <c r="B593" s="52"/>
      <c r="C593" s="17" t="s">
        <v>480</v>
      </c>
    </row>
    <row r="594" spans="1:16">
      <c r="A594" s="39"/>
      <c r="B594" s="52"/>
      <c r="C594" s="17" t="s">
        <v>481</v>
      </c>
    </row>
    <row r="595" spans="1:16">
      <c r="A595" s="39"/>
      <c r="B595" s="52"/>
      <c r="C595" s="17" t="s">
        <v>482</v>
      </c>
    </row>
    <row r="596" spans="1:16">
      <c r="A596" s="39"/>
      <c r="B596" s="52"/>
      <c r="C596" s="17" t="s">
        <v>483</v>
      </c>
    </row>
    <row r="597" spans="1:16">
      <c r="A597" s="39"/>
      <c r="B597" s="52"/>
      <c r="C597" s="17" t="s">
        <v>390</v>
      </c>
      <c r="D597" t="s">
        <v>176</v>
      </c>
      <c r="J597" s="81" t="s">
        <v>761</v>
      </c>
      <c r="K597" s="3" t="s">
        <v>205</v>
      </c>
      <c r="L597" s="3" t="s">
        <v>179</v>
      </c>
      <c r="M597" s="3" t="s">
        <v>180</v>
      </c>
      <c r="N597" s="43" t="s">
        <v>179</v>
      </c>
      <c r="P597" s="90" t="s">
        <v>180</v>
      </c>
    </row>
    <row r="598" spans="1:16">
      <c r="A598" s="39"/>
      <c r="B598" s="52"/>
      <c r="C598" s="17" t="s">
        <v>392</v>
      </c>
      <c r="D598" t="s">
        <v>176</v>
      </c>
      <c r="J598" s="81" t="s">
        <v>761</v>
      </c>
      <c r="K598" s="3" t="s">
        <v>246</v>
      </c>
      <c r="L598" s="3" t="s">
        <v>179</v>
      </c>
      <c r="M598" s="3" t="s">
        <v>180</v>
      </c>
      <c r="N598" s="43" t="s">
        <v>179</v>
      </c>
      <c r="P598" s="90" t="s">
        <v>180</v>
      </c>
    </row>
    <row r="599" spans="1:16">
      <c r="A599" s="39"/>
      <c r="B599" s="52"/>
      <c r="C599" s="17" t="s">
        <v>393</v>
      </c>
      <c r="D599" t="s">
        <v>176</v>
      </c>
      <c r="J599" s="81" t="s">
        <v>761</v>
      </c>
      <c r="K599" s="3" t="s">
        <v>394</v>
      </c>
      <c r="L599" s="3" t="s">
        <v>179</v>
      </c>
      <c r="M599" s="3" t="s">
        <v>180</v>
      </c>
      <c r="N599" s="43" t="s">
        <v>179</v>
      </c>
      <c r="P599" s="90" t="s">
        <v>180</v>
      </c>
    </row>
    <row r="600" spans="1:16">
      <c r="A600" s="39"/>
      <c r="B600" s="52"/>
      <c r="C600" s="17" t="s">
        <v>395</v>
      </c>
      <c r="D600" t="s">
        <v>176</v>
      </c>
      <c r="J600" s="81" t="s">
        <v>761</v>
      </c>
      <c r="K600" s="3" t="s">
        <v>183</v>
      </c>
      <c r="L600" s="3" t="s">
        <v>179</v>
      </c>
      <c r="M600" s="3" t="s">
        <v>180</v>
      </c>
      <c r="N600" s="43" t="s">
        <v>179</v>
      </c>
      <c r="P600" s="90" t="s">
        <v>180</v>
      </c>
    </row>
    <row r="601" spans="1:16">
      <c r="A601" s="39"/>
      <c r="B601" s="52"/>
      <c r="C601" s="17" t="s">
        <v>396</v>
      </c>
      <c r="D601" t="s">
        <v>176</v>
      </c>
      <c r="J601" s="81" t="s">
        <v>761</v>
      </c>
      <c r="K601" s="3" t="s">
        <v>397</v>
      </c>
      <c r="L601" s="3" t="s">
        <v>179</v>
      </c>
      <c r="M601" s="3" t="s">
        <v>180</v>
      </c>
      <c r="N601" s="43" t="s">
        <v>179</v>
      </c>
      <c r="P601" s="90" t="s">
        <v>180</v>
      </c>
    </row>
    <row r="602" spans="1:16">
      <c r="A602" s="39"/>
      <c r="B602" s="52"/>
      <c r="C602" s="17" t="s">
        <v>398</v>
      </c>
      <c r="D602" t="s">
        <v>176</v>
      </c>
      <c r="J602" s="81" t="s">
        <v>761</v>
      </c>
      <c r="K602" s="3" t="s">
        <v>267</v>
      </c>
      <c r="L602" s="3" t="s">
        <v>179</v>
      </c>
      <c r="M602" s="3" t="s">
        <v>180</v>
      </c>
      <c r="N602" s="43" t="s">
        <v>179</v>
      </c>
      <c r="P602" s="90" t="s">
        <v>180</v>
      </c>
    </row>
    <row r="603" spans="1:16">
      <c r="A603" s="39"/>
      <c r="B603" s="52"/>
      <c r="C603" s="17" t="s">
        <v>399</v>
      </c>
      <c r="D603" t="s">
        <v>176</v>
      </c>
      <c r="J603" s="81" t="s">
        <v>761</v>
      </c>
      <c r="K603" s="3" t="s">
        <v>210</v>
      </c>
      <c r="L603" s="3" t="s">
        <v>179</v>
      </c>
      <c r="M603" s="3" t="s">
        <v>180</v>
      </c>
      <c r="N603" s="43" t="s">
        <v>179</v>
      </c>
      <c r="P603" s="90" t="s">
        <v>180</v>
      </c>
    </row>
    <row r="604" spans="1:16">
      <c r="A604" s="39"/>
      <c r="B604" s="52"/>
      <c r="C604" s="17" t="s">
        <v>400</v>
      </c>
      <c r="D604" t="s">
        <v>203</v>
      </c>
      <c r="J604" s="81" t="s">
        <v>762</v>
      </c>
      <c r="K604" s="3" t="s">
        <v>205</v>
      </c>
      <c r="L604" s="3"/>
      <c r="M604" s="3" t="s">
        <v>180</v>
      </c>
      <c r="N604" s="43"/>
      <c r="P604" s="90" t="s">
        <v>180</v>
      </c>
    </row>
    <row r="605" spans="1:16">
      <c r="A605" s="39"/>
      <c r="B605" s="52"/>
      <c r="C605" s="17" t="s">
        <v>402</v>
      </c>
      <c r="D605" t="s">
        <v>203</v>
      </c>
      <c r="J605" s="81" t="s">
        <v>763</v>
      </c>
      <c r="K605" s="3" t="s">
        <v>205</v>
      </c>
      <c r="L605" s="3"/>
      <c r="M605" s="3" t="s">
        <v>180</v>
      </c>
      <c r="N605" s="43"/>
      <c r="P605" s="90" t="s">
        <v>180</v>
      </c>
    </row>
    <row r="606" spans="1:16">
      <c r="A606" s="39"/>
      <c r="B606" s="52"/>
      <c r="C606" s="17" t="s">
        <v>404</v>
      </c>
      <c r="D606" t="s">
        <v>203</v>
      </c>
      <c r="J606" s="81" t="s">
        <v>323</v>
      </c>
      <c r="K606" s="3" t="s">
        <v>205</v>
      </c>
      <c r="L606" s="3"/>
      <c r="M606" s="3" t="s">
        <v>180</v>
      </c>
      <c r="N606" s="43"/>
      <c r="P606" s="90" t="s">
        <v>180</v>
      </c>
    </row>
    <row r="607" spans="1:16">
      <c r="A607" s="39"/>
      <c r="B607" s="52"/>
      <c r="C607" s="17" t="s">
        <v>405</v>
      </c>
      <c r="D607" t="s">
        <v>203</v>
      </c>
      <c r="J607" s="81" t="s">
        <v>764</v>
      </c>
      <c r="K607" s="3" t="s">
        <v>205</v>
      </c>
      <c r="L607" s="3"/>
      <c r="M607" s="3" t="s">
        <v>180</v>
      </c>
      <c r="N607" s="43"/>
      <c r="P607" s="90" t="s">
        <v>180</v>
      </c>
    </row>
    <row r="608" spans="1:16">
      <c r="A608" s="39"/>
      <c r="B608" s="52"/>
      <c r="C608" s="17" t="s">
        <v>407</v>
      </c>
      <c r="D608" t="s">
        <v>203</v>
      </c>
      <c r="J608" s="81" t="s">
        <v>765</v>
      </c>
      <c r="K608" s="3" t="s">
        <v>205</v>
      </c>
      <c r="L608" s="3"/>
      <c r="M608" s="3" t="s">
        <v>180</v>
      </c>
      <c r="N608" s="43"/>
      <c r="P608" s="90" t="s">
        <v>180</v>
      </c>
    </row>
    <row r="609" spans="1:16">
      <c r="A609" s="39"/>
      <c r="B609" s="52"/>
      <c r="C609" s="17" t="s">
        <v>409</v>
      </c>
      <c r="D609" t="s">
        <v>203</v>
      </c>
      <c r="J609" s="81" t="s">
        <v>762</v>
      </c>
      <c r="K609" s="3" t="s">
        <v>246</v>
      </c>
      <c r="L609" s="3"/>
      <c r="M609" s="3" t="s">
        <v>180</v>
      </c>
      <c r="N609" s="43"/>
      <c r="P609" s="90" t="s">
        <v>180</v>
      </c>
    </row>
    <row r="610" spans="1:16">
      <c r="A610" s="39"/>
      <c r="B610" s="52"/>
      <c r="C610" s="17" t="s">
        <v>410</v>
      </c>
      <c r="D610" t="s">
        <v>203</v>
      </c>
      <c r="J610" s="81" t="s">
        <v>763</v>
      </c>
      <c r="K610" s="3" t="s">
        <v>246</v>
      </c>
      <c r="L610" s="3"/>
      <c r="M610" s="3" t="s">
        <v>180</v>
      </c>
      <c r="N610" s="43"/>
      <c r="P610" s="90" t="s">
        <v>180</v>
      </c>
    </row>
    <row r="611" spans="1:16">
      <c r="A611" s="39"/>
      <c r="B611" s="52"/>
      <c r="C611" s="17" t="s">
        <v>411</v>
      </c>
      <c r="D611" t="s">
        <v>203</v>
      </c>
      <c r="J611" s="81" t="s">
        <v>323</v>
      </c>
      <c r="K611" s="3" t="s">
        <v>246</v>
      </c>
      <c r="L611" s="3"/>
      <c r="M611" s="3" t="s">
        <v>180</v>
      </c>
      <c r="N611" s="43"/>
      <c r="P611" s="90" t="s">
        <v>180</v>
      </c>
    </row>
    <row r="612" spans="1:16">
      <c r="A612" s="39"/>
      <c r="B612" s="52"/>
      <c r="C612" s="17" t="s">
        <v>412</v>
      </c>
      <c r="D612" t="s">
        <v>203</v>
      </c>
      <c r="J612" s="81" t="s">
        <v>764</v>
      </c>
      <c r="K612" s="3" t="s">
        <v>246</v>
      </c>
      <c r="L612" s="3"/>
      <c r="M612" s="3" t="s">
        <v>180</v>
      </c>
      <c r="N612" s="43"/>
      <c r="P612" s="90" t="s">
        <v>180</v>
      </c>
    </row>
    <row r="613" spans="1:16">
      <c r="A613" s="39"/>
      <c r="B613" s="52"/>
      <c r="C613" s="17" t="s">
        <v>413</v>
      </c>
      <c r="D613" t="s">
        <v>203</v>
      </c>
      <c r="J613" s="81" t="s">
        <v>765</v>
      </c>
      <c r="K613" s="3" t="s">
        <v>246</v>
      </c>
      <c r="L613" s="3"/>
      <c r="M613" s="3" t="s">
        <v>180</v>
      </c>
      <c r="N613" s="43"/>
      <c r="P613" s="90" t="s">
        <v>180</v>
      </c>
    </row>
    <row r="614" spans="1:16">
      <c r="A614" s="39"/>
      <c r="B614" s="52"/>
      <c r="C614" s="17" t="s">
        <v>414</v>
      </c>
      <c r="D614" t="s">
        <v>203</v>
      </c>
      <c r="J614" s="81" t="s">
        <v>762</v>
      </c>
      <c r="K614" s="3" t="s">
        <v>394</v>
      </c>
      <c r="L614" s="3"/>
      <c r="M614" s="3" t="s">
        <v>180</v>
      </c>
      <c r="N614" s="43"/>
      <c r="P614" s="90" t="s">
        <v>180</v>
      </c>
    </row>
    <row r="615" spans="1:16">
      <c r="A615" s="39"/>
      <c r="B615" s="52"/>
      <c r="C615" s="17" t="s">
        <v>415</v>
      </c>
      <c r="D615" t="s">
        <v>203</v>
      </c>
      <c r="J615" s="81" t="s">
        <v>763</v>
      </c>
      <c r="K615" s="3" t="s">
        <v>394</v>
      </c>
      <c r="L615" s="3"/>
      <c r="M615" s="3" t="s">
        <v>180</v>
      </c>
      <c r="N615" s="43"/>
      <c r="P615" s="90" t="s">
        <v>180</v>
      </c>
    </row>
    <row r="616" spans="1:16">
      <c r="A616" s="39"/>
      <c r="B616" s="52"/>
      <c r="C616" s="17" t="s">
        <v>416</v>
      </c>
      <c r="D616" t="s">
        <v>203</v>
      </c>
      <c r="J616" s="81" t="s">
        <v>323</v>
      </c>
      <c r="K616" s="3" t="s">
        <v>394</v>
      </c>
      <c r="L616" s="3"/>
      <c r="M616" s="3" t="s">
        <v>180</v>
      </c>
      <c r="N616" s="43"/>
      <c r="P616" s="90" t="s">
        <v>180</v>
      </c>
    </row>
    <row r="617" spans="1:16">
      <c r="A617" s="39"/>
      <c r="B617" s="52"/>
      <c r="C617" s="17" t="s">
        <v>417</v>
      </c>
      <c r="D617" t="s">
        <v>203</v>
      </c>
      <c r="J617" s="81" t="s">
        <v>764</v>
      </c>
      <c r="K617" s="3" t="s">
        <v>394</v>
      </c>
      <c r="L617" s="3"/>
      <c r="M617" s="3" t="s">
        <v>180</v>
      </c>
      <c r="N617" s="43"/>
      <c r="P617" s="90" t="s">
        <v>180</v>
      </c>
    </row>
    <row r="618" spans="1:16">
      <c r="A618" s="39"/>
      <c r="B618" s="52"/>
      <c r="C618" s="17" t="s">
        <v>418</v>
      </c>
      <c r="D618" t="s">
        <v>203</v>
      </c>
      <c r="J618" s="81" t="s">
        <v>765</v>
      </c>
      <c r="K618" s="3" t="s">
        <v>394</v>
      </c>
      <c r="L618" s="3"/>
      <c r="M618" s="3" t="s">
        <v>180</v>
      </c>
      <c r="N618" s="43"/>
      <c r="P618" s="90" t="s">
        <v>180</v>
      </c>
    </row>
    <row r="619" spans="1:16">
      <c r="A619" s="39"/>
      <c r="B619" s="52"/>
      <c r="C619" s="17" t="s">
        <v>419</v>
      </c>
      <c r="D619" t="s">
        <v>203</v>
      </c>
      <c r="J619" s="81" t="s">
        <v>762</v>
      </c>
      <c r="K619" s="3" t="s">
        <v>183</v>
      </c>
      <c r="L619" s="3"/>
      <c r="M619" s="3" t="s">
        <v>180</v>
      </c>
      <c r="N619" s="43"/>
      <c r="P619" s="90" t="s">
        <v>180</v>
      </c>
    </row>
    <row r="620" spans="1:16">
      <c r="A620" s="39"/>
      <c r="B620" s="52"/>
      <c r="C620" s="17" t="s">
        <v>420</v>
      </c>
      <c r="D620" t="s">
        <v>203</v>
      </c>
      <c r="J620" s="81" t="s">
        <v>763</v>
      </c>
      <c r="K620" s="3" t="s">
        <v>183</v>
      </c>
      <c r="L620" s="3"/>
      <c r="M620" s="3" t="s">
        <v>180</v>
      </c>
      <c r="N620" s="43"/>
      <c r="P620" s="90" t="s">
        <v>180</v>
      </c>
    </row>
    <row r="621" spans="1:16">
      <c r="A621" s="39"/>
      <c r="B621" s="52"/>
      <c r="C621" s="17" t="s">
        <v>421</v>
      </c>
      <c r="D621" t="s">
        <v>203</v>
      </c>
      <c r="J621" s="81" t="s">
        <v>323</v>
      </c>
      <c r="K621" s="3" t="s">
        <v>183</v>
      </c>
      <c r="L621" s="3"/>
      <c r="M621" s="3" t="s">
        <v>180</v>
      </c>
      <c r="N621" s="43"/>
      <c r="P621" s="90" t="s">
        <v>180</v>
      </c>
    </row>
    <row r="622" spans="1:16">
      <c r="A622" s="39"/>
      <c r="B622" s="52"/>
      <c r="C622" s="17" t="s">
        <v>422</v>
      </c>
      <c r="D622" t="s">
        <v>203</v>
      </c>
      <c r="J622" s="81" t="s">
        <v>764</v>
      </c>
      <c r="K622" s="3" t="s">
        <v>183</v>
      </c>
      <c r="L622" s="3"/>
      <c r="M622" s="3" t="s">
        <v>180</v>
      </c>
      <c r="N622" s="43"/>
      <c r="P622" s="90" t="s">
        <v>180</v>
      </c>
    </row>
    <row r="623" spans="1:16">
      <c r="A623" s="39"/>
      <c r="B623" s="52"/>
      <c r="C623" s="17" t="s">
        <v>423</v>
      </c>
      <c r="D623" t="s">
        <v>203</v>
      </c>
      <c r="J623" s="81" t="s">
        <v>765</v>
      </c>
      <c r="K623" s="3" t="s">
        <v>183</v>
      </c>
      <c r="L623" s="3"/>
      <c r="M623" s="3" t="s">
        <v>180</v>
      </c>
      <c r="N623" s="43"/>
      <c r="P623" s="90" t="s">
        <v>180</v>
      </c>
    </row>
    <row r="624" spans="1:16">
      <c r="A624" s="39"/>
      <c r="B624" s="52"/>
      <c r="C624" s="17" t="s">
        <v>424</v>
      </c>
      <c r="D624" t="s">
        <v>203</v>
      </c>
      <c r="J624" s="81" t="s">
        <v>762</v>
      </c>
      <c r="K624" s="3" t="s">
        <v>397</v>
      </c>
      <c r="L624" s="3"/>
      <c r="M624" s="3" t="s">
        <v>180</v>
      </c>
      <c r="N624" s="43"/>
      <c r="P624" s="90" t="s">
        <v>180</v>
      </c>
    </row>
    <row r="625" spans="1:16">
      <c r="A625" s="39"/>
      <c r="B625" s="52"/>
      <c r="C625" s="17" t="s">
        <v>425</v>
      </c>
      <c r="D625" t="s">
        <v>203</v>
      </c>
      <c r="J625" s="81" t="s">
        <v>763</v>
      </c>
      <c r="K625" s="3" t="s">
        <v>397</v>
      </c>
      <c r="L625" s="3"/>
      <c r="M625" s="3" t="s">
        <v>180</v>
      </c>
      <c r="N625" s="43"/>
      <c r="P625" s="90" t="s">
        <v>180</v>
      </c>
    </row>
    <row r="626" spans="1:16">
      <c r="A626" s="39"/>
      <c r="B626" s="52"/>
      <c r="C626" s="17" t="s">
        <v>426</v>
      </c>
      <c r="D626" t="s">
        <v>203</v>
      </c>
      <c r="J626" s="81" t="s">
        <v>323</v>
      </c>
      <c r="K626" s="3" t="s">
        <v>397</v>
      </c>
      <c r="L626" s="3"/>
      <c r="M626" s="3" t="s">
        <v>180</v>
      </c>
      <c r="N626" s="43"/>
      <c r="P626" s="90" t="s">
        <v>180</v>
      </c>
    </row>
    <row r="627" spans="1:16">
      <c r="A627" s="39"/>
      <c r="B627" s="52"/>
      <c r="C627" s="17" t="s">
        <v>427</v>
      </c>
      <c r="D627" t="s">
        <v>203</v>
      </c>
      <c r="J627" s="81" t="s">
        <v>764</v>
      </c>
      <c r="K627" s="3" t="s">
        <v>397</v>
      </c>
      <c r="L627" s="3"/>
      <c r="M627" s="3" t="s">
        <v>180</v>
      </c>
      <c r="N627" s="43"/>
      <c r="P627" s="90" t="s">
        <v>180</v>
      </c>
    </row>
    <row r="628" spans="1:16">
      <c r="A628" s="39"/>
      <c r="B628" s="52"/>
      <c r="C628" s="17" t="s">
        <v>428</v>
      </c>
      <c r="D628" t="s">
        <v>203</v>
      </c>
      <c r="J628" s="81" t="s">
        <v>765</v>
      </c>
      <c r="K628" s="3" t="s">
        <v>397</v>
      </c>
      <c r="L628" s="3"/>
      <c r="M628" s="3" t="s">
        <v>180</v>
      </c>
      <c r="N628" s="43"/>
      <c r="P628" s="90" t="s">
        <v>180</v>
      </c>
    </row>
    <row r="629" spans="1:16">
      <c r="A629" s="39"/>
      <c r="B629" s="52"/>
      <c r="C629" s="17" t="s">
        <v>429</v>
      </c>
      <c r="D629" t="s">
        <v>203</v>
      </c>
      <c r="J629" s="81" t="s">
        <v>762</v>
      </c>
      <c r="K629" s="3" t="s">
        <v>267</v>
      </c>
      <c r="L629" s="3"/>
      <c r="M629" s="3" t="s">
        <v>180</v>
      </c>
      <c r="N629" s="43"/>
      <c r="P629" s="90" t="s">
        <v>180</v>
      </c>
    </row>
    <row r="630" spans="1:16">
      <c r="A630" s="39"/>
      <c r="B630" s="52"/>
      <c r="C630" s="17" t="s">
        <v>430</v>
      </c>
      <c r="D630" t="s">
        <v>203</v>
      </c>
      <c r="J630" s="81" t="s">
        <v>763</v>
      </c>
      <c r="K630" s="3" t="s">
        <v>267</v>
      </c>
      <c r="L630" s="3"/>
      <c r="M630" s="3" t="s">
        <v>180</v>
      </c>
      <c r="N630" s="43"/>
      <c r="P630" s="90" t="s">
        <v>180</v>
      </c>
    </row>
    <row r="631" spans="1:16">
      <c r="A631" s="39"/>
      <c r="B631" s="52"/>
      <c r="C631" s="17" t="s">
        <v>431</v>
      </c>
      <c r="D631" t="s">
        <v>203</v>
      </c>
      <c r="J631" s="81" t="s">
        <v>323</v>
      </c>
      <c r="K631" s="3" t="s">
        <v>267</v>
      </c>
      <c r="L631" s="3"/>
      <c r="M631" s="3" t="s">
        <v>180</v>
      </c>
      <c r="N631" s="43"/>
      <c r="P631" s="90" t="s">
        <v>180</v>
      </c>
    </row>
    <row r="632" spans="1:16">
      <c r="A632" s="39"/>
      <c r="B632" s="52"/>
      <c r="C632" s="17" t="s">
        <v>432</v>
      </c>
      <c r="D632" t="s">
        <v>203</v>
      </c>
      <c r="J632" s="81" t="s">
        <v>764</v>
      </c>
      <c r="K632" s="3" t="s">
        <v>267</v>
      </c>
      <c r="L632" s="3"/>
      <c r="M632" s="3" t="s">
        <v>180</v>
      </c>
      <c r="N632" s="43"/>
      <c r="P632" s="90" t="s">
        <v>180</v>
      </c>
    </row>
    <row r="633" spans="1:16">
      <c r="A633" s="39"/>
      <c r="B633" s="52"/>
      <c r="C633" s="17" t="s">
        <v>433</v>
      </c>
      <c r="D633" t="s">
        <v>203</v>
      </c>
      <c r="J633" s="81" t="s">
        <v>765</v>
      </c>
      <c r="K633" s="3" t="s">
        <v>267</v>
      </c>
      <c r="L633" s="3"/>
      <c r="M633" s="3" t="s">
        <v>180</v>
      </c>
      <c r="N633" s="43"/>
      <c r="P633" s="90" t="s">
        <v>180</v>
      </c>
    </row>
    <row r="634" spans="1:16">
      <c r="A634" s="39"/>
      <c r="B634" s="52"/>
      <c r="C634" s="17" t="s">
        <v>434</v>
      </c>
      <c r="D634" t="s">
        <v>203</v>
      </c>
      <c r="J634" s="81" t="s">
        <v>762</v>
      </c>
      <c r="K634" s="3" t="s">
        <v>210</v>
      </c>
      <c r="L634" s="3"/>
      <c r="M634" s="3" t="s">
        <v>180</v>
      </c>
      <c r="N634" s="43"/>
      <c r="P634" s="90" t="s">
        <v>180</v>
      </c>
    </row>
    <row r="635" spans="1:16">
      <c r="A635" s="39"/>
      <c r="B635" s="52"/>
      <c r="C635" s="17" t="s">
        <v>435</v>
      </c>
      <c r="D635" t="s">
        <v>203</v>
      </c>
      <c r="J635" s="81" t="s">
        <v>763</v>
      </c>
      <c r="K635" s="3" t="s">
        <v>210</v>
      </c>
      <c r="L635" s="3"/>
      <c r="M635" s="3" t="s">
        <v>180</v>
      </c>
      <c r="N635" s="43"/>
      <c r="P635" s="90" t="s">
        <v>180</v>
      </c>
    </row>
    <row r="636" spans="1:16">
      <c r="A636" s="39"/>
      <c r="B636" s="52"/>
      <c r="C636" s="17" t="s">
        <v>436</v>
      </c>
      <c r="D636" t="s">
        <v>203</v>
      </c>
      <c r="J636" s="81" t="s">
        <v>323</v>
      </c>
      <c r="K636" s="3" t="s">
        <v>210</v>
      </c>
      <c r="L636" s="3"/>
      <c r="M636" s="3" t="s">
        <v>180</v>
      </c>
      <c r="N636" s="43"/>
      <c r="P636" s="90" t="s">
        <v>180</v>
      </c>
    </row>
    <row r="637" spans="1:16">
      <c r="A637" s="39"/>
      <c r="B637" s="52"/>
      <c r="C637" s="17" t="s">
        <v>437</v>
      </c>
      <c r="D637" t="s">
        <v>203</v>
      </c>
      <c r="J637" s="81" t="s">
        <v>764</v>
      </c>
      <c r="K637" s="3" t="s">
        <v>210</v>
      </c>
      <c r="L637" s="3"/>
      <c r="M637" s="3" t="s">
        <v>180</v>
      </c>
      <c r="N637" s="43"/>
      <c r="P637" s="90" t="s">
        <v>180</v>
      </c>
    </row>
    <row r="638" spans="1:16">
      <c r="A638" s="39"/>
      <c r="B638" s="52"/>
      <c r="C638" s="17" t="s">
        <v>438</v>
      </c>
      <c r="D638" t="s">
        <v>203</v>
      </c>
      <c r="J638" s="81" t="s">
        <v>765</v>
      </c>
      <c r="K638" s="3" t="s">
        <v>210</v>
      </c>
      <c r="L638" s="3"/>
      <c r="M638" s="3" t="s">
        <v>180</v>
      </c>
      <c r="N638" s="43"/>
      <c r="P638" s="90" t="s">
        <v>180</v>
      </c>
    </row>
    <row r="639" spans="1:16">
      <c r="A639" s="39"/>
      <c r="B639" s="52"/>
      <c r="C639" s="17" t="s">
        <v>439</v>
      </c>
    </row>
    <row r="640" spans="1:16">
      <c r="A640" s="39"/>
      <c r="B640" s="52"/>
      <c r="C640" s="17" t="s">
        <v>440</v>
      </c>
    </row>
    <row r="641" spans="1:3">
      <c r="A641" s="39"/>
      <c r="B641" s="52"/>
      <c r="C641" s="17" t="s">
        <v>441</v>
      </c>
    </row>
    <row r="642" spans="1:3">
      <c r="A642" s="39"/>
      <c r="B642" s="52"/>
      <c r="C642" s="17" t="s">
        <v>442</v>
      </c>
    </row>
    <row r="643" spans="1:3">
      <c r="A643" s="39"/>
      <c r="B643" s="52"/>
      <c r="C643" s="17" t="s">
        <v>443</v>
      </c>
    </row>
    <row r="644" spans="1:3">
      <c r="A644" s="39"/>
      <c r="B644" s="52"/>
      <c r="C644" s="17" t="s">
        <v>444</v>
      </c>
    </row>
    <row r="645" spans="1:3">
      <c r="A645" s="39"/>
      <c r="B645" s="52"/>
      <c r="C645" s="17" t="s">
        <v>445</v>
      </c>
    </row>
    <row r="646" spans="1:3">
      <c r="A646" s="39"/>
      <c r="B646" s="52"/>
      <c r="C646" s="17" t="s">
        <v>446</v>
      </c>
    </row>
    <row r="647" spans="1:3">
      <c r="A647" s="39"/>
      <c r="B647" s="52"/>
      <c r="C647" s="17" t="s">
        <v>447</v>
      </c>
    </row>
    <row r="648" spans="1:3">
      <c r="A648" s="39"/>
      <c r="B648" s="52"/>
      <c r="C648" s="17" t="s">
        <v>448</v>
      </c>
    </row>
    <row r="649" spans="1:3">
      <c r="A649" s="39"/>
      <c r="B649" s="52"/>
      <c r="C649" s="17" t="s">
        <v>449</v>
      </c>
    </row>
    <row r="650" spans="1:3">
      <c r="A650" s="39"/>
      <c r="B650" s="52"/>
      <c r="C650" s="17" t="s">
        <v>450</v>
      </c>
    </row>
    <row r="651" spans="1:3">
      <c r="A651" s="39"/>
      <c r="B651" s="52"/>
      <c r="C651" s="17" t="s">
        <v>451</v>
      </c>
    </row>
    <row r="652" spans="1:3">
      <c r="A652" s="39"/>
      <c r="B652" s="52"/>
      <c r="C652" s="17" t="s">
        <v>452</v>
      </c>
    </row>
    <row r="653" spans="1:3">
      <c r="A653" s="39"/>
      <c r="B653" s="52"/>
      <c r="C653" s="17" t="s">
        <v>453</v>
      </c>
    </row>
    <row r="654" spans="1:3">
      <c r="A654" s="39"/>
      <c r="B654" s="52"/>
      <c r="C654" s="17" t="s">
        <v>454</v>
      </c>
    </row>
    <row r="655" spans="1:3">
      <c r="A655" s="39"/>
      <c r="B655" s="52"/>
      <c r="C655" s="17" t="s">
        <v>455</v>
      </c>
    </row>
    <row r="656" spans="1:3">
      <c r="A656" s="39"/>
      <c r="B656" s="52"/>
      <c r="C656" s="17" t="s">
        <v>456</v>
      </c>
    </row>
    <row r="657" spans="1:3">
      <c r="A657" s="39"/>
      <c r="B657" s="52"/>
      <c r="C657" s="17" t="s">
        <v>457</v>
      </c>
    </row>
    <row r="658" spans="1:3">
      <c r="A658" s="39"/>
      <c r="B658" s="52"/>
      <c r="C658" s="17" t="s">
        <v>458</v>
      </c>
    </row>
    <row r="659" spans="1:3">
      <c r="A659" s="39"/>
      <c r="B659" s="52"/>
      <c r="C659" s="17" t="s">
        <v>459</v>
      </c>
    </row>
    <row r="660" spans="1:3">
      <c r="A660" s="39"/>
      <c r="B660" s="52"/>
      <c r="C660" s="17" t="s">
        <v>460</v>
      </c>
    </row>
    <row r="661" spans="1:3">
      <c r="A661" s="39"/>
      <c r="B661" s="52"/>
      <c r="C661" s="17" t="s">
        <v>461</v>
      </c>
    </row>
    <row r="662" spans="1:3">
      <c r="A662" s="39"/>
      <c r="B662" s="52"/>
      <c r="C662" s="17" t="s">
        <v>462</v>
      </c>
    </row>
    <row r="663" spans="1:3">
      <c r="A663" s="39"/>
      <c r="B663" s="52"/>
      <c r="C663" s="17" t="s">
        <v>463</v>
      </c>
    </row>
    <row r="664" spans="1:3">
      <c r="A664" s="39"/>
      <c r="B664" s="52"/>
      <c r="C664" s="17" t="s">
        <v>464</v>
      </c>
    </row>
    <row r="665" spans="1:3">
      <c r="A665" s="39"/>
      <c r="B665" s="52"/>
      <c r="C665" s="17" t="s">
        <v>465</v>
      </c>
    </row>
    <row r="666" spans="1:3">
      <c r="A666" s="39"/>
      <c r="B666" s="52"/>
      <c r="C666" s="17" t="s">
        <v>466</v>
      </c>
    </row>
    <row r="667" spans="1:3">
      <c r="A667" s="39"/>
      <c r="B667" s="52"/>
      <c r="C667" s="17" t="s">
        <v>467</v>
      </c>
    </row>
    <row r="668" spans="1:3">
      <c r="A668" s="39"/>
      <c r="B668" s="52"/>
      <c r="C668" s="17" t="s">
        <v>468</v>
      </c>
    </row>
    <row r="669" spans="1:3">
      <c r="A669" s="39"/>
      <c r="B669" s="52"/>
      <c r="C669" s="17" t="s">
        <v>469</v>
      </c>
    </row>
    <row r="670" spans="1:3">
      <c r="A670" s="39"/>
      <c r="B670" s="52"/>
      <c r="C670" s="17" t="s">
        <v>470</v>
      </c>
    </row>
    <row r="671" spans="1:3">
      <c r="A671" s="39"/>
      <c r="B671" s="52"/>
      <c r="C671" s="17" t="s">
        <v>471</v>
      </c>
    </row>
    <row r="672" spans="1:3">
      <c r="A672" s="39"/>
      <c r="B672" s="52"/>
      <c r="C672" s="17" t="s">
        <v>472</v>
      </c>
    </row>
    <row r="673" spans="1:16">
      <c r="A673" s="39"/>
      <c r="B673" s="52"/>
      <c r="C673" s="17" t="s">
        <v>473</v>
      </c>
    </row>
    <row r="674" spans="1:16">
      <c r="A674" s="39"/>
      <c r="B674" s="52"/>
      <c r="C674" s="17" t="s">
        <v>474</v>
      </c>
    </row>
    <row r="675" spans="1:16">
      <c r="A675" s="39"/>
      <c r="B675" s="52"/>
      <c r="C675" s="17" t="s">
        <v>475</v>
      </c>
    </row>
    <row r="676" spans="1:16">
      <c r="A676" s="39"/>
      <c r="B676" s="52"/>
      <c r="C676" s="17" t="s">
        <v>476</v>
      </c>
    </row>
    <row r="677" spans="1:16">
      <c r="A677" s="39"/>
      <c r="B677" s="52"/>
      <c r="C677" s="17" t="s">
        <v>477</v>
      </c>
    </row>
    <row r="678" spans="1:16">
      <c r="A678" s="39"/>
      <c r="B678" s="52"/>
      <c r="C678" s="17" t="s">
        <v>478</v>
      </c>
    </row>
    <row r="679" spans="1:16">
      <c r="A679" s="39"/>
      <c r="B679" s="52"/>
      <c r="C679" s="17" t="s">
        <v>479</v>
      </c>
    </row>
    <row r="680" spans="1:16">
      <c r="A680" s="39"/>
      <c r="B680" s="52"/>
      <c r="C680" s="17" t="s">
        <v>480</v>
      </c>
    </row>
    <row r="681" spans="1:16">
      <c r="A681" s="39"/>
      <c r="B681" s="52"/>
      <c r="C681" s="17" t="s">
        <v>481</v>
      </c>
    </row>
    <row r="682" spans="1:16">
      <c r="A682" s="39"/>
      <c r="B682" s="52"/>
      <c r="C682" s="17" t="s">
        <v>482</v>
      </c>
    </row>
    <row r="683" spans="1:16">
      <c r="A683" s="39"/>
      <c r="B683" s="52"/>
      <c r="C683" s="17" t="s">
        <v>483</v>
      </c>
    </row>
    <row r="684" spans="1:16">
      <c r="A684" s="39"/>
      <c r="B684" s="52"/>
      <c r="C684" s="17" t="s">
        <v>766</v>
      </c>
    </row>
    <row r="685" spans="1:16">
      <c r="A685" s="39"/>
      <c r="B685" s="51"/>
      <c r="C685" s="17" t="s">
        <v>767</v>
      </c>
    </row>
    <row r="686" spans="1:16">
      <c r="A686" s="51"/>
      <c r="B686" s="51" t="s">
        <v>614</v>
      </c>
      <c r="C686" s="25"/>
    </row>
    <row r="688" spans="1:16">
      <c r="A688" s="333" t="s">
        <v>768</v>
      </c>
      <c r="B688" s="333" t="s">
        <v>768</v>
      </c>
      <c r="C688" s="91" t="s">
        <v>239</v>
      </c>
      <c r="D688" s="67" t="s">
        <v>193</v>
      </c>
      <c r="E688" s="92" t="s">
        <v>180</v>
      </c>
      <c r="F688" s="74" t="s">
        <v>185</v>
      </c>
      <c r="G688" s="74"/>
      <c r="H688" s="74" t="s">
        <v>180</v>
      </c>
      <c r="I688" s="42"/>
      <c r="J688" s="92" t="s">
        <v>180</v>
      </c>
      <c r="K688" s="74" t="s">
        <v>185</v>
      </c>
      <c r="L688" s="74"/>
      <c r="M688" s="74" t="s">
        <v>180</v>
      </c>
      <c r="N688" s="16"/>
      <c r="O688" s="40"/>
      <c r="P688" s="88"/>
    </row>
    <row r="689" spans="1:16">
      <c r="A689" s="334"/>
      <c r="B689" s="334"/>
      <c r="C689" s="91" t="s">
        <v>241</v>
      </c>
      <c r="D689" s="1"/>
    </row>
    <row r="690" spans="1:16">
      <c r="A690" s="334"/>
      <c r="B690" s="334"/>
      <c r="C690" s="91" t="s">
        <v>242</v>
      </c>
      <c r="D690" s="1"/>
    </row>
    <row r="691" spans="1:16">
      <c r="A691" s="334"/>
      <c r="B691" s="334"/>
      <c r="C691" s="17" t="s">
        <v>769</v>
      </c>
      <c r="D691" t="s">
        <v>176</v>
      </c>
      <c r="E691" s="81" t="s">
        <v>623</v>
      </c>
      <c r="F691" s="3" t="s">
        <v>178</v>
      </c>
      <c r="G691" s="3" t="s">
        <v>179</v>
      </c>
      <c r="H691" s="3" t="s">
        <v>180</v>
      </c>
      <c r="I691" s="43" t="s">
        <v>179</v>
      </c>
      <c r="J691" s="81" t="s">
        <v>623</v>
      </c>
      <c r="K691" s="3" t="s">
        <v>178</v>
      </c>
      <c r="L691" s="3" t="s">
        <v>179</v>
      </c>
      <c r="M691" s="3" t="s">
        <v>180</v>
      </c>
      <c r="N691" s="43" t="s">
        <v>179</v>
      </c>
      <c r="P691" s="90" t="s">
        <v>180</v>
      </c>
    </row>
    <row r="692" spans="1:16">
      <c r="A692" s="334"/>
      <c r="B692" s="334"/>
      <c r="C692" s="91" t="s">
        <v>190</v>
      </c>
      <c r="D692" t="s">
        <v>191</v>
      </c>
      <c r="E692" s="81" t="s">
        <v>623</v>
      </c>
      <c r="F692" s="3" t="s">
        <v>178</v>
      </c>
      <c r="H692" s="3" t="s">
        <v>180</v>
      </c>
      <c r="J692" s="81" t="s">
        <v>623</v>
      </c>
      <c r="K692" s="3" t="s">
        <v>178</v>
      </c>
      <c r="L692" s="3"/>
      <c r="M692" s="3" t="s">
        <v>180</v>
      </c>
    </row>
    <row r="693" spans="1:16">
      <c r="A693" s="334"/>
      <c r="B693" s="334"/>
      <c r="C693" s="17" t="s">
        <v>290</v>
      </c>
      <c r="D693" s="1" t="s">
        <v>286</v>
      </c>
      <c r="E693" s="81" t="s">
        <v>623</v>
      </c>
      <c r="F693" s="3" t="s">
        <v>178</v>
      </c>
      <c r="H693" s="3" t="s">
        <v>180</v>
      </c>
      <c r="J693" s="81" t="s">
        <v>623</v>
      </c>
      <c r="K693" s="3" t="s">
        <v>178</v>
      </c>
      <c r="L693" s="3"/>
      <c r="M693" s="3" t="s">
        <v>180</v>
      </c>
    </row>
    <row r="694" spans="1:16">
      <c r="A694" s="334"/>
      <c r="B694" s="334"/>
      <c r="C694" s="17" t="s">
        <v>252</v>
      </c>
      <c r="D694" s="1" t="s">
        <v>203</v>
      </c>
      <c r="E694" s="81" t="s">
        <v>185</v>
      </c>
      <c r="F694" s="3" t="s">
        <v>178</v>
      </c>
      <c r="H694" s="3" t="s">
        <v>180</v>
      </c>
      <c r="J694" s="81" t="s">
        <v>185</v>
      </c>
      <c r="K694" s="3" t="s">
        <v>178</v>
      </c>
      <c r="L694" s="3"/>
      <c r="M694" s="3" t="s">
        <v>180</v>
      </c>
      <c r="N694" s="43"/>
    </row>
    <row r="695" spans="1:16">
      <c r="A695" s="334"/>
      <c r="B695" s="334"/>
      <c r="C695" s="17" t="s">
        <v>770</v>
      </c>
      <c r="D695" s="1" t="s">
        <v>176</v>
      </c>
      <c r="E695" s="81" t="s">
        <v>190</v>
      </c>
      <c r="F695" s="3" t="s">
        <v>178</v>
      </c>
      <c r="G695" s="3" t="s">
        <v>179</v>
      </c>
      <c r="H695" s="3" t="s">
        <v>180</v>
      </c>
      <c r="I695" s="43" t="s">
        <v>179</v>
      </c>
      <c r="J695" s="81" t="s">
        <v>190</v>
      </c>
      <c r="K695" s="3" t="s">
        <v>178</v>
      </c>
      <c r="L695" s="3" t="s">
        <v>179</v>
      </c>
      <c r="M695" s="3" t="s">
        <v>180</v>
      </c>
      <c r="N695" s="43" t="s">
        <v>179</v>
      </c>
      <c r="P695" s="90" t="s">
        <v>180</v>
      </c>
    </row>
    <row r="696" spans="1:16">
      <c r="A696" s="334"/>
      <c r="B696" s="334"/>
      <c r="C696" s="17" t="s">
        <v>284</v>
      </c>
      <c r="D696" s="1" t="s">
        <v>203</v>
      </c>
      <c r="E696" s="81" t="s">
        <v>190</v>
      </c>
      <c r="F696" s="3" t="s">
        <v>178</v>
      </c>
      <c r="H696" s="3" t="s">
        <v>180</v>
      </c>
      <c r="J696" s="81" t="s">
        <v>190</v>
      </c>
      <c r="K696" s="3" t="s">
        <v>178</v>
      </c>
      <c r="L696" s="3"/>
      <c r="M696" s="3" t="s">
        <v>180</v>
      </c>
    </row>
    <row r="697" spans="1:16">
      <c r="A697" s="334"/>
      <c r="B697" s="334"/>
      <c r="C697" s="17" t="s">
        <v>771</v>
      </c>
      <c r="D697" s="1" t="s">
        <v>176</v>
      </c>
      <c r="E697" s="81" t="s">
        <v>623</v>
      </c>
      <c r="F697" s="3" t="s">
        <v>185</v>
      </c>
      <c r="G697" s="3" t="s">
        <v>179</v>
      </c>
      <c r="H697" s="3" t="s">
        <v>180</v>
      </c>
      <c r="I697" s="43" t="s">
        <v>179</v>
      </c>
      <c r="J697" s="81" t="s">
        <v>623</v>
      </c>
      <c r="K697" s="3" t="s">
        <v>185</v>
      </c>
      <c r="L697" s="3" t="s">
        <v>179</v>
      </c>
      <c r="M697" s="3" t="s">
        <v>180</v>
      </c>
      <c r="N697" s="43" t="s">
        <v>179</v>
      </c>
      <c r="P697" s="90" t="s">
        <v>180</v>
      </c>
    </row>
    <row r="698" spans="1:16">
      <c r="A698" s="334"/>
      <c r="B698" s="334"/>
      <c r="C698" s="17" t="s">
        <v>285</v>
      </c>
      <c r="D698" s="1" t="s">
        <v>286</v>
      </c>
      <c r="E698" s="81" t="s">
        <v>623</v>
      </c>
      <c r="F698" s="3" t="s">
        <v>185</v>
      </c>
      <c r="H698" s="3" t="s">
        <v>180</v>
      </c>
      <c r="J698" s="81" t="s">
        <v>623</v>
      </c>
      <c r="K698" s="3" t="s">
        <v>185</v>
      </c>
      <c r="L698" s="3"/>
      <c r="M698" s="3" t="s">
        <v>180</v>
      </c>
    </row>
    <row r="699" spans="1:16">
      <c r="A699" s="334"/>
      <c r="B699" s="334"/>
      <c r="C699" s="17" t="s">
        <v>303</v>
      </c>
      <c r="D699" s="1" t="s">
        <v>286</v>
      </c>
      <c r="E699" s="81" t="s">
        <v>623</v>
      </c>
      <c r="F699" s="3" t="s">
        <v>185</v>
      </c>
      <c r="H699" s="3" t="s">
        <v>180</v>
      </c>
      <c r="J699" s="81" t="s">
        <v>623</v>
      </c>
      <c r="K699" s="3" t="s">
        <v>185</v>
      </c>
      <c r="L699" s="3"/>
      <c r="M699" s="3" t="s">
        <v>180</v>
      </c>
    </row>
    <row r="700" spans="1:16">
      <c r="A700" s="334"/>
      <c r="B700" s="334"/>
      <c r="C700" s="17" t="s">
        <v>260</v>
      </c>
      <c r="D700" s="1" t="s">
        <v>203</v>
      </c>
      <c r="E700" s="81" t="s">
        <v>185</v>
      </c>
      <c r="F700" s="3" t="s">
        <v>185</v>
      </c>
      <c r="H700" s="3" t="s">
        <v>180</v>
      </c>
      <c r="J700" s="81" t="s">
        <v>185</v>
      </c>
      <c r="K700" s="3" t="s">
        <v>185</v>
      </c>
      <c r="L700" s="3"/>
      <c r="M700" s="3" t="s">
        <v>180</v>
      </c>
    </row>
    <row r="701" spans="1:16">
      <c r="A701" s="334"/>
      <c r="B701" s="334"/>
      <c r="C701" s="91" t="s">
        <v>504</v>
      </c>
      <c r="D701" s="1" t="s">
        <v>193</v>
      </c>
      <c r="E701" s="81" t="s">
        <v>180</v>
      </c>
      <c r="F701" s="3" t="s">
        <v>187</v>
      </c>
      <c r="H701" s="3" t="s">
        <v>180</v>
      </c>
      <c r="J701" s="81" t="s">
        <v>180</v>
      </c>
      <c r="K701" s="3" t="s">
        <v>187</v>
      </c>
      <c r="L701" s="3"/>
      <c r="M701" s="3" t="s">
        <v>180</v>
      </c>
    </row>
    <row r="702" spans="1:16">
      <c r="A702" s="334"/>
      <c r="B702" s="334"/>
      <c r="C702" s="91" t="s">
        <v>505</v>
      </c>
    </row>
    <row r="703" spans="1:16">
      <c r="A703" s="334"/>
      <c r="B703" s="334"/>
      <c r="C703" s="91" t="s">
        <v>506</v>
      </c>
    </row>
    <row r="704" spans="1:16">
      <c r="A704" s="334"/>
      <c r="B704" s="334"/>
      <c r="C704" s="91" t="s">
        <v>772</v>
      </c>
      <c r="D704" s="1" t="s">
        <v>176</v>
      </c>
      <c r="E704" s="81" t="s">
        <v>187</v>
      </c>
      <c r="F704" s="3" t="s">
        <v>187</v>
      </c>
      <c r="G704" s="3" t="s">
        <v>179</v>
      </c>
      <c r="H704" s="3" t="s">
        <v>180</v>
      </c>
      <c r="I704" s="43" t="s">
        <v>179</v>
      </c>
      <c r="J704" s="81" t="s">
        <v>187</v>
      </c>
      <c r="K704" s="3" t="s">
        <v>187</v>
      </c>
      <c r="L704" s="3" t="s">
        <v>179</v>
      </c>
      <c r="M704" s="3" t="s">
        <v>180</v>
      </c>
      <c r="N704" s="43" t="s">
        <v>179</v>
      </c>
      <c r="P704" s="90" t="s">
        <v>180</v>
      </c>
    </row>
    <row r="705" spans="1:16">
      <c r="A705" s="334"/>
      <c r="B705" s="334"/>
      <c r="C705" s="17" t="s">
        <v>515</v>
      </c>
      <c r="D705" t="s">
        <v>203</v>
      </c>
      <c r="E705" s="81" t="s">
        <v>187</v>
      </c>
      <c r="F705" s="3" t="s">
        <v>187</v>
      </c>
      <c r="H705" s="3" t="s">
        <v>180</v>
      </c>
      <c r="J705" s="81" t="s">
        <v>187</v>
      </c>
      <c r="K705" s="3" t="s">
        <v>187</v>
      </c>
      <c r="L705" s="3"/>
      <c r="M705" s="3" t="s">
        <v>180</v>
      </c>
      <c r="N705" s="43"/>
    </row>
    <row r="706" spans="1:16">
      <c r="A706" s="334"/>
      <c r="B706" s="334"/>
      <c r="C706" s="91" t="s">
        <v>773</v>
      </c>
      <c r="D706" t="s">
        <v>286</v>
      </c>
      <c r="E706" s="81" t="s">
        <v>623</v>
      </c>
      <c r="F706" s="3" t="s">
        <v>185</v>
      </c>
      <c r="H706" s="3" t="s">
        <v>180</v>
      </c>
      <c r="J706" s="81" t="s">
        <v>623</v>
      </c>
      <c r="K706" s="3" t="s">
        <v>185</v>
      </c>
      <c r="L706" s="3"/>
      <c r="M706" s="3" t="s">
        <v>180</v>
      </c>
    </row>
    <row r="707" spans="1:16">
      <c r="A707" s="334"/>
      <c r="B707" s="334"/>
      <c r="C707" s="91" t="s">
        <v>774</v>
      </c>
      <c r="D707" t="s">
        <v>176</v>
      </c>
      <c r="E707" s="81" t="s">
        <v>775</v>
      </c>
      <c r="F707" s="3" t="s">
        <v>185</v>
      </c>
      <c r="G707" s="3" t="s">
        <v>179</v>
      </c>
      <c r="H707" s="3" t="s">
        <v>180</v>
      </c>
      <c r="I707" s="43" t="s">
        <v>179</v>
      </c>
      <c r="J707" s="81" t="s">
        <v>775</v>
      </c>
      <c r="K707" s="3" t="s">
        <v>185</v>
      </c>
      <c r="L707" s="3" t="s">
        <v>179</v>
      </c>
      <c r="M707" s="3" t="s">
        <v>180</v>
      </c>
      <c r="N707" s="43" t="s">
        <v>179</v>
      </c>
      <c r="P707" s="90" t="s">
        <v>180</v>
      </c>
    </row>
    <row r="708" spans="1:16">
      <c r="A708" s="334"/>
      <c r="B708" s="334"/>
      <c r="C708" s="17" t="s">
        <v>776</v>
      </c>
      <c r="D708" t="s">
        <v>203</v>
      </c>
      <c r="E708" s="81" t="s">
        <v>775</v>
      </c>
      <c r="F708" s="3" t="s">
        <v>185</v>
      </c>
      <c r="H708" s="3" t="s">
        <v>180</v>
      </c>
      <c r="J708" s="81" t="s">
        <v>775</v>
      </c>
      <c r="K708" s="3" t="s">
        <v>185</v>
      </c>
      <c r="L708" s="3"/>
      <c r="M708" s="3" t="s">
        <v>180</v>
      </c>
      <c r="N708" s="43"/>
    </row>
    <row r="709" spans="1:16">
      <c r="A709" s="334"/>
      <c r="B709" s="334"/>
      <c r="C709" s="17" t="s">
        <v>777</v>
      </c>
      <c r="D709" t="s">
        <v>176</v>
      </c>
      <c r="E709" s="81" t="s">
        <v>778</v>
      </c>
      <c r="F709" s="3" t="s">
        <v>267</v>
      </c>
      <c r="G709" s="3" t="s">
        <v>179</v>
      </c>
      <c r="H709" s="3" t="s">
        <v>180</v>
      </c>
      <c r="I709" s="43" t="s">
        <v>179</v>
      </c>
      <c r="J709" s="81" t="s">
        <v>778</v>
      </c>
      <c r="K709" s="3" t="s">
        <v>267</v>
      </c>
      <c r="L709" s="3" t="s">
        <v>179</v>
      </c>
      <c r="M709" s="3" t="s">
        <v>180</v>
      </c>
      <c r="N709" s="43" t="s">
        <v>179</v>
      </c>
      <c r="P709" s="90" t="s">
        <v>180</v>
      </c>
    </row>
    <row r="710" spans="1:16">
      <c r="A710" s="334"/>
      <c r="B710" s="334"/>
      <c r="C710" s="17" t="s">
        <v>779</v>
      </c>
      <c r="D710" t="s">
        <v>203</v>
      </c>
      <c r="E710" s="81" t="s">
        <v>778</v>
      </c>
      <c r="F710" s="3" t="s">
        <v>267</v>
      </c>
      <c r="H710" s="3" t="s">
        <v>180</v>
      </c>
      <c r="J710" s="81" t="s">
        <v>778</v>
      </c>
      <c r="K710" s="3" t="s">
        <v>267</v>
      </c>
      <c r="L710" s="3"/>
      <c r="M710" s="3" t="s">
        <v>180</v>
      </c>
      <c r="N710" s="43"/>
    </row>
    <row r="711" spans="1:16">
      <c r="A711" s="334"/>
      <c r="B711" s="334"/>
      <c r="C711" s="16" t="s">
        <v>780</v>
      </c>
      <c r="D711" t="s">
        <v>176</v>
      </c>
      <c r="E711" s="81" t="s">
        <v>781</v>
      </c>
      <c r="F711" s="3" t="s">
        <v>187</v>
      </c>
      <c r="G711" s="3" t="s">
        <v>179</v>
      </c>
      <c r="H711" s="3" t="s">
        <v>180</v>
      </c>
      <c r="I711" s="43" t="s">
        <v>179</v>
      </c>
      <c r="J711" s="81" t="s">
        <v>781</v>
      </c>
      <c r="K711" s="3" t="s">
        <v>187</v>
      </c>
      <c r="L711" s="3" t="s">
        <v>179</v>
      </c>
      <c r="M711" s="3" t="s">
        <v>180</v>
      </c>
      <c r="N711" s="43" t="s">
        <v>179</v>
      </c>
      <c r="P711" s="90" t="s">
        <v>180</v>
      </c>
    </row>
    <row r="712" spans="1:16">
      <c r="A712" s="334"/>
      <c r="B712" s="334"/>
      <c r="C712" s="17" t="s">
        <v>782</v>
      </c>
      <c r="D712" t="s">
        <v>203</v>
      </c>
      <c r="E712" s="81" t="s">
        <v>781</v>
      </c>
      <c r="F712" s="3" t="s">
        <v>187</v>
      </c>
      <c r="H712" s="3" t="s">
        <v>180</v>
      </c>
      <c r="J712" s="81" t="s">
        <v>781</v>
      </c>
      <c r="K712" s="3" t="s">
        <v>187</v>
      </c>
      <c r="L712" s="3"/>
      <c r="M712" s="3" t="s">
        <v>180</v>
      </c>
      <c r="N712" s="43"/>
    </row>
    <row r="713" spans="1:16">
      <c r="A713" s="334"/>
      <c r="B713" s="334"/>
      <c r="C713" s="17" t="s">
        <v>783</v>
      </c>
      <c r="D713" t="s">
        <v>176</v>
      </c>
      <c r="E713" s="81" t="s">
        <v>784</v>
      </c>
      <c r="F713" s="3" t="s">
        <v>258</v>
      </c>
      <c r="G713" s="3" t="s">
        <v>179</v>
      </c>
      <c r="H713" s="3" t="s">
        <v>180</v>
      </c>
      <c r="I713" s="43" t="s">
        <v>179</v>
      </c>
      <c r="J713" s="81" t="s">
        <v>784</v>
      </c>
      <c r="K713" s="3" t="s">
        <v>258</v>
      </c>
      <c r="L713" s="3" t="s">
        <v>179</v>
      </c>
      <c r="M713" s="3" t="s">
        <v>180</v>
      </c>
      <c r="N713" s="43" t="s">
        <v>179</v>
      </c>
      <c r="P713" s="90" t="s">
        <v>180</v>
      </c>
    </row>
    <row r="714" spans="1:16">
      <c r="A714" s="335"/>
      <c r="B714" s="335"/>
      <c r="C714" s="17" t="s">
        <v>785</v>
      </c>
      <c r="D714" s="41" t="s">
        <v>203</v>
      </c>
      <c r="E714" s="93" t="s">
        <v>784</v>
      </c>
      <c r="F714" s="77" t="s">
        <v>258</v>
      </c>
      <c r="G714" s="77"/>
      <c r="H714" s="77" t="s">
        <v>180</v>
      </c>
      <c r="I714" s="44"/>
      <c r="J714" s="93" t="s">
        <v>784</v>
      </c>
      <c r="K714" s="77" t="s">
        <v>258</v>
      </c>
      <c r="L714" s="77"/>
      <c r="M714" s="77" t="s">
        <v>180</v>
      </c>
      <c r="N714" s="33"/>
      <c r="O714" s="41"/>
      <c r="P714" s="30"/>
    </row>
  </sheetData>
  <mergeCells count="2">
    <mergeCell ref="A688:A714"/>
    <mergeCell ref="B688:B7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02D-A573-4C33-AD8F-833E55EE4051}">
  <dimension ref="A1:W142"/>
  <sheetViews>
    <sheetView workbookViewId="0">
      <selection activeCell="B6" sqref="B6"/>
    </sheetView>
  </sheetViews>
  <sheetFormatPr defaultRowHeight="14.45"/>
  <cols>
    <col min="1" max="1" width="21.5703125" bestFit="1" customWidth="1"/>
    <col min="2" max="2" width="28.7109375" bestFit="1" customWidth="1"/>
    <col min="3" max="3" width="27.140625" bestFit="1" customWidth="1"/>
    <col min="6" max="6" width="32.7109375" bestFit="1" customWidth="1"/>
    <col min="7" max="7" width="34.28515625" bestFit="1" customWidth="1"/>
    <col min="8" max="8" width="21.140625" bestFit="1" customWidth="1"/>
    <col min="9" max="9" width="15.7109375" bestFit="1" customWidth="1"/>
    <col min="10" max="10" width="15.28515625" bestFit="1" customWidth="1"/>
  </cols>
  <sheetData>
    <row r="1" spans="1:12">
      <c r="A1" s="20" t="s">
        <v>0</v>
      </c>
      <c r="B1" s="20" t="s">
        <v>1</v>
      </c>
      <c r="C1" s="22" t="s">
        <v>2</v>
      </c>
      <c r="D1" s="14"/>
      <c r="E1" s="4"/>
      <c r="F1" s="324" t="s">
        <v>3</v>
      </c>
      <c r="G1" s="325"/>
      <c r="H1" s="325"/>
      <c r="I1" s="325"/>
      <c r="J1" s="325"/>
      <c r="K1" s="325"/>
      <c r="L1" s="326"/>
    </row>
    <row r="2" spans="1:12">
      <c r="A2" s="64"/>
      <c r="B2" s="20"/>
      <c r="C2" s="22"/>
      <c r="D2" s="14"/>
      <c r="E2" s="4"/>
      <c r="F2" s="99" t="s">
        <v>786</v>
      </c>
      <c r="G2" s="99" t="s">
        <v>787</v>
      </c>
      <c r="H2" s="99" t="s">
        <v>788</v>
      </c>
      <c r="I2" s="99" t="s">
        <v>789</v>
      </c>
      <c r="J2" s="99" t="s">
        <v>790</v>
      </c>
    </row>
    <row r="3" spans="1:12">
      <c r="A3" s="330" t="s">
        <v>9</v>
      </c>
      <c r="B3" s="105" t="s">
        <v>10</v>
      </c>
      <c r="C3" s="21"/>
      <c r="D3" s="1"/>
      <c r="E3" s="6"/>
      <c r="F3" s="103"/>
      <c r="G3" s="103"/>
      <c r="H3" s="103"/>
      <c r="I3" s="103"/>
      <c r="J3" s="103"/>
    </row>
    <row r="4" spans="1:12">
      <c r="A4" s="331"/>
      <c r="B4" s="50" t="s">
        <v>166</v>
      </c>
      <c r="C4" s="21"/>
      <c r="D4" s="1"/>
      <c r="F4" s="103"/>
      <c r="G4" s="103"/>
      <c r="H4" s="103"/>
      <c r="I4" s="103"/>
      <c r="J4" s="103"/>
    </row>
    <row r="5" spans="1:12">
      <c r="A5" s="331"/>
      <c r="B5" s="105" t="s">
        <v>167</v>
      </c>
      <c r="C5" s="21"/>
      <c r="D5" s="1"/>
      <c r="F5" s="103"/>
      <c r="G5" s="103"/>
      <c r="H5" s="103"/>
      <c r="I5" s="103"/>
      <c r="J5" s="103"/>
    </row>
    <row r="6" spans="1:12">
      <c r="A6" s="331"/>
      <c r="B6" s="105" t="s">
        <v>11</v>
      </c>
      <c r="C6" s="21"/>
      <c r="D6" s="1"/>
      <c r="F6" s="103"/>
      <c r="G6" s="103"/>
      <c r="H6" s="103"/>
      <c r="I6" s="103"/>
      <c r="J6" s="103"/>
    </row>
    <row r="7" spans="1:12">
      <c r="A7" s="331"/>
      <c r="B7" s="105" t="s">
        <v>16</v>
      </c>
      <c r="C7" s="21"/>
      <c r="D7" s="1"/>
      <c r="F7" s="103"/>
      <c r="G7" s="103"/>
      <c r="H7" s="103"/>
      <c r="I7" s="103"/>
      <c r="J7" s="103"/>
    </row>
    <row r="8" spans="1:12">
      <c r="A8" s="331"/>
      <c r="B8" s="105" t="s">
        <v>17</v>
      </c>
      <c r="C8" s="21"/>
      <c r="D8" s="1"/>
      <c r="F8" s="103"/>
      <c r="G8" s="103"/>
      <c r="H8" s="103"/>
      <c r="I8" s="103"/>
      <c r="J8" s="103"/>
    </row>
    <row r="9" spans="1:12">
      <c r="A9" s="331"/>
      <c r="B9" s="105" t="s">
        <v>12</v>
      </c>
      <c r="C9" s="21"/>
      <c r="D9" s="1"/>
      <c r="F9" s="103"/>
      <c r="G9" s="103"/>
      <c r="H9" s="103"/>
      <c r="I9" s="103"/>
      <c r="J9" s="103"/>
    </row>
    <row r="10" spans="1:12">
      <c r="A10" s="331"/>
      <c r="B10" s="105" t="s">
        <v>20</v>
      </c>
      <c r="C10" s="21"/>
      <c r="D10" s="1"/>
      <c r="F10" s="103"/>
      <c r="G10" s="103"/>
      <c r="H10" s="103"/>
      <c r="I10" s="103"/>
      <c r="J10" s="103"/>
    </row>
    <row r="11" spans="1:12">
      <c r="A11" s="331"/>
      <c r="B11" s="105" t="s">
        <v>13</v>
      </c>
      <c r="C11" s="21"/>
      <c r="D11" s="1"/>
      <c r="F11" s="103"/>
      <c r="G11" s="103"/>
      <c r="H11" s="103"/>
      <c r="I11" s="103"/>
      <c r="J11" s="103"/>
    </row>
    <row r="12" spans="1:12">
      <c r="A12" s="331"/>
      <c r="B12" s="105" t="s">
        <v>21</v>
      </c>
      <c r="C12" s="21"/>
      <c r="D12" s="1"/>
      <c r="F12" s="103"/>
      <c r="G12" s="103"/>
      <c r="H12" s="103"/>
      <c r="I12" s="103"/>
      <c r="J12" s="103"/>
    </row>
    <row r="13" spans="1:12">
      <c r="A13" s="331"/>
      <c r="B13" s="105" t="s">
        <v>15</v>
      </c>
      <c r="C13" s="21"/>
      <c r="D13" s="1"/>
      <c r="F13" s="103"/>
      <c r="G13" s="103"/>
      <c r="H13" s="103"/>
      <c r="I13" s="103"/>
      <c r="J13" s="103"/>
    </row>
    <row r="14" spans="1:12">
      <c r="A14" s="331"/>
      <c r="B14" s="105" t="s">
        <v>14</v>
      </c>
      <c r="C14" s="21"/>
      <c r="D14" s="1"/>
      <c r="F14" s="103"/>
      <c r="G14" s="103"/>
      <c r="H14" s="103"/>
      <c r="I14" s="103"/>
      <c r="J14" s="103"/>
    </row>
    <row r="15" spans="1:12">
      <c r="A15" s="332"/>
      <c r="B15" s="105" t="s">
        <v>22</v>
      </c>
      <c r="C15" s="21"/>
      <c r="F15" s="103"/>
      <c r="G15" s="103"/>
      <c r="H15" s="103"/>
      <c r="I15" s="103"/>
      <c r="J15" s="103"/>
    </row>
    <row r="16" spans="1:12">
      <c r="A16" s="1"/>
      <c r="B16" s="1"/>
      <c r="C16" s="1"/>
      <c r="F16" s="15"/>
      <c r="G16" s="15"/>
      <c r="H16" s="15"/>
      <c r="I16" s="15"/>
      <c r="J16" s="15"/>
    </row>
    <row r="18" spans="1:23">
      <c r="A18" s="14"/>
      <c r="B18" s="14"/>
      <c r="C18" s="4"/>
      <c r="F18" s="289" t="s">
        <v>791</v>
      </c>
      <c r="G18" s="31" t="s">
        <v>25</v>
      </c>
      <c r="H18" s="3"/>
      <c r="I18" s="3"/>
      <c r="J18" s="3"/>
      <c r="K18" s="3"/>
      <c r="L18" s="3"/>
      <c r="M18" s="3"/>
    </row>
    <row r="19" spans="1:23">
      <c r="A19" s="327" t="s">
        <v>26</v>
      </c>
      <c r="B19" s="27" t="s">
        <v>27</v>
      </c>
      <c r="C19" s="21" t="s">
        <v>28</v>
      </c>
      <c r="D19" s="1"/>
      <c r="F19" s="103" t="s">
        <v>29</v>
      </c>
      <c r="G19" s="2" t="s">
        <v>30</v>
      </c>
      <c r="H19" s="3"/>
      <c r="I19" s="3"/>
      <c r="J19" s="3"/>
      <c r="K19" s="3"/>
      <c r="L19" s="3"/>
      <c r="M19" s="3"/>
    </row>
    <row r="20" spans="1:23">
      <c r="A20" s="328"/>
      <c r="B20" s="27" t="s">
        <v>31</v>
      </c>
      <c r="C20" s="21" t="s">
        <v>32</v>
      </c>
      <c r="D20" s="1"/>
      <c r="F20" s="103" t="s">
        <v>29</v>
      </c>
      <c r="G20" s="2" t="s">
        <v>30</v>
      </c>
      <c r="H20" s="3"/>
      <c r="I20" s="3"/>
      <c r="J20" s="3"/>
      <c r="K20" s="3"/>
      <c r="L20" s="3"/>
      <c r="M20" s="3"/>
    </row>
    <row r="21" spans="1:23">
      <c r="A21" s="104" t="s">
        <v>33</v>
      </c>
      <c r="B21" s="27" t="s">
        <v>31</v>
      </c>
      <c r="C21" s="21" t="s">
        <v>32</v>
      </c>
      <c r="D21" s="1"/>
      <c r="F21" s="103" t="s">
        <v>29</v>
      </c>
      <c r="G21" s="2" t="s">
        <v>30</v>
      </c>
      <c r="H21" s="3"/>
      <c r="I21" s="3"/>
      <c r="J21" s="3"/>
      <c r="K21" s="3"/>
      <c r="L21" s="3"/>
      <c r="M21" s="3"/>
    </row>
    <row r="22" spans="1:23">
      <c r="A22" s="322" t="s">
        <v>34</v>
      </c>
      <c r="B22" s="27" t="s">
        <v>35</v>
      </c>
      <c r="C22" s="21" t="s">
        <v>36</v>
      </c>
      <c r="D22" s="1"/>
      <c r="F22" s="103" t="s">
        <v>37</v>
      </c>
      <c r="G22" s="2" t="s">
        <v>38</v>
      </c>
      <c r="H22" s="3"/>
      <c r="I22" s="3"/>
      <c r="J22" s="3"/>
      <c r="K22" s="3"/>
      <c r="L22" s="3"/>
      <c r="M22" s="3"/>
    </row>
    <row r="23" spans="1:23">
      <c r="A23" s="323"/>
      <c r="B23" s="27" t="s">
        <v>39</v>
      </c>
      <c r="C23" s="21" t="s">
        <v>40</v>
      </c>
      <c r="D23" s="1"/>
      <c r="F23" s="2" t="s">
        <v>38</v>
      </c>
      <c r="G23" s="103" t="s">
        <v>37</v>
      </c>
      <c r="H23" s="3"/>
      <c r="I23" s="3"/>
      <c r="J23" s="3"/>
      <c r="K23" s="3"/>
      <c r="L23" s="3"/>
      <c r="M23" s="3"/>
    </row>
    <row r="24" spans="1:23">
      <c r="A24" s="51" t="s">
        <v>41</v>
      </c>
      <c r="B24" s="51" t="s">
        <v>41</v>
      </c>
      <c r="C24" s="21" t="s">
        <v>42</v>
      </c>
      <c r="D24" s="1"/>
      <c r="F24" s="103" t="s">
        <v>43</v>
      </c>
      <c r="G24" s="103" t="s">
        <v>38</v>
      </c>
      <c r="H24" s="3"/>
      <c r="I24" s="3"/>
      <c r="J24" s="3"/>
      <c r="K24" s="3"/>
      <c r="L24" s="3"/>
      <c r="M24" s="3"/>
    </row>
    <row r="25" spans="1:23" s="3" customFormat="1">
      <c r="A25" s="105" t="s">
        <v>44</v>
      </c>
      <c r="B25" s="105" t="s">
        <v>44</v>
      </c>
      <c r="C25" s="21" t="s">
        <v>45</v>
      </c>
      <c r="D25" s="1"/>
      <c r="E25"/>
      <c r="F25" s="103" t="s">
        <v>46</v>
      </c>
      <c r="G25" s="103" t="s">
        <v>38</v>
      </c>
      <c r="N25"/>
      <c r="O25"/>
      <c r="P25"/>
      <c r="Q25"/>
      <c r="R25"/>
      <c r="S25"/>
      <c r="T25"/>
      <c r="U25"/>
      <c r="V25"/>
      <c r="W25"/>
    </row>
    <row r="26" spans="1:23" s="3" customFormat="1">
      <c r="A26" s="51" t="s">
        <v>47</v>
      </c>
      <c r="B26" s="51" t="s">
        <v>47</v>
      </c>
      <c r="C26" s="21" t="s">
        <v>48</v>
      </c>
      <c r="D26" s="1"/>
      <c r="E26"/>
      <c r="F26" s="103" t="s">
        <v>43</v>
      </c>
      <c r="G26" s="103" t="s">
        <v>38</v>
      </c>
      <c r="N26"/>
      <c r="O26"/>
      <c r="P26"/>
      <c r="Q26"/>
      <c r="R26"/>
      <c r="S26"/>
      <c r="T26"/>
      <c r="U26"/>
      <c r="V26"/>
      <c r="W26"/>
    </row>
    <row r="27" spans="1:23" s="3" customFormat="1">
      <c r="A27" s="105" t="s">
        <v>49</v>
      </c>
      <c r="B27" s="105" t="s">
        <v>50</v>
      </c>
      <c r="C27" s="21"/>
      <c r="D27" s="1"/>
      <c r="E27"/>
      <c r="F27" s="103" t="s">
        <v>29</v>
      </c>
      <c r="G27" s="2" t="s">
        <v>30</v>
      </c>
      <c r="N27"/>
      <c r="O27"/>
      <c r="P27"/>
      <c r="Q27"/>
      <c r="R27"/>
      <c r="S27"/>
      <c r="T27"/>
      <c r="U27"/>
      <c r="V27"/>
      <c r="W27"/>
    </row>
    <row r="28" spans="1:23" s="3" customFormat="1">
      <c r="A28" s="1"/>
      <c r="B28" s="1"/>
      <c r="C28" s="1"/>
      <c r="D28" s="1"/>
      <c r="E28"/>
      <c r="F28" s="15"/>
      <c r="N28"/>
      <c r="O28"/>
      <c r="P28"/>
      <c r="Q28"/>
      <c r="R28"/>
      <c r="S28"/>
      <c r="T28"/>
      <c r="U28"/>
      <c r="V28"/>
      <c r="W28"/>
    </row>
    <row r="29" spans="1:23">
      <c r="F29" s="3"/>
      <c r="G29" s="3"/>
      <c r="H29" s="3"/>
      <c r="I29" s="3"/>
      <c r="J29" s="3"/>
      <c r="K29" s="3"/>
      <c r="L29" s="3"/>
      <c r="M29" s="3"/>
    </row>
    <row r="30" spans="1:23" s="3" customFormat="1">
      <c r="A30" s="143"/>
      <c r="B30" s="143"/>
      <c r="C30" s="144"/>
      <c r="D30"/>
      <c r="E30"/>
      <c r="F30" s="31" t="s">
        <v>24</v>
      </c>
      <c r="G30" s="31" t="s">
        <v>5</v>
      </c>
      <c r="H30" s="31" t="s">
        <v>51</v>
      </c>
      <c r="N30"/>
      <c r="O30"/>
      <c r="P30"/>
      <c r="Q30"/>
      <c r="R30"/>
      <c r="S30"/>
      <c r="T30"/>
      <c r="U30"/>
      <c r="V30"/>
      <c r="W30"/>
    </row>
    <row r="31" spans="1:23" s="3" customFormat="1">
      <c r="A31" s="329" t="s">
        <v>52</v>
      </c>
      <c r="B31" s="141" t="s">
        <v>53</v>
      </c>
      <c r="C31" s="142" t="s">
        <v>28</v>
      </c>
      <c r="D31" s="1"/>
      <c r="E31"/>
      <c r="F31" s="103" t="s">
        <v>29</v>
      </c>
      <c r="G31" s="2" t="s">
        <v>30</v>
      </c>
      <c r="H31" s="2" t="s">
        <v>30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329"/>
      <c r="B32" s="27" t="s">
        <v>54</v>
      </c>
      <c r="C32" s="21" t="s">
        <v>32</v>
      </c>
      <c r="D32" s="1"/>
      <c r="E32"/>
      <c r="F32" s="103" t="s">
        <v>29</v>
      </c>
      <c r="G32" s="2" t="s">
        <v>30</v>
      </c>
      <c r="H32" s="2" t="s">
        <v>30</v>
      </c>
      <c r="N32"/>
      <c r="O32"/>
      <c r="P32"/>
      <c r="Q32"/>
      <c r="R32"/>
      <c r="S32"/>
      <c r="T32"/>
      <c r="U32"/>
      <c r="V32"/>
      <c r="W32"/>
    </row>
    <row r="33" spans="1:23" s="3" customFormat="1">
      <c r="A33" s="329"/>
      <c r="B33" s="27" t="s">
        <v>55</v>
      </c>
      <c r="C33" s="21" t="s">
        <v>56</v>
      </c>
      <c r="D33" s="1"/>
      <c r="E33"/>
      <c r="F33" s="103" t="s">
        <v>29</v>
      </c>
      <c r="G33" s="2" t="s">
        <v>57</v>
      </c>
      <c r="H33" s="2" t="s">
        <v>30</v>
      </c>
      <c r="I33" s="3" t="s">
        <v>58</v>
      </c>
      <c r="N33"/>
      <c r="O33"/>
      <c r="P33"/>
      <c r="Q33"/>
      <c r="R33"/>
      <c r="S33"/>
      <c r="T33"/>
      <c r="U33"/>
      <c r="V33"/>
      <c r="W33"/>
    </row>
    <row r="34" spans="1:23" s="3" customFormat="1">
      <c r="A34" s="329"/>
      <c r="B34" s="27" t="s">
        <v>59</v>
      </c>
      <c r="C34" s="21" t="s">
        <v>60</v>
      </c>
      <c r="D34" s="1"/>
      <c r="E34"/>
      <c r="F34" s="103" t="s">
        <v>29</v>
      </c>
      <c r="G34" s="2" t="s">
        <v>30</v>
      </c>
      <c r="H34" s="2" t="s">
        <v>57</v>
      </c>
      <c r="I34" s="3" t="s">
        <v>58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329"/>
      <c r="B35" s="27" t="s">
        <v>61</v>
      </c>
      <c r="C35" s="21" t="s">
        <v>56</v>
      </c>
      <c r="D35" s="1"/>
      <c r="E35"/>
      <c r="F35" s="103" t="s">
        <v>29</v>
      </c>
      <c r="G35" s="2" t="s">
        <v>62</v>
      </c>
      <c r="H35" s="2" t="s">
        <v>30</v>
      </c>
      <c r="N35"/>
      <c r="O35"/>
      <c r="P35"/>
      <c r="Q35"/>
      <c r="R35"/>
      <c r="S35"/>
      <c r="T35"/>
      <c r="U35"/>
      <c r="V35"/>
      <c r="W35"/>
    </row>
    <row r="36" spans="1:23" s="3" customFormat="1">
      <c r="A36" s="323"/>
      <c r="B36" s="27" t="s">
        <v>63</v>
      </c>
      <c r="C36" s="21" t="s">
        <v>60</v>
      </c>
      <c r="D36" s="1"/>
      <c r="E36"/>
      <c r="F36" s="103" t="s">
        <v>29</v>
      </c>
      <c r="G36" s="2" t="s">
        <v>30</v>
      </c>
      <c r="H36" s="2" t="s">
        <v>62</v>
      </c>
      <c r="N36"/>
      <c r="O36"/>
      <c r="P36"/>
      <c r="Q36"/>
      <c r="R36"/>
      <c r="S36"/>
      <c r="T36"/>
      <c r="U36"/>
      <c r="V36"/>
      <c r="W36"/>
    </row>
    <row r="37" spans="1:23" s="3" customFormat="1">
      <c r="A37" s="104" t="s">
        <v>64</v>
      </c>
      <c r="B37" s="27" t="s">
        <v>54</v>
      </c>
      <c r="C37" s="21" t="s">
        <v>32</v>
      </c>
      <c r="D37" s="1"/>
      <c r="E37"/>
      <c r="F37" s="103" t="s">
        <v>29</v>
      </c>
      <c r="G37" s="2" t="s">
        <v>30</v>
      </c>
      <c r="H37" s="2" t="s">
        <v>30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322" t="s">
        <v>65</v>
      </c>
      <c r="B38" s="29" t="s">
        <v>66</v>
      </c>
      <c r="C38" s="21" t="s">
        <v>67</v>
      </c>
      <c r="D38" s="1"/>
      <c r="E38"/>
      <c r="F38" s="103" t="s">
        <v>37</v>
      </c>
      <c r="G38" s="2" t="s">
        <v>38</v>
      </c>
      <c r="H38" s="2" t="s">
        <v>38</v>
      </c>
      <c r="N38"/>
      <c r="O38"/>
      <c r="P38"/>
      <c r="Q38"/>
      <c r="R38"/>
      <c r="S38"/>
      <c r="T38"/>
      <c r="U38"/>
      <c r="V38"/>
      <c r="W38"/>
    </row>
    <row r="39" spans="1:23" s="3" customFormat="1">
      <c r="A39" s="329"/>
      <c r="B39" s="29" t="s">
        <v>68</v>
      </c>
      <c r="C39" s="21" t="s">
        <v>36</v>
      </c>
      <c r="D39" s="1"/>
      <c r="E39"/>
      <c r="F39" s="103" t="s">
        <v>37</v>
      </c>
      <c r="G39" s="2" t="s">
        <v>38</v>
      </c>
      <c r="H39" s="2" t="s">
        <v>57</v>
      </c>
      <c r="I39" s="3" t="s">
        <v>58</v>
      </c>
      <c r="N39"/>
      <c r="O39"/>
      <c r="P39"/>
      <c r="Q39"/>
      <c r="R39"/>
      <c r="S39"/>
      <c r="T39"/>
      <c r="U39"/>
      <c r="V39"/>
      <c r="W39"/>
    </row>
    <row r="40" spans="1:23" s="3" customFormat="1">
      <c r="A40" s="52"/>
      <c r="B40" s="29" t="s">
        <v>69</v>
      </c>
      <c r="C40" s="21" t="s">
        <v>70</v>
      </c>
      <c r="D40" s="1"/>
      <c r="E40"/>
      <c r="F40" s="103" t="s">
        <v>37</v>
      </c>
      <c r="G40" s="2" t="s">
        <v>57</v>
      </c>
      <c r="H40" s="2" t="s">
        <v>38</v>
      </c>
      <c r="I40" s="3" t="s">
        <v>58</v>
      </c>
      <c r="N40"/>
      <c r="O40"/>
      <c r="P40"/>
      <c r="Q40"/>
      <c r="R40"/>
      <c r="S40"/>
      <c r="T40"/>
      <c r="U40"/>
      <c r="V40"/>
      <c r="W40"/>
    </row>
    <row r="41" spans="1:23" s="3" customFormat="1" ht="43.15">
      <c r="A41" s="51"/>
      <c r="B41" s="8" t="s">
        <v>71</v>
      </c>
      <c r="C41" s="100" t="s">
        <v>72</v>
      </c>
      <c r="D41" s="1"/>
      <c r="E41"/>
      <c r="F41" s="103" t="s">
        <v>73</v>
      </c>
      <c r="G41" s="103" t="s">
        <v>37</v>
      </c>
      <c r="H41" s="103" t="s">
        <v>73</v>
      </c>
      <c r="N41"/>
      <c r="O41"/>
      <c r="P41"/>
      <c r="Q41"/>
      <c r="R41"/>
      <c r="S41"/>
      <c r="T41"/>
      <c r="U41"/>
      <c r="V41"/>
      <c r="W41"/>
    </row>
    <row r="42" spans="1:23" s="3" customFormat="1">
      <c r="A42" s="51" t="s">
        <v>74</v>
      </c>
      <c r="B42" s="51" t="s">
        <v>74</v>
      </c>
      <c r="C42" s="21" t="s">
        <v>42</v>
      </c>
      <c r="D42" s="1"/>
      <c r="E42"/>
      <c r="F42" s="103" t="s">
        <v>43</v>
      </c>
      <c r="G42" s="103" t="s">
        <v>38</v>
      </c>
      <c r="H42" s="103" t="s">
        <v>38</v>
      </c>
      <c r="N42"/>
      <c r="O42"/>
      <c r="P42"/>
      <c r="Q42"/>
      <c r="R42"/>
      <c r="S42"/>
      <c r="T42"/>
      <c r="U42"/>
      <c r="V42"/>
      <c r="W42"/>
    </row>
    <row r="43" spans="1:23" s="3" customFormat="1">
      <c r="A43" s="105" t="s">
        <v>75</v>
      </c>
      <c r="B43" s="105" t="s">
        <v>75</v>
      </c>
      <c r="C43" s="21" t="s">
        <v>45</v>
      </c>
      <c r="D43" s="1"/>
      <c r="E43"/>
      <c r="F43" s="103" t="s">
        <v>46</v>
      </c>
      <c r="G43" s="103" t="s">
        <v>38</v>
      </c>
      <c r="H43" s="103" t="s">
        <v>38</v>
      </c>
      <c r="N43"/>
      <c r="O43"/>
      <c r="P43"/>
      <c r="Q43"/>
      <c r="R43"/>
      <c r="S43"/>
      <c r="T43"/>
      <c r="U43"/>
      <c r="V43"/>
      <c r="W43"/>
    </row>
    <row r="44" spans="1:23" s="3" customFormat="1">
      <c r="A44" s="51" t="s">
        <v>76</v>
      </c>
      <c r="B44" s="51" t="s">
        <v>76</v>
      </c>
      <c r="C44" s="21" t="s">
        <v>48</v>
      </c>
      <c r="D44" s="1"/>
      <c r="E44"/>
      <c r="F44" s="103" t="s">
        <v>43</v>
      </c>
      <c r="G44" s="103" t="s">
        <v>38</v>
      </c>
      <c r="H44" s="103" t="s">
        <v>38</v>
      </c>
      <c r="N44"/>
      <c r="O44"/>
      <c r="P44"/>
      <c r="Q44"/>
      <c r="R44"/>
      <c r="S44"/>
      <c r="T44"/>
      <c r="U44"/>
      <c r="V44"/>
      <c r="W44"/>
    </row>
    <row r="47" spans="1:23">
      <c r="E47" s="4"/>
      <c r="F47" s="19" t="s">
        <v>77</v>
      </c>
      <c r="G47" s="19" t="s">
        <v>78</v>
      </c>
    </row>
    <row r="48" spans="1:23">
      <c r="A48" s="105" t="s">
        <v>79</v>
      </c>
      <c r="B48" s="105" t="s">
        <v>79</v>
      </c>
      <c r="C48" s="21" t="s">
        <v>80</v>
      </c>
      <c r="D48" s="1"/>
      <c r="E48" s="6"/>
      <c r="F48" s="103" t="s">
        <v>37</v>
      </c>
      <c r="G48" s="103" t="s">
        <v>38</v>
      </c>
    </row>
    <row r="49" spans="1:12">
      <c r="A49" s="1"/>
      <c r="B49" s="1"/>
      <c r="C49" s="1"/>
      <c r="D49" s="1"/>
      <c r="E49" s="6"/>
      <c r="F49" s="15"/>
      <c r="G49" s="15"/>
    </row>
    <row r="51" spans="1:12">
      <c r="E51" s="4"/>
      <c r="F51" s="19" t="s">
        <v>81</v>
      </c>
      <c r="G51" s="19" t="s">
        <v>82</v>
      </c>
      <c r="H51" s="19" t="s">
        <v>83</v>
      </c>
      <c r="I51" s="19" t="s">
        <v>84</v>
      </c>
    </row>
    <row r="52" spans="1:12">
      <c r="A52" s="105" t="s">
        <v>85</v>
      </c>
      <c r="B52" s="105" t="s">
        <v>85</v>
      </c>
      <c r="C52" s="21" t="s">
        <v>86</v>
      </c>
      <c r="D52" s="1"/>
      <c r="E52" s="5"/>
      <c r="F52" s="2" t="s">
        <v>87</v>
      </c>
      <c r="G52" s="2" t="s">
        <v>88</v>
      </c>
      <c r="H52" s="2" t="s">
        <v>89</v>
      </c>
      <c r="I52" s="2" t="s">
        <v>73</v>
      </c>
    </row>
    <row r="53" spans="1:12">
      <c r="A53" s="1"/>
      <c r="B53" s="1"/>
      <c r="C53" s="1"/>
      <c r="D53" s="1"/>
      <c r="E53" s="5"/>
      <c r="F53" s="3"/>
      <c r="G53" s="3"/>
      <c r="H53" s="3"/>
      <c r="I53" s="3"/>
    </row>
    <row r="54" spans="1:12">
      <c r="A54" s="1"/>
      <c r="B54" s="1"/>
      <c r="C54" s="1"/>
      <c r="D54" s="1"/>
      <c r="E54" s="5"/>
      <c r="F54" s="3"/>
      <c r="G54" s="3"/>
      <c r="H54" s="3"/>
      <c r="I54" s="3"/>
    </row>
    <row r="55" spans="1:12">
      <c r="A55" s="1"/>
      <c r="B55" s="1"/>
      <c r="C55" s="1"/>
      <c r="D55" s="1"/>
      <c r="E55" s="5"/>
      <c r="F55" s="147" t="s">
        <v>90</v>
      </c>
      <c r="G55" s="147" t="s">
        <v>91</v>
      </c>
      <c r="H55" s="147" t="s">
        <v>92</v>
      </c>
      <c r="I55" s="147" t="s">
        <v>93</v>
      </c>
      <c r="J55" s="147" t="s">
        <v>94</v>
      </c>
      <c r="K55" s="147" t="s">
        <v>95</v>
      </c>
    </row>
    <row r="56" spans="1:12">
      <c r="A56" s="50" t="s">
        <v>96</v>
      </c>
      <c r="B56" s="168" t="s">
        <v>97</v>
      </c>
      <c r="C56" s="21" t="s">
        <v>98</v>
      </c>
      <c r="D56" s="1"/>
      <c r="E56" s="5"/>
      <c r="F56" s="103" t="s">
        <v>37</v>
      </c>
      <c r="G56" s="145"/>
      <c r="H56" s="103" t="s">
        <v>38</v>
      </c>
      <c r="I56" s="145"/>
      <c r="J56" s="145"/>
      <c r="K56" s="145"/>
      <c r="L56" t="s">
        <v>58</v>
      </c>
    </row>
    <row r="57" spans="1:12">
      <c r="A57" s="52"/>
      <c r="B57" s="168" t="s">
        <v>99</v>
      </c>
      <c r="C57" s="21" t="s">
        <v>100</v>
      </c>
      <c r="D57" s="1"/>
      <c r="E57" s="5"/>
      <c r="F57" s="145"/>
      <c r="G57" s="145"/>
      <c r="H57" s="145"/>
      <c r="I57" s="103" t="s">
        <v>38</v>
      </c>
      <c r="J57" s="103" t="s">
        <v>37</v>
      </c>
      <c r="K57" s="145"/>
      <c r="L57" t="s">
        <v>58</v>
      </c>
    </row>
    <row r="58" spans="1:12">
      <c r="A58" s="52"/>
      <c r="B58" s="168" t="s">
        <v>101</v>
      </c>
      <c r="C58" s="21" t="s">
        <v>102</v>
      </c>
      <c r="D58" s="1"/>
      <c r="E58" s="5"/>
      <c r="F58" s="103" t="s">
        <v>37</v>
      </c>
      <c r="G58" s="145"/>
      <c r="H58" s="145"/>
      <c r="I58" s="145"/>
      <c r="J58" s="145"/>
      <c r="K58" s="103" t="s">
        <v>38</v>
      </c>
      <c r="L58" t="s">
        <v>58</v>
      </c>
    </row>
    <row r="59" spans="1:12">
      <c r="A59" s="52"/>
      <c r="B59" s="168" t="s">
        <v>103</v>
      </c>
      <c r="C59" s="21" t="s">
        <v>104</v>
      </c>
      <c r="D59" s="1"/>
      <c r="E59" s="5"/>
      <c r="F59" s="145"/>
      <c r="G59" s="145"/>
      <c r="H59" s="103" t="s">
        <v>38</v>
      </c>
      <c r="I59" s="103" t="s">
        <v>37</v>
      </c>
      <c r="J59" s="145"/>
      <c r="K59" s="145"/>
      <c r="L59" t="s">
        <v>58</v>
      </c>
    </row>
    <row r="60" spans="1:12">
      <c r="A60" s="52"/>
      <c r="B60" s="168" t="s">
        <v>105</v>
      </c>
      <c r="C60" s="21" t="s">
        <v>106</v>
      </c>
      <c r="D60" s="1"/>
      <c r="E60" s="5"/>
      <c r="F60" s="146"/>
      <c r="G60" s="102" t="s">
        <v>38</v>
      </c>
      <c r="H60" s="146"/>
      <c r="I60" s="146"/>
      <c r="J60" s="102" t="s">
        <v>37</v>
      </c>
      <c r="K60" s="146"/>
      <c r="L60" t="s">
        <v>58</v>
      </c>
    </row>
    <row r="61" spans="1:12">
      <c r="A61" s="50" t="s">
        <v>107</v>
      </c>
      <c r="B61" s="168" t="s">
        <v>108</v>
      </c>
      <c r="C61" s="21" t="s">
        <v>109</v>
      </c>
      <c r="D61" s="1"/>
      <c r="E61" s="5"/>
      <c r="F61" s="2" t="s">
        <v>89</v>
      </c>
      <c r="G61" s="145"/>
      <c r="H61" s="2" t="s">
        <v>73</v>
      </c>
      <c r="I61" s="2" t="s">
        <v>88</v>
      </c>
      <c r="J61" s="145"/>
      <c r="K61" s="2" t="s">
        <v>87</v>
      </c>
      <c r="L61" t="s">
        <v>58</v>
      </c>
    </row>
    <row r="62" spans="1:12">
      <c r="A62" s="51"/>
      <c r="B62" s="168" t="s">
        <v>110</v>
      </c>
      <c r="C62" s="21" t="s">
        <v>111</v>
      </c>
      <c r="D62" s="1"/>
      <c r="E62" s="5"/>
      <c r="F62" s="145"/>
      <c r="G62" s="2" t="s">
        <v>87</v>
      </c>
      <c r="H62" s="2" t="s">
        <v>88</v>
      </c>
      <c r="I62" s="2" t="s">
        <v>73</v>
      </c>
      <c r="J62" s="2" t="s">
        <v>89</v>
      </c>
      <c r="K62" s="145"/>
      <c r="L62" t="s">
        <v>58</v>
      </c>
    </row>
    <row r="63" spans="1:12">
      <c r="A63" s="1"/>
      <c r="B63" s="1"/>
      <c r="C63" s="1"/>
      <c r="D63" s="1"/>
      <c r="E63" s="5"/>
      <c r="F63" s="160"/>
      <c r="G63" s="3"/>
      <c r="H63" s="3"/>
      <c r="I63" s="3"/>
      <c r="J63" s="3"/>
      <c r="K63" s="160"/>
    </row>
    <row r="64" spans="1:12">
      <c r="A64" s="1"/>
      <c r="B64" s="1"/>
      <c r="C64" s="1"/>
      <c r="D64" s="1"/>
      <c r="E64" s="5"/>
      <c r="F64" s="3"/>
      <c r="G64" s="3"/>
      <c r="H64" s="3"/>
      <c r="I64" s="3"/>
    </row>
    <row r="65" spans="1:23">
      <c r="E65" s="4"/>
      <c r="F65" s="19" t="s">
        <v>112</v>
      </c>
      <c r="G65" s="19" t="s">
        <v>113</v>
      </c>
      <c r="H65" s="19" t="s">
        <v>114</v>
      </c>
    </row>
    <row r="66" spans="1:23">
      <c r="A66" s="105" t="s">
        <v>115</v>
      </c>
      <c r="B66" s="105" t="s">
        <v>115</v>
      </c>
      <c r="C66" s="21" t="s">
        <v>116</v>
      </c>
      <c r="D66" s="1"/>
      <c r="E66" s="6"/>
      <c r="F66" s="103" t="s">
        <v>37</v>
      </c>
      <c r="G66" s="103" t="s">
        <v>38</v>
      </c>
      <c r="H66" s="103" t="s">
        <v>117</v>
      </c>
      <c r="I66" s="3"/>
      <c r="J66" s="3"/>
      <c r="K66" s="3"/>
      <c r="L66" s="3"/>
      <c r="M66" s="3"/>
    </row>
    <row r="67" spans="1:23">
      <c r="A67" s="1"/>
      <c r="B67" s="1"/>
      <c r="C67" s="1"/>
      <c r="D67" s="1"/>
      <c r="E67" s="6"/>
      <c r="F67" s="15"/>
      <c r="G67" s="15"/>
      <c r="H67" s="15"/>
      <c r="I67" s="3"/>
      <c r="J67" s="3"/>
      <c r="K67" s="3"/>
      <c r="L67" s="3"/>
      <c r="M67" s="3"/>
    </row>
    <row r="68" spans="1:23">
      <c r="I68" s="3"/>
      <c r="J68" s="3"/>
      <c r="K68" s="3"/>
      <c r="L68" s="3"/>
      <c r="M68" s="3"/>
    </row>
    <row r="69" spans="1:23">
      <c r="E69" s="4"/>
      <c r="F69" s="19" t="s">
        <v>118</v>
      </c>
      <c r="G69" s="19" t="s">
        <v>119</v>
      </c>
      <c r="H69" s="3"/>
      <c r="I69" s="3"/>
      <c r="J69" s="3"/>
      <c r="K69" s="3"/>
      <c r="L69" s="3"/>
      <c r="M69" s="3"/>
    </row>
    <row r="70" spans="1:23">
      <c r="A70" s="105" t="s">
        <v>120</v>
      </c>
      <c r="B70" s="105" t="s">
        <v>120</v>
      </c>
      <c r="C70" s="21" t="s">
        <v>121</v>
      </c>
      <c r="D70" s="1"/>
      <c r="E70" s="6"/>
      <c r="F70" s="103" t="s">
        <v>37</v>
      </c>
      <c r="G70" s="103" t="s">
        <v>38</v>
      </c>
      <c r="H70" s="3"/>
    </row>
    <row r="71" spans="1:23">
      <c r="A71" s="1"/>
      <c r="B71" s="1"/>
      <c r="C71" s="1"/>
      <c r="D71" s="1"/>
      <c r="E71" s="6"/>
      <c r="F71" s="15"/>
      <c r="G71" s="15"/>
      <c r="H71" s="3"/>
      <c r="L71" s="15"/>
      <c r="M71" s="15"/>
      <c r="N71" s="1"/>
      <c r="O71" s="1"/>
      <c r="P71" s="1"/>
      <c r="Q71" s="1"/>
      <c r="R71" s="1"/>
    </row>
    <row r="72" spans="1:23">
      <c r="L72" s="15"/>
      <c r="M72" s="15"/>
      <c r="N72" s="1"/>
      <c r="O72" s="1"/>
      <c r="P72" s="1"/>
      <c r="Q72" s="1"/>
      <c r="R72" s="1"/>
    </row>
    <row r="73" spans="1:23">
      <c r="F73" s="24" t="s">
        <v>112</v>
      </c>
      <c r="G73" s="24" t="s">
        <v>113</v>
      </c>
      <c r="H73" s="24" t="s">
        <v>122</v>
      </c>
      <c r="I73" s="24" t="s">
        <v>123</v>
      </c>
      <c r="J73" s="19" t="s">
        <v>124</v>
      </c>
      <c r="K73" s="19" t="s">
        <v>125</v>
      </c>
      <c r="L73" s="15"/>
      <c r="M73" s="15"/>
      <c r="N73" s="1"/>
      <c r="O73" s="1"/>
      <c r="P73" s="1"/>
      <c r="Q73" s="1"/>
      <c r="R73" s="1"/>
    </row>
    <row r="74" spans="1:23">
      <c r="A74" s="321" t="s">
        <v>126</v>
      </c>
      <c r="B74" s="101" t="s">
        <v>127</v>
      </c>
      <c r="C74" s="23" t="s">
        <v>128</v>
      </c>
      <c r="D74" s="28"/>
      <c r="F74" s="103" t="s">
        <v>29</v>
      </c>
      <c r="G74" s="103" t="s">
        <v>29</v>
      </c>
      <c r="H74" s="2" t="s">
        <v>30</v>
      </c>
      <c r="I74" s="2" t="s">
        <v>30</v>
      </c>
      <c r="J74" s="2" t="s">
        <v>30</v>
      </c>
      <c r="K74" s="2" t="s">
        <v>30</v>
      </c>
      <c r="L74" s="15"/>
      <c r="M74" s="15"/>
      <c r="N74" s="1"/>
      <c r="O74" s="1"/>
      <c r="P74" s="1"/>
      <c r="Q74" s="1"/>
      <c r="R74" s="1"/>
    </row>
    <row r="75" spans="1:23">
      <c r="A75" s="321"/>
      <c r="B75" s="7" t="s">
        <v>129</v>
      </c>
      <c r="C75" s="23" t="s">
        <v>130</v>
      </c>
      <c r="D75" s="28"/>
      <c r="F75" s="103" t="s">
        <v>29</v>
      </c>
      <c r="G75" s="103" t="s">
        <v>29</v>
      </c>
      <c r="H75" s="2" t="s">
        <v>62</v>
      </c>
      <c r="I75" s="2" t="s">
        <v>62</v>
      </c>
      <c r="J75" s="2" t="s">
        <v>62</v>
      </c>
      <c r="K75" s="2" t="s">
        <v>30</v>
      </c>
      <c r="L75" s="15"/>
      <c r="M75" s="15"/>
      <c r="N75" s="1"/>
      <c r="O75" s="1"/>
      <c r="P75" s="1"/>
      <c r="Q75" s="1"/>
      <c r="R75" s="1"/>
    </row>
    <row r="76" spans="1:23">
      <c r="A76" s="321"/>
      <c r="B76" s="7" t="s">
        <v>131</v>
      </c>
      <c r="C76" s="23" t="s">
        <v>132</v>
      </c>
      <c r="D76" s="28"/>
      <c r="F76" s="103" t="s">
        <v>29</v>
      </c>
      <c r="G76" s="103" t="s">
        <v>29</v>
      </c>
      <c r="H76" s="2" t="s">
        <v>30</v>
      </c>
      <c r="I76" s="2" t="s">
        <v>30</v>
      </c>
      <c r="J76" s="2" t="s">
        <v>62</v>
      </c>
      <c r="K76" s="2" t="s">
        <v>62</v>
      </c>
      <c r="L76" s="15"/>
      <c r="M76" s="15"/>
      <c r="N76" s="1"/>
      <c r="O76" s="1"/>
      <c r="P76" s="1"/>
      <c r="Q76" s="1"/>
      <c r="R76" s="1"/>
    </row>
    <row r="77" spans="1:23">
      <c r="A77" s="321"/>
      <c r="B77" s="7" t="s">
        <v>133</v>
      </c>
      <c r="C77" s="23" t="s">
        <v>134</v>
      </c>
      <c r="D77" s="28"/>
      <c r="F77" s="103" t="s">
        <v>29</v>
      </c>
      <c r="G77" s="103" t="s">
        <v>29</v>
      </c>
      <c r="H77" s="2" t="s">
        <v>30</v>
      </c>
      <c r="I77" s="2" t="s">
        <v>62</v>
      </c>
      <c r="J77" s="2" t="s">
        <v>62</v>
      </c>
      <c r="K77" s="2" t="s">
        <v>62</v>
      </c>
      <c r="L77" s="15"/>
      <c r="M77" s="15"/>
      <c r="N77" s="1"/>
      <c r="O77" s="1"/>
      <c r="P77" s="1"/>
      <c r="Q77" s="1"/>
      <c r="R77" s="1"/>
    </row>
    <row r="78" spans="1:23">
      <c r="A78" s="321"/>
      <c r="B78" s="7" t="s">
        <v>135</v>
      </c>
      <c r="C78" s="23" t="s">
        <v>136</v>
      </c>
      <c r="D78" s="28"/>
      <c r="F78" s="103" t="s">
        <v>29</v>
      </c>
      <c r="G78" s="103" t="s">
        <v>29</v>
      </c>
      <c r="H78" s="2" t="s">
        <v>62</v>
      </c>
      <c r="I78" s="2" t="s">
        <v>30</v>
      </c>
      <c r="J78" s="2" t="s">
        <v>62</v>
      </c>
      <c r="K78" s="2" t="s">
        <v>62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79" spans="1:23">
      <c r="A79" s="321"/>
      <c r="B79" s="7" t="s">
        <v>137</v>
      </c>
      <c r="C79" s="23" t="s">
        <v>138</v>
      </c>
      <c r="D79" s="28"/>
      <c r="F79" s="103" t="s">
        <v>29</v>
      </c>
      <c r="G79" s="103" t="s">
        <v>29</v>
      </c>
      <c r="H79" s="2" t="s">
        <v>62</v>
      </c>
      <c r="I79" s="2" t="s">
        <v>62</v>
      </c>
      <c r="J79" s="2" t="s">
        <v>30</v>
      </c>
      <c r="K79" s="2" t="s">
        <v>62</v>
      </c>
      <c r="L79" s="15"/>
      <c r="M79" s="15"/>
      <c r="N79" s="1"/>
      <c r="O79" s="1"/>
      <c r="P79" s="1"/>
      <c r="Q79" s="1"/>
      <c r="R79" s="1"/>
      <c r="S79" s="3"/>
      <c r="T79" s="3"/>
      <c r="U79" s="3"/>
      <c r="V79" s="3"/>
      <c r="W79" s="3"/>
    </row>
    <row r="80" spans="1:23">
      <c r="A80" s="321" t="s">
        <v>139</v>
      </c>
      <c r="B80" s="7" t="s">
        <v>140</v>
      </c>
      <c r="C80" s="23" t="s">
        <v>141</v>
      </c>
      <c r="D80" s="28"/>
      <c r="F80" s="2" t="s">
        <v>37</v>
      </c>
      <c r="G80" s="2"/>
      <c r="H80" s="2" t="s">
        <v>62</v>
      </c>
      <c r="I80" s="2" t="s">
        <v>62</v>
      </c>
      <c r="J80" s="2" t="s">
        <v>62</v>
      </c>
      <c r="K80" s="2" t="s">
        <v>62</v>
      </c>
      <c r="L80" s="15"/>
      <c r="M80" s="15"/>
      <c r="N80" s="1"/>
      <c r="O80" s="1"/>
      <c r="P80" s="1"/>
      <c r="Q80" s="1"/>
      <c r="R80" s="1"/>
      <c r="S80" s="3"/>
      <c r="T80" s="3"/>
      <c r="U80" s="3"/>
      <c r="V80" s="3"/>
      <c r="W80" s="3"/>
    </row>
    <row r="81" spans="1:23">
      <c r="A81" s="321"/>
      <c r="B81" s="7" t="s">
        <v>142</v>
      </c>
      <c r="C81" s="23" t="s">
        <v>143</v>
      </c>
      <c r="D81" s="28"/>
      <c r="F81" s="2" t="s">
        <v>37</v>
      </c>
      <c r="G81" s="2"/>
      <c r="H81" s="2"/>
      <c r="I81" s="2"/>
      <c r="J81" s="2"/>
      <c r="K81" s="2" t="s">
        <v>62</v>
      </c>
      <c r="L81" s="15"/>
      <c r="M81" s="15"/>
      <c r="N81" s="1"/>
      <c r="O81" s="1"/>
      <c r="P81" s="1"/>
      <c r="Q81" s="1"/>
      <c r="R81" s="1"/>
      <c r="S81" s="3"/>
      <c r="T81" s="3"/>
      <c r="U81" s="3"/>
      <c r="V81" s="3"/>
      <c r="W81" s="3"/>
    </row>
    <row r="82" spans="1:23">
      <c r="A82" s="321"/>
      <c r="B82" s="7" t="s">
        <v>144</v>
      </c>
      <c r="C82" s="23" t="s">
        <v>145</v>
      </c>
      <c r="D82" s="28"/>
      <c r="F82" s="2" t="s">
        <v>37</v>
      </c>
      <c r="G82" s="2"/>
      <c r="H82" s="2" t="s">
        <v>62</v>
      </c>
      <c r="I82" s="2" t="s">
        <v>62</v>
      </c>
      <c r="J82" s="2"/>
      <c r="K82" s="2"/>
      <c r="L82" s="15"/>
      <c r="M82" s="15"/>
      <c r="N82" s="1"/>
      <c r="O82" s="1"/>
      <c r="P82" s="1"/>
      <c r="Q82" s="1"/>
      <c r="R82" s="1"/>
      <c r="S82" s="3"/>
      <c r="T82" s="3"/>
      <c r="U82" s="3"/>
      <c r="V82" s="3"/>
      <c r="W82" s="3"/>
    </row>
    <row r="83" spans="1:23">
      <c r="A83" s="321"/>
      <c r="B83" s="7" t="s">
        <v>146</v>
      </c>
      <c r="C83" s="23" t="s">
        <v>147</v>
      </c>
      <c r="D83" s="28"/>
      <c r="F83" s="2" t="s">
        <v>37</v>
      </c>
      <c r="G83" s="2"/>
      <c r="H83" s="2" t="s">
        <v>62</v>
      </c>
      <c r="I83" s="2"/>
      <c r="J83" s="2"/>
      <c r="K83" s="2"/>
      <c r="L83" s="15"/>
      <c r="M83" s="15"/>
      <c r="N83" s="1"/>
      <c r="O83" s="1"/>
      <c r="P83" s="1"/>
      <c r="Q83" s="1"/>
      <c r="R83" s="1"/>
      <c r="S83" s="3"/>
      <c r="T83" s="3"/>
      <c r="U83" s="3"/>
      <c r="V83" s="3"/>
      <c r="W83" s="3"/>
    </row>
    <row r="84" spans="1:23">
      <c r="A84" s="321"/>
      <c r="B84" s="7" t="s">
        <v>148</v>
      </c>
      <c r="C84" s="23" t="s">
        <v>149</v>
      </c>
      <c r="D84" s="28"/>
      <c r="F84" s="2" t="s">
        <v>37</v>
      </c>
      <c r="G84" s="2"/>
      <c r="H84" s="2"/>
      <c r="I84" s="2" t="s">
        <v>62</v>
      </c>
      <c r="J84" s="2"/>
      <c r="K84" s="2"/>
      <c r="L84" s="15"/>
      <c r="M84" s="15"/>
      <c r="N84" s="1"/>
      <c r="O84" s="1"/>
      <c r="P84" s="1"/>
      <c r="Q84" s="1"/>
      <c r="R84" s="1"/>
      <c r="S84" s="3"/>
      <c r="T84" s="3"/>
      <c r="U84" s="3"/>
      <c r="V84" s="3"/>
      <c r="W84" s="3"/>
    </row>
    <row r="85" spans="1:23">
      <c r="A85" s="321"/>
      <c r="B85" s="7" t="s">
        <v>150</v>
      </c>
      <c r="C85" s="23" t="s">
        <v>151</v>
      </c>
      <c r="D85" s="28"/>
      <c r="F85" s="2" t="s">
        <v>37</v>
      </c>
      <c r="G85" s="2"/>
      <c r="H85" s="2"/>
      <c r="I85" s="2"/>
      <c r="J85" s="2" t="s">
        <v>62</v>
      </c>
      <c r="K85" s="2"/>
    </row>
    <row r="86" spans="1:23">
      <c r="A86" s="321"/>
      <c r="B86" s="7" t="s">
        <v>152</v>
      </c>
      <c r="C86" s="23" t="s">
        <v>153</v>
      </c>
      <c r="D86" s="28"/>
      <c r="F86" s="2"/>
      <c r="G86" s="2"/>
      <c r="H86" s="2"/>
      <c r="I86" s="2"/>
      <c r="J86" s="2" t="s">
        <v>37</v>
      </c>
      <c r="K86" s="2" t="s">
        <v>62</v>
      </c>
    </row>
    <row r="87" spans="1:23">
      <c r="A87" s="105" t="s">
        <v>154</v>
      </c>
      <c r="B87" s="105" t="s">
        <v>79</v>
      </c>
      <c r="C87" s="21" t="s">
        <v>80</v>
      </c>
      <c r="D87" s="28"/>
      <c r="F87" s="103" t="s">
        <v>37</v>
      </c>
      <c r="G87" s="103" t="s">
        <v>38</v>
      </c>
      <c r="H87" s="2"/>
      <c r="I87" s="2"/>
      <c r="J87" s="2"/>
      <c r="K87" s="2"/>
    </row>
    <row r="89" spans="1:23">
      <c r="F89" s="176" t="s">
        <v>5</v>
      </c>
      <c r="G89" s="176" t="s">
        <v>6</v>
      </c>
      <c r="H89" s="176" t="s">
        <v>155</v>
      </c>
      <c r="I89" s="176" t="s">
        <v>156</v>
      </c>
      <c r="J89" s="176" t="s">
        <v>157</v>
      </c>
    </row>
    <row r="90" spans="1:23">
      <c r="A90" s="29" t="s">
        <v>158</v>
      </c>
      <c r="B90" s="29" t="s">
        <v>158</v>
      </c>
      <c r="C90" s="25" t="s">
        <v>159</v>
      </c>
      <c r="F90" s="177" t="s">
        <v>160</v>
      </c>
      <c r="G90" s="177" t="s">
        <v>38</v>
      </c>
      <c r="H90" s="177" t="s">
        <v>160</v>
      </c>
      <c r="I90" s="177" t="s">
        <v>161</v>
      </c>
      <c r="J90" s="177" t="s">
        <v>162</v>
      </c>
      <c r="K90" s="3"/>
      <c r="L90" s="3"/>
      <c r="M90" s="3"/>
    </row>
    <row r="91" spans="1:23">
      <c r="A91" s="29" t="s">
        <v>163</v>
      </c>
      <c r="B91" s="29" t="s">
        <v>163</v>
      </c>
      <c r="C91" s="25" t="s">
        <v>164</v>
      </c>
      <c r="F91" s="177" t="s">
        <v>160</v>
      </c>
      <c r="G91" s="177" t="s">
        <v>38</v>
      </c>
      <c r="H91" s="177" t="s">
        <v>160</v>
      </c>
      <c r="I91" s="177" t="s">
        <v>161</v>
      </c>
      <c r="J91" s="177" t="s">
        <v>165</v>
      </c>
      <c r="K91" s="3"/>
      <c r="L91" s="3"/>
      <c r="M91" s="3"/>
    </row>
    <row r="92" spans="1:23" ht="15" thickBot="1"/>
    <row r="93" spans="1:23">
      <c r="A93" s="336" t="s">
        <v>792</v>
      </c>
      <c r="B93" s="336" t="s">
        <v>792</v>
      </c>
      <c r="C93" s="276" t="s">
        <v>793</v>
      </c>
    </row>
    <row r="94" spans="1:23">
      <c r="A94" s="336"/>
      <c r="B94" s="336"/>
      <c r="C94" s="277" t="s">
        <v>794</v>
      </c>
    </row>
    <row r="95" spans="1:23" ht="15" thickBot="1">
      <c r="A95" s="336"/>
      <c r="B95" s="336"/>
      <c r="C95" s="278" t="s">
        <v>795</v>
      </c>
    </row>
    <row r="96" spans="1:23">
      <c r="A96" s="336"/>
      <c r="B96" s="336"/>
      <c r="C96" s="276" t="s">
        <v>796</v>
      </c>
    </row>
    <row r="97" spans="1:3">
      <c r="A97" s="336"/>
      <c r="B97" s="336"/>
      <c r="C97" s="277" t="s">
        <v>797</v>
      </c>
    </row>
    <row r="98" spans="1:3" ht="15" thickBot="1">
      <c r="A98" s="336"/>
      <c r="B98" s="336"/>
      <c r="C98" s="278" t="s">
        <v>798</v>
      </c>
    </row>
    <row r="99" spans="1:3">
      <c r="A99" s="336"/>
      <c r="B99" s="336"/>
      <c r="C99" s="277" t="s">
        <v>799</v>
      </c>
    </row>
    <row r="100" spans="1:3">
      <c r="A100" s="336"/>
      <c r="B100" s="336"/>
      <c r="C100" s="277" t="s">
        <v>800</v>
      </c>
    </row>
    <row r="101" spans="1:3" ht="15" thickBot="1">
      <c r="A101" s="336"/>
      <c r="B101" s="336"/>
      <c r="C101" s="278" t="s">
        <v>801</v>
      </c>
    </row>
    <row r="102" spans="1:3">
      <c r="A102" s="336"/>
      <c r="B102" s="336"/>
      <c r="C102" s="277" t="s">
        <v>802</v>
      </c>
    </row>
    <row r="103" spans="1:3">
      <c r="A103" s="336"/>
      <c r="B103" s="336"/>
      <c r="C103" s="277" t="s">
        <v>803</v>
      </c>
    </row>
    <row r="104" spans="1:3" ht="15" thickBot="1">
      <c r="A104" s="336"/>
      <c r="B104" s="336"/>
      <c r="C104" s="278" t="s">
        <v>804</v>
      </c>
    </row>
    <row r="105" spans="1:3">
      <c r="A105" s="336"/>
      <c r="B105" s="336"/>
      <c r="C105" s="277" t="s">
        <v>805</v>
      </c>
    </row>
    <row r="106" spans="1:3">
      <c r="A106" s="336"/>
      <c r="B106" s="336"/>
      <c r="C106" s="277" t="s">
        <v>806</v>
      </c>
    </row>
    <row r="107" spans="1:3" ht="15" thickBot="1">
      <c r="A107" s="336"/>
      <c r="B107" s="336"/>
      <c r="C107" s="278" t="s">
        <v>807</v>
      </c>
    </row>
    <row r="108" spans="1:3">
      <c r="A108" s="336" t="s">
        <v>808</v>
      </c>
      <c r="B108" s="336" t="s">
        <v>808</v>
      </c>
      <c r="C108" s="277" t="s">
        <v>809</v>
      </c>
    </row>
    <row r="109" spans="1:3">
      <c r="A109" s="336"/>
      <c r="B109" s="336"/>
      <c r="C109" s="277" t="s">
        <v>810</v>
      </c>
    </row>
    <row r="110" spans="1:3">
      <c r="A110" s="336"/>
      <c r="B110" s="336"/>
      <c r="C110" s="277" t="s">
        <v>811</v>
      </c>
    </row>
    <row r="111" spans="1:3" ht="15" thickBot="1">
      <c r="A111" s="336"/>
      <c r="B111" s="336"/>
      <c r="C111" s="278" t="s">
        <v>812</v>
      </c>
    </row>
    <row r="112" spans="1:3">
      <c r="A112" s="336"/>
      <c r="B112" s="336"/>
      <c r="C112" s="277" t="s">
        <v>813</v>
      </c>
    </row>
    <row r="113" spans="1:3">
      <c r="A113" s="336"/>
      <c r="B113" s="336"/>
      <c r="C113" s="277" t="s">
        <v>814</v>
      </c>
    </row>
    <row r="114" spans="1:3">
      <c r="A114" s="336"/>
      <c r="B114" s="336"/>
      <c r="C114" s="277" t="s">
        <v>815</v>
      </c>
    </row>
    <row r="115" spans="1:3" ht="15" thickBot="1">
      <c r="A115" s="336"/>
      <c r="B115" s="336"/>
      <c r="C115" s="278" t="s">
        <v>816</v>
      </c>
    </row>
    <row r="116" spans="1:3">
      <c r="A116" s="336"/>
      <c r="B116" s="336"/>
      <c r="C116" s="277" t="s">
        <v>817</v>
      </c>
    </row>
    <row r="117" spans="1:3">
      <c r="A117" s="336"/>
      <c r="B117" s="336"/>
      <c r="C117" s="277" t="s">
        <v>818</v>
      </c>
    </row>
    <row r="118" spans="1:3">
      <c r="A118" s="336"/>
      <c r="B118" s="336"/>
      <c r="C118" s="277" t="s">
        <v>819</v>
      </c>
    </row>
    <row r="119" spans="1:3" ht="15" thickBot="1">
      <c r="A119" s="336"/>
      <c r="B119" s="336"/>
      <c r="C119" s="278" t="s">
        <v>820</v>
      </c>
    </row>
    <row r="120" spans="1:3">
      <c r="A120" s="336"/>
      <c r="B120" s="336"/>
      <c r="C120" s="277" t="s">
        <v>821</v>
      </c>
    </row>
    <row r="121" spans="1:3">
      <c r="A121" s="336"/>
      <c r="B121" s="336"/>
      <c r="C121" s="277" t="s">
        <v>822</v>
      </c>
    </row>
    <row r="122" spans="1:3">
      <c r="A122" s="336"/>
      <c r="B122" s="336"/>
      <c r="C122" s="277" t="s">
        <v>823</v>
      </c>
    </row>
    <row r="123" spans="1:3" ht="15" thickBot="1">
      <c r="A123" s="336"/>
      <c r="B123" s="336"/>
      <c r="C123" s="278" t="s">
        <v>824</v>
      </c>
    </row>
    <row r="124" spans="1:3">
      <c r="A124" s="336"/>
      <c r="B124" s="336"/>
      <c r="C124" s="277" t="s">
        <v>825</v>
      </c>
    </row>
    <row r="125" spans="1:3">
      <c r="A125" s="336"/>
      <c r="B125" s="336"/>
      <c r="C125" s="277" t="s">
        <v>826</v>
      </c>
    </row>
    <row r="126" spans="1:3">
      <c r="A126" s="336"/>
      <c r="B126" s="336"/>
      <c r="C126" s="277" t="s">
        <v>827</v>
      </c>
    </row>
    <row r="127" spans="1:3" ht="15" thickBot="1">
      <c r="A127" s="336"/>
      <c r="B127" s="336"/>
      <c r="C127" s="278" t="s">
        <v>828</v>
      </c>
    </row>
    <row r="128" spans="1:3">
      <c r="A128" s="336"/>
      <c r="B128" s="336"/>
      <c r="C128" s="277" t="s">
        <v>829</v>
      </c>
    </row>
    <row r="129" spans="1:23">
      <c r="A129" s="336"/>
      <c r="B129" s="336"/>
      <c r="C129" s="277" t="s">
        <v>830</v>
      </c>
    </row>
    <row r="130" spans="1:23">
      <c r="A130" s="336"/>
      <c r="B130" s="336"/>
      <c r="C130" s="277" t="s">
        <v>831</v>
      </c>
    </row>
    <row r="131" spans="1:23" ht="15" thickBot="1">
      <c r="A131" s="336"/>
      <c r="B131" s="336"/>
      <c r="C131" s="278" t="s">
        <v>832</v>
      </c>
    </row>
    <row r="132" spans="1:23">
      <c r="A132" s="336"/>
      <c r="B132" s="336"/>
      <c r="C132" s="277" t="s">
        <v>833</v>
      </c>
    </row>
    <row r="133" spans="1:23">
      <c r="A133" s="336"/>
      <c r="B133" s="336"/>
      <c r="C133" s="277" t="s">
        <v>834</v>
      </c>
    </row>
    <row r="134" spans="1:23">
      <c r="A134" s="336"/>
      <c r="B134" s="336"/>
      <c r="C134" s="277" t="s">
        <v>835</v>
      </c>
    </row>
    <row r="135" spans="1:23" ht="15" thickBot="1">
      <c r="A135" s="336"/>
      <c r="B135" s="336"/>
      <c r="C135" s="278" t="s">
        <v>836</v>
      </c>
    </row>
    <row r="138" spans="1:23">
      <c r="A138" s="279"/>
      <c r="B138" s="279"/>
      <c r="C138" s="279"/>
      <c r="D138" s="279"/>
      <c r="E138" s="279"/>
      <c r="F138" s="280" t="s">
        <v>837</v>
      </c>
      <c r="G138" s="281" t="s">
        <v>838</v>
      </c>
      <c r="H138" s="281" t="s">
        <v>839</v>
      </c>
      <c r="I138" s="281" t="s">
        <v>840</v>
      </c>
      <c r="J138" s="281" t="s">
        <v>841</v>
      </c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</row>
    <row r="139" spans="1:23" ht="57.6">
      <c r="A139" s="282" t="s">
        <v>842</v>
      </c>
      <c r="B139" s="283" t="s">
        <v>842</v>
      </c>
      <c r="C139" s="284" t="s">
        <v>843</v>
      </c>
      <c r="D139" s="279"/>
      <c r="E139" s="279"/>
      <c r="F139" s="291" t="s">
        <v>37</v>
      </c>
      <c r="G139" s="292" t="s">
        <v>37</v>
      </c>
      <c r="H139" s="292">
        <v>0</v>
      </c>
      <c r="I139" s="285" t="s">
        <v>37</v>
      </c>
      <c r="J139" s="285">
        <v>0</v>
      </c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</row>
    <row r="140" spans="1:23">
      <c r="A140" s="286"/>
      <c r="B140" s="287"/>
      <c r="C140" s="288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</row>
    <row r="141" spans="1:23">
      <c r="A141" s="286"/>
      <c r="B141" s="287"/>
      <c r="C141" s="288"/>
      <c r="D141" s="279"/>
      <c r="E141" s="279"/>
      <c r="F141" s="290" t="s">
        <v>844</v>
      </c>
      <c r="G141" s="290" t="s">
        <v>845</v>
      </c>
      <c r="H141" s="290" t="s">
        <v>846</v>
      </c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</row>
    <row r="142" spans="1:23" ht="43.15">
      <c r="A142" s="286" t="s">
        <v>847</v>
      </c>
      <c r="B142" s="287" t="s">
        <v>842</v>
      </c>
      <c r="C142" s="288" t="s">
        <v>848</v>
      </c>
      <c r="D142" s="279"/>
      <c r="E142" s="279"/>
      <c r="F142" s="290" t="s">
        <v>29</v>
      </c>
      <c r="G142" s="290" t="s">
        <v>30</v>
      </c>
      <c r="H142" s="290" t="s">
        <v>62</v>
      </c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</row>
  </sheetData>
  <mergeCells count="12">
    <mergeCell ref="A38:A39"/>
    <mergeCell ref="F1:L1"/>
    <mergeCell ref="A3:A15"/>
    <mergeCell ref="A19:A20"/>
    <mergeCell ref="A22:A23"/>
    <mergeCell ref="A31:A36"/>
    <mergeCell ref="A74:A79"/>
    <mergeCell ref="A80:A86"/>
    <mergeCell ref="A93:A107"/>
    <mergeCell ref="B93:B107"/>
    <mergeCell ref="A108:A135"/>
    <mergeCell ref="B108:B13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096F-A3E7-4A58-ACF4-D551C903746E}">
  <sheetPr>
    <tabColor theme="5" tint="0.59999389629810485"/>
  </sheetPr>
  <dimension ref="A1:W149"/>
  <sheetViews>
    <sheetView topLeftCell="A141" workbookViewId="0">
      <selection activeCell="A17" sqref="A17"/>
    </sheetView>
  </sheetViews>
  <sheetFormatPr defaultRowHeight="14.45"/>
  <cols>
    <col min="1" max="1" width="21.5703125" bestFit="1" customWidth="1"/>
    <col min="2" max="2" width="28.7109375" bestFit="1" customWidth="1"/>
    <col min="3" max="3" width="27.140625" bestFit="1" customWidth="1"/>
    <col min="6" max="6" width="32.7109375" bestFit="1" customWidth="1"/>
    <col min="7" max="7" width="34.28515625" bestFit="1" customWidth="1"/>
    <col min="8" max="8" width="26.28515625" bestFit="1" customWidth="1"/>
    <col min="9" max="9" width="19.85546875" bestFit="1" customWidth="1"/>
    <col min="10" max="10" width="15.28515625" bestFit="1" customWidth="1"/>
  </cols>
  <sheetData>
    <row r="1" spans="1:12">
      <c r="A1" s="20" t="s">
        <v>0</v>
      </c>
      <c r="B1" s="20" t="s">
        <v>1</v>
      </c>
      <c r="C1" s="22" t="s">
        <v>2</v>
      </c>
      <c r="D1" s="14"/>
      <c r="E1" s="4"/>
      <c r="F1" s="324" t="s">
        <v>3</v>
      </c>
      <c r="G1" s="325"/>
      <c r="H1" s="325"/>
      <c r="I1" s="325"/>
      <c r="J1" s="325"/>
      <c r="K1" s="325"/>
      <c r="L1" s="326"/>
    </row>
    <row r="2" spans="1:12">
      <c r="A2" s="64"/>
      <c r="B2" s="20"/>
      <c r="C2" s="22"/>
      <c r="D2" s="14"/>
      <c r="E2" s="4"/>
      <c r="F2" s="99" t="s">
        <v>786</v>
      </c>
      <c r="G2" s="99" t="s">
        <v>787</v>
      </c>
      <c r="H2" s="99" t="s">
        <v>788</v>
      </c>
      <c r="I2" s="99" t="s">
        <v>789</v>
      </c>
      <c r="J2" s="99" t="s">
        <v>790</v>
      </c>
    </row>
    <row r="3" spans="1:12">
      <c r="A3" s="330" t="s">
        <v>9</v>
      </c>
      <c r="B3" s="105" t="s">
        <v>10</v>
      </c>
      <c r="C3" s="21"/>
      <c r="D3" s="1"/>
      <c r="E3" s="6"/>
      <c r="F3" s="103"/>
      <c r="G3" s="103"/>
      <c r="H3" s="103"/>
      <c r="I3" s="103"/>
      <c r="J3" s="103"/>
    </row>
    <row r="4" spans="1:12">
      <c r="A4" s="331"/>
      <c r="B4" s="50" t="s">
        <v>166</v>
      </c>
      <c r="C4" s="21"/>
      <c r="D4" s="1"/>
      <c r="F4" s="103"/>
      <c r="G4" s="103"/>
      <c r="H4" s="103"/>
      <c r="I4" s="103"/>
      <c r="J4" s="103"/>
    </row>
    <row r="5" spans="1:12">
      <c r="A5" s="331"/>
      <c r="B5" s="105" t="s">
        <v>167</v>
      </c>
      <c r="C5" s="21"/>
      <c r="D5" s="1"/>
      <c r="F5" s="103"/>
      <c r="G5" s="103"/>
      <c r="H5" s="103"/>
      <c r="I5" s="103"/>
      <c r="J5" s="103"/>
    </row>
    <row r="6" spans="1:12">
      <c r="A6" s="331"/>
      <c r="B6" s="105" t="s">
        <v>11</v>
      </c>
      <c r="C6" s="21"/>
      <c r="D6" s="1"/>
      <c r="F6" s="103"/>
      <c r="G6" s="103"/>
      <c r="H6" s="103"/>
      <c r="I6" s="103"/>
      <c r="J6" s="103"/>
    </row>
    <row r="7" spans="1:12">
      <c r="A7" s="331"/>
      <c r="B7" s="105" t="s">
        <v>16</v>
      </c>
      <c r="C7" s="21"/>
      <c r="D7" s="1"/>
      <c r="F7" s="103"/>
      <c r="G7" s="103"/>
      <c r="H7" s="103"/>
      <c r="I7" s="103"/>
      <c r="J7" s="103"/>
    </row>
    <row r="8" spans="1:12">
      <c r="A8" s="331"/>
      <c r="B8" s="105" t="s">
        <v>17</v>
      </c>
      <c r="C8" s="21"/>
      <c r="D8" s="1"/>
      <c r="F8" s="103"/>
      <c r="G8" s="103"/>
      <c r="H8" s="103"/>
      <c r="I8" s="103"/>
      <c r="J8" s="103"/>
    </row>
    <row r="9" spans="1:12">
      <c r="A9" s="331"/>
      <c r="B9" s="105" t="s">
        <v>12</v>
      </c>
      <c r="C9" s="21"/>
      <c r="D9" s="1"/>
      <c r="F9" s="103"/>
      <c r="G9" s="103"/>
      <c r="H9" s="103"/>
      <c r="I9" s="103"/>
      <c r="J9" s="103"/>
    </row>
    <row r="10" spans="1:12">
      <c r="A10" s="331"/>
      <c r="B10" s="105" t="s">
        <v>20</v>
      </c>
      <c r="C10" s="21"/>
      <c r="D10" s="1"/>
      <c r="F10" s="103"/>
      <c r="G10" s="103"/>
      <c r="H10" s="103"/>
      <c r="I10" s="103"/>
      <c r="J10" s="103"/>
    </row>
    <row r="11" spans="1:12">
      <c r="A11" s="331"/>
      <c r="B11" s="105" t="s">
        <v>13</v>
      </c>
      <c r="C11" s="21"/>
      <c r="D11" s="1"/>
      <c r="F11" s="103"/>
      <c r="G11" s="103"/>
      <c r="H11" s="103"/>
      <c r="I11" s="103"/>
      <c r="J11" s="103"/>
    </row>
    <row r="12" spans="1:12">
      <c r="A12" s="331"/>
      <c r="B12" s="105" t="s">
        <v>21</v>
      </c>
      <c r="C12" s="21"/>
      <c r="D12" s="1"/>
      <c r="F12" s="103"/>
      <c r="G12" s="103"/>
      <c r="H12" s="103"/>
      <c r="I12" s="103"/>
      <c r="J12" s="103"/>
    </row>
    <row r="13" spans="1:12">
      <c r="A13" s="331"/>
      <c r="B13" s="105" t="s">
        <v>15</v>
      </c>
      <c r="C13" s="21"/>
      <c r="D13" s="1"/>
      <c r="F13" s="103"/>
      <c r="G13" s="103"/>
      <c r="H13" s="103"/>
      <c r="I13" s="103"/>
      <c r="J13" s="103"/>
    </row>
    <row r="14" spans="1:12">
      <c r="A14" s="331"/>
      <c r="B14" s="105" t="s">
        <v>14</v>
      </c>
      <c r="C14" s="21"/>
      <c r="D14" s="1"/>
      <c r="F14" s="103"/>
      <c r="G14" s="103"/>
      <c r="H14" s="103"/>
      <c r="I14" s="103"/>
      <c r="J14" s="103"/>
    </row>
    <row r="15" spans="1:12">
      <c r="A15" s="332"/>
      <c r="B15" s="105" t="s">
        <v>22</v>
      </c>
      <c r="C15" s="21"/>
      <c r="F15" s="103"/>
      <c r="G15" s="103"/>
      <c r="H15" s="103"/>
      <c r="I15" s="103"/>
      <c r="J15" s="103"/>
    </row>
    <row r="16" spans="1:12">
      <c r="A16" s="1"/>
      <c r="B16" s="1"/>
      <c r="C16" s="1"/>
      <c r="F16" s="15"/>
      <c r="G16" s="15"/>
      <c r="H16" s="15"/>
      <c r="I16" s="15"/>
      <c r="J16" s="15"/>
    </row>
    <row r="18" spans="1:23">
      <c r="A18" s="14"/>
      <c r="B18" s="14"/>
      <c r="C18" s="4"/>
      <c r="F18" s="289" t="s">
        <v>791</v>
      </c>
      <c r="G18" s="31" t="s">
        <v>25</v>
      </c>
      <c r="H18" s="3"/>
      <c r="I18" s="3"/>
      <c r="J18" s="3"/>
      <c r="K18" s="3"/>
      <c r="L18" s="3"/>
      <c r="M18" s="3"/>
    </row>
    <row r="19" spans="1:23">
      <c r="A19" s="327" t="s">
        <v>26</v>
      </c>
      <c r="B19" s="27" t="s">
        <v>27</v>
      </c>
      <c r="C19" s="21" t="s">
        <v>28</v>
      </c>
      <c r="D19" s="1"/>
      <c r="F19" s="103" t="s">
        <v>29</v>
      </c>
      <c r="G19" s="2" t="s">
        <v>30</v>
      </c>
      <c r="H19" s="3"/>
      <c r="I19" s="3"/>
      <c r="J19" s="3"/>
      <c r="K19" s="3"/>
      <c r="L19" s="3"/>
      <c r="M19" s="3"/>
    </row>
    <row r="20" spans="1:23">
      <c r="A20" s="328"/>
      <c r="B20" s="27" t="s">
        <v>31</v>
      </c>
      <c r="C20" s="21" t="s">
        <v>32</v>
      </c>
      <c r="D20" s="1"/>
      <c r="F20" s="103" t="s">
        <v>29</v>
      </c>
      <c r="G20" s="2" t="s">
        <v>30</v>
      </c>
      <c r="H20" s="3"/>
      <c r="I20" s="3"/>
      <c r="J20" s="3"/>
      <c r="K20" s="3"/>
      <c r="L20" s="3"/>
      <c r="M20" s="3"/>
    </row>
    <row r="21" spans="1:23">
      <c r="A21" s="104" t="s">
        <v>33</v>
      </c>
      <c r="B21" s="27" t="s">
        <v>31</v>
      </c>
      <c r="C21" s="21" t="s">
        <v>32</v>
      </c>
      <c r="D21" s="1"/>
      <c r="F21" s="103" t="s">
        <v>29</v>
      </c>
      <c r="G21" s="2" t="s">
        <v>30</v>
      </c>
      <c r="H21" s="3"/>
      <c r="I21" s="3"/>
      <c r="J21" s="3"/>
      <c r="K21" s="3"/>
      <c r="L21" s="3"/>
      <c r="M21" s="3"/>
    </row>
    <row r="22" spans="1:23">
      <c r="A22" s="322" t="s">
        <v>34</v>
      </c>
      <c r="B22" s="27" t="s">
        <v>35</v>
      </c>
      <c r="C22" s="21" t="s">
        <v>36</v>
      </c>
      <c r="D22" s="1"/>
      <c r="F22" s="103" t="s">
        <v>37</v>
      </c>
      <c r="G22" s="2" t="s">
        <v>38</v>
      </c>
      <c r="H22" s="3"/>
      <c r="I22" s="3"/>
      <c r="J22" s="3"/>
      <c r="K22" s="3"/>
      <c r="L22" s="3"/>
      <c r="M22" s="3"/>
    </row>
    <row r="23" spans="1:23">
      <c r="A23" s="323"/>
      <c r="B23" s="27" t="s">
        <v>39</v>
      </c>
      <c r="C23" s="21" t="s">
        <v>40</v>
      </c>
      <c r="D23" s="1"/>
      <c r="F23" s="2" t="s">
        <v>38</v>
      </c>
      <c r="G23" s="103" t="s">
        <v>37</v>
      </c>
      <c r="H23" s="3"/>
      <c r="I23" s="3"/>
      <c r="J23" s="3"/>
      <c r="K23" s="3"/>
      <c r="L23" s="3"/>
      <c r="M23" s="3"/>
    </row>
    <row r="24" spans="1:23">
      <c r="A24" s="51" t="s">
        <v>41</v>
      </c>
      <c r="B24" s="51" t="s">
        <v>41</v>
      </c>
      <c r="C24" s="21" t="s">
        <v>42</v>
      </c>
      <c r="D24" s="1"/>
      <c r="F24" s="103" t="s">
        <v>43</v>
      </c>
      <c r="G24" s="103" t="s">
        <v>38</v>
      </c>
      <c r="H24" s="3"/>
      <c r="I24" s="3"/>
      <c r="J24" s="3"/>
      <c r="K24" s="3"/>
      <c r="L24" s="3"/>
      <c r="M24" s="3"/>
    </row>
    <row r="25" spans="1:23" s="3" customFormat="1">
      <c r="A25" s="105" t="s">
        <v>44</v>
      </c>
      <c r="B25" s="105" t="s">
        <v>44</v>
      </c>
      <c r="C25" s="21" t="s">
        <v>45</v>
      </c>
      <c r="D25" s="1"/>
      <c r="E25"/>
      <c r="F25" s="103" t="s">
        <v>46</v>
      </c>
      <c r="G25" s="103" t="s">
        <v>38</v>
      </c>
      <c r="N25"/>
      <c r="O25"/>
      <c r="P25"/>
      <c r="Q25"/>
      <c r="R25"/>
      <c r="S25"/>
      <c r="T25"/>
      <c r="U25"/>
      <c r="V25"/>
      <c r="W25"/>
    </row>
    <row r="26" spans="1:23" s="3" customFormat="1">
      <c r="A26" s="51" t="s">
        <v>47</v>
      </c>
      <c r="B26" s="51" t="s">
        <v>47</v>
      </c>
      <c r="C26" s="21" t="s">
        <v>48</v>
      </c>
      <c r="D26" s="1"/>
      <c r="E26"/>
      <c r="F26" s="103" t="s">
        <v>43</v>
      </c>
      <c r="G26" s="103" t="s">
        <v>38</v>
      </c>
      <c r="N26"/>
      <c r="O26"/>
      <c r="P26"/>
      <c r="Q26"/>
      <c r="R26"/>
      <c r="S26"/>
      <c r="T26"/>
      <c r="U26"/>
      <c r="V26"/>
      <c r="W26"/>
    </row>
    <row r="27" spans="1:23" s="3" customFormat="1">
      <c r="A27" s="105" t="s">
        <v>49</v>
      </c>
      <c r="B27" s="105" t="s">
        <v>50</v>
      </c>
      <c r="C27" s="21"/>
      <c r="D27" s="1"/>
      <c r="E27"/>
      <c r="F27" s="103" t="s">
        <v>29</v>
      </c>
      <c r="G27" s="2" t="s">
        <v>30</v>
      </c>
      <c r="N27"/>
      <c r="O27"/>
      <c r="P27"/>
      <c r="Q27"/>
      <c r="R27"/>
      <c r="S27"/>
      <c r="T27"/>
      <c r="U27"/>
      <c r="V27"/>
      <c r="W27"/>
    </row>
    <row r="28" spans="1:23" s="3" customFormat="1">
      <c r="A28" s="1"/>
      <c r="B28" s="1"/>
      <c r="C28" s="1"/>
      <c r="D28" s="1"/>
      <c r="E28"/>
      <c r="F28" s="15"/>
      <c r="N28"/>
      <c r="O28"/>
      <c r="P28"/>
      <c r="Q28"/>
      <c r="R28"/>
      <c r="S28"/>
      <c r="T28"/>
      <c r="U28"/>
      <c r="V28"/>
      <c r="W28"/>
    </row>
    <row r="29" spans="1:23">
      <c r="F29" s="3"/>
      <c r="G29" s="3"/>
      <c r="H29" s="3"/>
      <c r="I29" s="3"/>
      <c r="J29" s="3"/>
      <c r="K29" s="3"/>
      <c r="L29" s="3"/>
      <c r="M29" s="3"/>
    </row>
    <row r="30" spans="1:23" s="3" customFormat="1">
      <c r="A30" s="143"/>
      <c r="B30" s="143"/>
      <c r="C30" s="144"/>
      <c r="D30"/>
      <c r="E30"/>
      <c r="F30" s="31" t="s">
        <v>24</v>
      </c>
      <c r="G30" s="31" t="s">
        <v>5</v>
      </c>
      <c r="H30" s="31" t="s">
        <v>51</v>
      </c>
      <c r="N30"/>
      <c r="O30"/>
      <c r="P30"/>
      <c r="Q30"/>
      <c r="R30"/>
      <c r="S30"/>
      <c r="T30"/>
      <c r="U30"/>
      <c r="V30"/>
      <c r="W30"/>
    </row>
    <row r="31" spans="1:23" s="3" customFormat="1">
      <c r="A31" s="329" t="s">
        <v>52</v>
      </c>
      <c r="B31" s="141" t="s">
        <v>53</v>
      </c>
      <c r="C31" s="142" t="s">
        <v>28</v>
      </c>
      <c r="D31" s="1"/>
      <c r="E31"/>
      <c r="F31" s="103" t="s">
        <v>29</v>
      </c>
      <c r="G31" s="2" t="s">
        <v>30</v>
      </c>
      <c r="H31" s="2" t="s">
        <v>30</v>
      </c>
      <c r="N31"/>
      <c r="O31"/>
      <c r="P31"/>
      <c r="Q31"/>
      <c r="R31"/>
      <c r="S31"/>
      <c r="T31"/>
      <c r="U31"/>
      <c r="V31"/>
      <c r="W31"/>
    </row>
    <row r="32" spans="1:23" s="3" customFormat="1">
      <c r="A32" s="329"/>
      <c r="B32" s="27" t="s">
        <v>54</v>
      </c>
      <c r="C32" s="21" t="s">
        <v>32</v>
      </c>
      <c r="D32" s="1"/>
      <c r="E32"/>
      <c r="F32" s="103" t="s">
        <v>29</v>
      </c>
      <c r="G32" s="2" t="s">
        <v>30</v>
      </c>
      <c r="H32" s="2" t="s">
        <v>30</v>
      </c>
      <c r="N32"/>
      <c r="O32"/>
      <c r="P32"/>
      <c r="Q32"/>
      <c r="R32"/>
      <c r="S32"/>
      <c r="T32"/>
      <c r="U32"/>
      <c r="V32"/>
      <c r="W32"/>
    </row>
    <row r="33" spans="1:23" s="3" customFormat="1">
      <c r="A33" s="329"/>
      <c r="B33" s="27" t="s">
        <v>55</v>
      </c>
      <c r="C33" s="21" t="s">
        <v>56</v>
      </c>
      <c r="D33" s="1"/>
      <c r="E33"/>
      <c r="F33" s="103" t="s">
        <v>29</v>
      </c>
      <c r="G33" s="2" t="s">
        <v>57</v>
      </c>
      <c r="H33" s="2" t="s">
        <v>30</v>
      </c>
      <c r="I33" s="3" t="s">
        <v>58</v>
      </c>
      <c r="N33"/>
      <c r="O33"/>
      <c r="P33"/>
      <c r="Q33"/>
      <c r="R33"/>
      <c r="S33"/>
      <c r="T33"/>
      <c r="U33"/>
      <c r="V33"/>
      <c r="W33"/>
    </row>
    <row r="34" spans="1:23" s="3" customFormat="1">
      <c r="A34" s="329"/>
      <c r="B34" s="27" t="s">
        <v>59</v>
      </c>
      <c r="C34" s="21" t="s">
        <v>60</v>
      </c>
      <c r="D34" s="1"/>
      <c r="E34"/>
      <c r="F34" s="103" t="s">
        <v>29</v>
      </c>
      <c r="G34" s="2" t="s">
        <v>30</v>
      </c>
      <c r="H34" s="2" t="s">
        <v>57</v>
      </c>
      <c r="I34" s="3" t="s">
        <v>58</v>
      </c>
      <c r="N34"/>
      <c r="O34"/>
      <c r="P34"/>
      <c r="Q34"/>
      <c r="R34"/>
      <c r="S34"/>
      <c r="T34"/>
      <c r="U34"/>
      <c r="V34"/>
      <c r="W34"/>
    </row>
    <row r="35" spans="1:23" s="3" customFormat="1">
      <c r="A35" s="329"/>
      <c r="B35" s="27" t="s">
        <v>61</v>
      </c>
      <c r="C35" s="21" t="s">
        <v>56</v>
      </c>
      <c r="D35" s="1"/>
      <c r="E35"/>
      <c r="F35" s="103" t="s">
        <v>29</v>
      </c>
      <c r="G35" s="2" t="s">
        <v>62</v>
      </c>
      <c r="H35" s="2" t="s">
        <v>30</v>
      </c>
      <c r="N35"/>
      <c r="O35"/>
      <c r="P35"/>
      <c r="Q35"/>
      <c r="R35"/>
      <c r="S35"/>
      <c r="T35"/>
      <c r="U35"/>
      <c r="V35"/>
      <c r="W35"/>
    </row>
    <row r="36" spans="1:23" s="3" customFormat="1">
      <c r="A36" s="323"/>
      <c r="B36" s="27" t="s">
        <v>63</v>
      </c>
      <c r="C36" s="21" t="s">
        <v>60</v>
      </c>
      <c r="D36" s="1"/>
      <c r="E36"/>
      <c r="F36" s="103" t="s">
        <v>29</v>
      </c>
      <c r="G36" s="2" t="s">
        <v>30</v>
      </c>
      <c r="H36" s="2" t="s">
        <v>62</v>
      </c>
      <c r="N36"/>
      <c r="O36"/>
      <c r="P36"/>
      <c r="Q36"/>
      <c r="R36"/>
      <c r="S36"/>
      <c r="T36"/>
      <c r="U36"/>
      <c r="V36"/>
      <c r="W36"/>
    </row>
    <row r="37" spans="1:23" s="3" customFormat="1">
      <c r="A37" s="104" t="s">
        <v>64</v>
      </c>
      <c r="B37" s="27" t="s">
        <v>54</v>
      </c>
      <c r="C37" s="21" t="s">
        <v>32</v>
      </c>
      <c r="D37" s="1"/>
      <c r="E37"/>
      <c r="F37" s="103" t="s">
        <v>29</v>
      </c>
      <c r="G37" s="2" t="s">
        <v>30</v>
      </c>
      <c r="H37" s="2" t="s">
        <v>30</v>
      </c>
      <c r="N37"/>
      <c r="O37"/>
      <c r="P37"/>
      <c r="Q37"/>
      <c r="R37"/>
      <c r="S37"/>
      <c r="T37"/>
      <c r="U37"/>
      <c r="V37"/>
      <c r="W37"/>
    </row>
    <row r="38" spans="1:23" s="3" customFormat="1">
      <c r="A38" s="322" t="s">
        <v>65</v>
      </c>
      <c r="B38" s="29" t="s">
        <v>66</v>
      </c>
      <c r="C38" s="21" t="s">
        <v>67</v>
      </c>
      <c r="D38" s="1"/>
      <c r="E38"/>
      <c r="F38" s="103" t="s">
        <v>37</v>
      </c>
      <c r="G38" s="2" t="s">
        <v>38</v>
      </c>
      <c r="H38" s="2" t="s">
        <v>38</v>
      </c>
      <c r="N38"/>
      <c r="O38"/>
      <c r="P38"/>
      <c r="Q38"/>
      <c r="R38"/>
      <c r="S38"/>
      <c r="T38"/>
      <c r="U38"/>
      <c r="V38"/>
      <c r="W38"/>
    </row>
    <row r="39" spans="1:23" s="3" customFormat="1">
      <c r="A39" s="329"/>
      <c r="B39" s="29" t="s">
        <v>68</v>
      </c>
      <c r="C39" s="21" t="s">
        <v>36</v>
      </c>
      <c r="D39" s="1"/>
      <c r="E39"/>
      <c r="F39" s="103" t="s">
        <v>37</v>
      </c>
      <c r="G39" s="2" t="s">
        <v>38</v>
      </c>
      <c r="H39" s="2" t="s">
        <v>57</v>
      </c>
      <c r="I39" s="3" t="s">
        <v>58</v>
      </c>
      <c r="N39"/>
      <c r="O39"/>
      <c r="P39"/>
      <c r="Q39"/>
      <c r="R39"/>
      <c r="S39"/>
      <c r="T39"/>
      <c r="U39"/>
      <c r="V39"/>
      <c r="W39"/>
    </row>
    <row r="40" spans="1:23" s="3" customFormat="1">
      <c r="A40" s="52"/>
      <c r="B40" s="29" t="s">
        <v>69</v>
      </c>
      <c r="C40" s="21" t="s">
        <v>70</v>
      </c>
      <c r="D40" s="1"/>
      <c r="E40"/>
      <c r="F40" s="103" t="s">
        <v>37</v>
      </c>
      <c r="G40" s="2" t="s">
        <v>57</v>
      </c>
      <c r="H40" s="2" t="s">
        <v>38</v>
      </c>
      <c r="I40" s="3" t="s">
        <v>58</v>
      </c>
      <c r="N40"/>
      <c r="O40"/>
      <c r="P40"/>
      <c r="Q40"/>
      <c r="R40"/>
      <c r="S40"/>
      <c r="T40"/>
      <c r="U40"/>
      <c r="V40"/>
      <c r="W40"/>
    </row>
    <row r="41" spans="1:23" s="3" customFormat="1" ht="43.15">
      <c r="A41" s="51"/>
      <c r="B41" s="8" t="s">
        <v>71</v>
      </c>
      <c r="C41" s="100" t="s">
        <v>72</v>
      </c>
      <c r="D41" s="1"/>
      <c r="E41"/>
      <c r="F41" s="103" t="s">
        <v>73</v>
      </c>
      <c r="G41" s="103" t="s">
        <v>37</v>
      </c>
      <c r="H41" s="103" t="s">
        <v>73</v>
      </c>
      <c r="N41"/>
      <c r="O41"/>
      <c r="P41"/>
      <c r="Q41"/>
      <c r="R41"/>
      <c r="S41"/>
      <c r="T41"/>
      <c r="U41"/>
      <c r="V41"/>
      <c r="W41"/>
    </row>
    <row r="42" spans="1:23" s="3" customFormat="1">
      <c r="A42" s="51" t="s">
        <v>74</v>
      </c>
      <c r="B42" s="51" t="s">
        <v>74</v>
      </c>
      <c r="C42" s="21" t="s">
        <v>42</v>
      </c>
      <c r="D42" s="1"/>
      <c r="E42"/>
      <c r="F42" s="103" t="s">
        <v>43</v>
      </c>
      <c r="G42" s="103" t="s">
        <v>38</v>
      </c>
      <c r="H42" s="103" t="s">
        <v>38</v>
      </c>
      <c r="N42"/>
      <c r="O42"/>
      <c r="P42"/>
      <c r="Q42"/>
      <c r="R42"/>
      <c r="S42"/>
      <c r="T42"/>
      <c r="U42"/>
      <c r="V42"/>
      <c r="W42"/>
    </row>
    <row r="43" spans="1:23" s="3" customFormat="1">
      <c r="A43" s="105" t="s">
        <v>75</v>
      </c>
      <c r="B43" s="105" t="s">
        <v>75</v>
      </c>
      <c r="C43" s="21" t="s">
        <v>45</v>
      </c>
      <c r="D43" s="1"/>
      <c r="E43"/>
      <c r="F43" s="103" t="s">
        <v>46</v>
      </c>
      <c r="G43" s="103" t="s">
        <v>38</v>
      </c>
      <c r="H43" s="103" t="s">
        <v>38</v>
      </c>
      <c r="N43"/>
      <c r="O43"/>
      <c r="P43"/>
      <c r="Q43"/>
      <c r="R43"/>
      <c r="S43"/>
      <c r="T43"/>
      <c r="U43"/>
      <c r="V43"/>
      <c r="W43"/>
    </row>
    <row r="44" spans="1:23" s="3" customFormat="1">
      <c r="A44" s="51" t="s">
        <v>76</v>
      </c>
      <c r="B44" s="51" t="s">
        <v>76</v>
      </c>
      <c r="C44" s="21" t="s">
        <v>48</v>
      </c>
      <c r="D44" s="1"/>
      <c r="E44"/>
      <c r="F44" s="103" t="s">
        <v>43</v>
      </c>
      <c r="G44" s="103" t="s">
        <v>38</v>
      </c>
      <c r="H44" s="103" t="s">
        <v>38</v>
      </c>
      <c r="N44"/>
      <c r="O44"/>
      <c r="P44"/>
      <c r="Q44"/>
      <c r="R44"/>
      <c r="S44"/>
      <c r="T44"/>
      <c r="U44"/>
      <c r="V44"/>
      <c r="W44"/>
    </row>
    <row r="47" spans="1:23">
      <c r="E47" s="4"/>
      <c r="F47" s="19" t="s">
        <v>77</v>
      </c>
      <c r="G47" s="19" t="s">
        <v>78</v>
      </c>
    </row>
    <row r="48" spans="1:23">
      <c r="A48" s="105" t="s">
        <v>79</v>
      </c>
      <c r="B48" s="105" t="s">
        <v>79</v>
      </c>
      <c r="C48" s="21" t="s">
        <v>80</v>
      </c>
      <c r="D48" s="1"/>
      <c r="E48" s="6"/>
      <c r="F48" s="103" t="s">
        <v>37</v>
      </c>
      <c r="G48" s="103" t="s">
        <v>38</v>
      </c>
    </row>
    <row r="49" spans="1:12">
      <c r="A49" s="1"/>
      <c r="B49" s="1"/>
      <c r="C49" s="1"/>
      <c r="D49" s="1"/>
      <c r="E49" s="6"/>
      <c r="F49" s="15"/>
      <c r="G49" s="15"/>
    </row>
    <row r="51" spans="1:12">
      <c r="E51" s="4"/>
      <c r="F51" s="19" t="s">
        <v>849</v>
      </c>
      <c r="G51" s="19" t="s">
        <v>850</v>
      </c>
      <c r="H51" s="19" t="s">
        <v>851</v>
      </c>
      <c r="I51" s="19" t="s">
        <v>852</v>
      </c>
    </row>
    <row r="52" spans="1:12">
      <c r="A52" s="105" t="s">
        <v>85</v>
      </c>
      <c r="B52" s="105" t="s">
        <v>85</v>
      </c>
      <c r="C52" s="21" t="s">
        <v>86</v>
      </c>
      <c r="D52" s="1"/>
      <c r="E52" s="5"/>
      <c r="F52" s="2" t="s">
        <v>87</v>
      </c>
      <c r="G52" s="2" t="s">
        <v>88</v>
      </c>
      <c r="H52" s="2" t="s">
        <v>89</v>
      </c>
      <c r="I52" s="2" t="s">
        <v>73</v>
      </c>
    </row>
    <row r="53" spans="1:12">
      <c r="A53" s="1"/>
      <c r="B53" s="1"/>
      <c r="C53" s="1"/>
      <c r="D53" s="1"/>
      <c r="E53" s="5"/>
      <c r="F53" s="3"/>
      <c r="G53" s="3"/>
      <c r="H53" s="3"/>
      <c r="I53" s="3"/>
    </row>
    <row r="54" spans="1:12">
      <c r="A54" s="1"/>
      <c r="B54" s="1"/>
      <c r="C54" s="1"/>
      <c r="D54" s="1"/>
      <c r="E54" s="5"/>
      <c r="F54" s="3"/>
      <c r="G54" s="3"/>
      <c r="H54" s="3"/>
      <c r="I54" s="3"/>
    </row>
    <row r="55" spans="1:12">
      <c r="A55" s="1"/>
      <c r="B55" s="1"/>
      <c r="C55" s="1"/>
      <c r="D55" s="1"/>
      <c r="E55" s="5"/>
      <c r="F55" s="147" t="s">
        <v>90</v>
      </c>
      <c r="G55" s="147" t="s">
        <v>91</v>
      </c>
      <c r="H55" s="147" t="s">
        <v>92</v>
      </c>
      <c r="I55" s="147" t="s">
        <v>93</v>
      </c>
      <c r="J55" s="147" t="s">
        <v>94</v>
      </c>
      <c r="K55" s="147" t="s">
        <v>95</v>
      </c>
    </row>
    <row r="56" spans="1:12">
      <c r="A56" s="50" t="s">
        <v>96</v>
      </c>
      <c r="B56" s="168" t="s">
        <v>97</v>
      </c>
      <c r="C56" s="21" t="s">
        <v>98</v>
      </c>
      <c r="D56" s="1"/>
      <c r="E56" s="5"/>
      <c r="F56" s="103" t="s">
        <v>37</v>
      </c>
      <c r="G56" s="145"/>
      <c r="H56" s="103" t="s">
        <v>38</v>
      </c>
      <c r="I56" s="145"/>
      <c r="J56" s="145"/>
      <c r="K56" s="145"/>
      <c r="L56" t="s">
        <v>58</v>
      </c>
    </row>
    <row r="57" spans="1:12">
      <c r="A57" s="52"/>
      <c r="B57" s="168" t="s">
        <v>99</v>
      </c>
      <c r="C57" s="21" t="s">
        <v>100</v>
      </c>
      <c r="D57" s="1"/>
      <c r="E57" s="5"/>
      <c r="F57" s="145"/>
      <c r="G57" s="145"/>
      <c r="H57" s="145"/>
      <c r="I57" s="103" t="s">
        <v>38</v>
      </c>
      <c r="J57" s="103" t="s">
        <v>37</v>
      </c>
      <c r="K57" s="145"/>
      <c r="L57" t="s">
        <v>58</v>
      </c>
    </row>
    <row r="58" spans="1:12">
      <c r="A58" s="52"/>
      <c r="B58" s="168" t="s">
        <v>101</v>
      </c>
      <c r="C58" s="21" t="s">
        <v>102</v>
      </c>
      <c r="D58" s="1"/>
      <c r="E58" s="5"/>
      <c r="F58" s="103" t="s">
        <v>37</v>
      </c>
      <c r="G58" s="145"/>
      <c r="H58" s="145"/>
      <c r="I58" s="145"/>
      <c r="J58" s="145"/>
      <c r="K58" s="103" t="s">
        <v>38</v>
      </c>
      <c r="L58" t="s">
        <v>58</v>
      </c>
    </row>
    <row r="59" spans="1:12">
      <c r="A59" s="52"/>
      <c r="B59" s="168" t="s">
        <v>103</v>
      </c>
      <c r="C59" s="21" t="s">
        <v>104</v>
      </c>
      <c r="D59" s="1"/>
      <c r="E59" s="5"/>
      <c r="F59" s="145"/>
      <c r="G59" s="145"/>
      <c r="H59" s="103" t="s">
        <v>38</v>
      </c>
      <c r="I59" s="103" t="s">
        <v>37</v>
      </c>
      <c r="J59" s="145"/>
      <c r="K59" s="145"/>
      <c r="L59" t="s">
        <v>58</v>
      </c>
    </row>
    <row r="60" spans="1:12">
      <c r="A60" s="52"/>
      <c r="B60" s="168" t="s">
        <v>105</v>
      </c>
      <c r="C60" s="21" t="s">
        <v>106</v>
      </c>
      <c r="D60" s="1"/>
      <c r="E60" s="5"/>
      <c r="F60" s="146"/>
      <c r="G60" s="102" t="s">
        <v>38</v>
      </c>
      <c r="H60" s="146"/>
      <c r="I60" s="146"/>
      <c r="J60" s="102" t="s">
        <v>37</v>
      </c>
      <c r="K60" s="146"/>
      <c r="L60" t="s">
        <v>58</v>
      </c>
    </row>
    <row r="61" spans="1:12">
      <c r="A61" s="50" t="s">
        <v>107</v>
      </c>
      <c r="B61" s="168" t="s">
        <v>108</v>
      </c>
      <c r="C61" s="21" t="s">
        <v>109</v>
      </c>
      <c r="D61" s="1"/>
      <c r="E61" s="5"/>
      <c r="F61" s="2" t="s">
        <v>89</v>
      </c>
      <c r="G61" s="145"/>
      <c r="H61" s="2" t="s">
        <v>73</v>
      </c>
      <c r="I61" s="2" t="s">
        <v>88</v>
      </c>
      <c r="J61" s="145"/>
      <c r="K61" s="2" t="s">
        <v>87</v>
      </c>
      <c r="L61" t="s">
        <v>58</v>
      </c>
    </row>
    <row r="62" spans="1:12">
      <c r="A62" s="51"/>
      <c r="B62" s="168" t="s">
        <v>110</v>
      </c>
      <c r="C62" s="21" t="s">
        <v>111</v>
      </c>
      <c r="D62" s="1"/>
      <c r="E62" s="5"/>
      <c r="F62" s="145"/>
      <c r="G62" s="2" t="s">
        <v>87</v>
      </c>
      <c r="H62" s="2" t="s">
        <v>88</v>
      </c>
      <c r="I62" s="2" t="s">
        <v>73</v>
      </c>
      <c r="J62" s="2" t="s">
        <v>89</v>
      </c>
      <c r="K62" s="145"/>
      <c r="L62" t="s">
        <v>58</v>
      </c>
    </row>
    <row r="63" spans="1:12">
      <c r="A63" s="1"/>
      <c r="B63" s="1"/>
      <c r="C63" s="1"/>
      <c r="D63" s="1"/>
      <c r="E63" s="5"/>
      <c r="F63" s="160"/>
      <c r="G63" s="3"/>
      <c r="H63" s="3"/>
      <c r="I63" s="3"/>
      <c r="J63" s="3"/>
      <c r="K63" s="160"/>
    </row>
    <row r="64" spans="1:12">
      <c r="A64" s="1"/>
      <c r="B64" s="1"/>
      <c r="C64" s="1"/>
      <c r="D64" s="1"/>
      <c r="E64" s="5"/>
      <c r="F64" s="3"/>
      <c r="G64" s="3"/>
      <c r="H64" s="3"/>
      <c r="I64" s="3"/>
    </row>
    <row r="65" spans="1:23">
      <c r="E65" s="4"/>
      <c r="F65" s="19" t="s">
        <v>112</v>
      </c>
      <c r="G65" s="19" t="s">
        <v>113</v>
      </c>
      <c r="H65" s="19" t="s">
        <v>114</v>
      </c>
    </row>
    <row r="66" spans="1:23">
      <c r="A66" s="105" t="s">
        <v>115</v>
      </c>
      <c r="B66" s="105" t="s">
        <v>115</v>
      </c>
      <c r="C66" s="21" t="s">
        <v>116</v>
      </c>
      <c r="D66" s="1"/>
      <c r="E66" s="6"/>
      <c r="F66" s="103" t="s">
        <v>37</v>
      </c>
      <c r="G66" s="103" t="s">
        <v>38</v>
      </c>
      <c r="H66" s="103" t="s">
        <v>117</v>
      </c>
      <c r="I66" s="3"/>
      <c r="J66" s="3"/>
      <c r="K66" s="3"/>
      <c r="L66" s="3"/>
      <c r="M66" s="3"/>
    </row>
    <row r="67" spans="1:23">
      <c r="A67" s="1"/>
      <c r="B67" s="1"/>
      <c r="C67" s="1"/>
      <c r="D67" s="1"/>
      <c r="E67" s="6"/>
      <c r="F67" s="15"/>
      <c r="G67" s="15"/>
      <c r="H67" s="15"/>
      <c r="I67" s="3"/>
      <c r="J67" s="3"/>
      <c r="K67" s="3"/>
      <c r="L67" s="3"/>
      <c r="M67" s="3"/>
    </row>
    <row r="68" spans="1:23">
      <c r="I68" s="3"/>
      <c r="J68" s="3"/>
      <c r="K68" s="3"/>
      <c r="L68" s="3"/>
      <c r="M68" s="3"/>
    </row>
    <row r="69" spans="1:23">
      <c r="E69" s="4"/>
      <c r="F69" s="19" t="s">
        <v>118</v>
      </c>
      <c r="G69" s="19" t="s">
        <v>119</v>
      </c>
      <c r="H69" s="3"/>
      <c r="I69" s="3"/>
      <c r="J69" s="3"/>
      <c r="K69" s="3"/>
      <c r="L69" s="3"/>
      <c r="M69" s="3"/>
    </row>
    <row r="70" spans="1:23">
      <c r="A70" s="105" t="s">
        <v>120</v>
      </c>
      <c r="B70" s="105" t="s">
        <v>120</v>
      </c>
      <c r="C70" s="21" t="s">
        <v>121</v>
      </c>
      <c r="D70" s="1"/>
      <c r="E70" s="6"/>
      <c r="F70" s="103" t="s">
        <v>37</v>
      </c>
      <c r="G70" s="103" t="s">
        <v>38</v>
      </c>
      <c r="H70" s="3"/>
    </row>
    <row r="71" spans="1:23">
      <c r="A71" s="1"/>
      <c r="B71" s="1"/>
      <c r="C71" s="1"/>
      <c r="D71" s="1"/>
      <c r="E71" s="6"/>
      <c r="F71" s="15"/>
      <c r="G71" s="15"/>
      <c r="H71" s="3"/>
      <c r="L71" s="15"/>
      <c r="M71" s="15"/>
      <c r="N71" s="1"/>
      <c r="O71" s="1"/>
      <c r="P71" s="1"/>
      <c r="Q71" s="1"/>
      <c r="R71" s="1"/>
    </row>
    <row r="72" spans="1:23">
      <c r="L72" s="15"/>
      <c r="M72" s="15"/>
      <c r="N72" s="1"/>
      <c r="O72" s="1"/>
      <c r="P72" s="1"/>
      <c r="Q72" s="1"/>
      <c r="R72" s="1"/>
    </row>
    <row r="73" spans="1:23">
      <c r="F73" s="24" t="s">
        <v>112</v>
      </c>
      <c r="G73" s="24" t="s">
        <v>113</v>
      </c>
      <c r="H73" s="24" t="s">
        <v>122</v>
      </c>
      <c r="I73" s="24" t="s">
        <v>123</v>
      </c>
      <c r="J73" s="19" t="s">
        <v>124</v>
      </c>
      <c r="K73" s="19" t="s">
        <v>125</v>
      </c>
      <c r="L73" s="15"/>
      <c r="M73" s="15"/>
      <c r="N73" s="1"/>
      <c r="O73" s="1"/>
      <c r="P73" s="1"/>
      <c r="Q73" s="1"/>
      <c r="R73" s="1"/>
    </row>
    <row r="74" spans="1:23">
      <c r="A74" s="321" t="s">
        <v>126</v>
      </c>
      <c r="B74" s="101" t="s">
        <v>127</v>
      </c>
      <c r="C74" s="23" t="s">
        <v>128</v>
      </c>
      <c r="D74" s="28"/>
      <c r="F74" s="103" t="s">
        <v>29</v>
      </c>
      <c r="G74" s="103" t="s">
        <v>29</v>
      </c>
      <c r="H74" s="2" t="s">
        <v>30</v>
      </c>
      <c r="I74" s="2" t="s">
        <v>30</v>
      </c>
      <c r="J74" s="2" t="s">
        <v>30</v>
      </c>
      <c r="K74" s="2" t="s">
        <v>30</v>
      </c>
      <c r="L74" s="15"/>
      <c r="M74" s="15"/>
      <c r="N74" s="1"/>
      <c r="O74" s="1"/>
      <c r="P74" s="1"/>
      <c r="Q74" s="1"/>
      <c r="R74" s="1"/>
    </row>
    <row r="75" spans="1:23">
      <c r="A75" s="321"/>
      <c r="B75" s="7" t="s">
        <v>129</v>
      </c>
      <c r="C75" s="23" t="s">
        <v>130</v>
      </c>
      <c r="D75" s="28"/>
      <c r="F75" s="103" t="s">
        <v>29</v>
      </c>
      <c r="G75" s="103" t="s">
        <v>29</v>
      </c>
      <c r="H75" s="2" t="s">
        <v>62</v>
      </c>
      <c r="I75" s="2" t="s">
        <v>62</v>
      </c>
      <c r="J75" s="2" t="s">
        <v>62</v>
      </c>
      <c r="K75" s="2" t="s">
        <v>30</v>
      </c>
      <c r="L75" s="15"/>
      <c r="M75" s="15"/>
      <c r="N75" s="1"/>
      <c r="O75" s="1"/>
      <c r="P75" s="1"/>
      <c r="Q75" s="1"/>
      <c r="R75" s="1"/>
    </row>
    <row r="76" spans="1:23">
      <c r="A76" s="321"/>
      <c r="B76" s="7" t="s">
        <v>131</v>
      </c>
      <c r="C76" s="23" t="s">
        <v>132</v>
      </c>
      <c r="D76" s="28"/>
      <c r="F76" s="103" t="s">
        <v>29</v>
      </c>
      <c r="G76" s="103" t="s">
        <v>29</v>
      </c>
      <c r="H76" s="2" t="s">
        <v>30</v>
      </c>
      <c r="I76" s="2" t="s">
        <v>30</v>
      </c>
      <c r="J76" s="2" t="s">
        <v>62</v>
      </c>
      <c r="K76" s="2" t="s">
        <v>62</v>
      </c>
      <c r="L76" s="15"/>
      <c r="M76" s="15"/>
      <c r="N76" s="1"/>
      <c r="O76" s="1"/>
      <c r="P76" s="1"/>
      <c r="Q76" s="1"/>
      <c r="R76" s="1"/>
    </row>
    <row r="77" spans="1:23">
      <c r="A77" s="321"/>
      <c r="B77" s="7" t="s">
        <v>133</v>
      </c>
      <c r="C77" s="23" t="s">
        <v>134</v>
      </c>
      <c r="D77" s="28"/>
      <c r="F77" s="103" t="s">
        <v>29</v>
      </c>
      <c r="G77" s="103" t="s">
        <v>29</v>
      </c>
      <c r="H77" s="2" t="s">
        <v>30</v>
      </c>
      <c r="I77" s="2" t="s">
        <v>62</v>
      </c>
      <c r="J77" s="2" t="s">
        <v>62</v>
      </c>
      <c r="K77" s="2" t="s">
        <v>62</v>
      </c>
      <c r="L77" s="15"/>
      <c r="M77" s="15"/>
      <c r="N77" s="1"/>
      <c r="O77" s="1"/>
      <c r="P77" s="1"/>
      <c r="Q77" s="1"/>
      <c r="R77" s="1"/>
    </row>
    <row r="78" spans="1:23">
      <c r="A78" s="321"/>
      <c r="B78" s="7" t="s">
        <v>135</v>
      </c>
      <c r="C78" s="23" t="s">
        <v>136</v>
      </c>
      <c r="D78" s="28"/>
      <c r="F78" s="103" t="s">
        <v>29</v>
      </c>
      <c r="G78" s="103" t="s">
        <v>29</v>
      </c>
      <c r="H78" s="2" t="s">
        <v>62</v>
      </c>
      <c r="I78" s="2" t="s">
        <v>30</v>
      </c>
      <c r="J78" s="2" t="s">
        <v>62</v>
      </c>
      <c r="K78" s="2" t="s">
        <v>62</v>
      </c>
      <c r="L78" s="15"/>
      <c r="M78" s="15"/>
      <c r="N78" s="1"/>
      <c r="O78" s="1"/>
      <c r="P78" s="1"/>
      <c r="Q78" s="1"/>
      <c r="R78" s="1"/>
      <c r="S78" s="3"/>
      <c r="T78" s="3"/>
      <c r="U78" s="3"/>
      <c r="V78" s="3"/>
      <c r="W78" s="3"/>
    </row>
    <row r="79" spans="1:23">
      <c r="A79" s="321"/>
      <c r="B79" s="7" t="s">
        <v>137</v>
      </c>
      <c r="C79" s="23" t="s">
        <v>138</v>
      </c>
      <c r="D79" s="28"/>
      <c r="F79" s="103" t="s">
        <v>29</v>
      </c>
      <c r="G79" s="103" t="s">
        <v>29</v>
      </c>
      <c r="H79" s="2" t="s">
        <v>62</v>
      </c>
      <c r="I79" s="2" t="s">
        <v>62</v>
      </c>
      <c r="J79" s="2" t="s">
        <v>30</v>
      </c>
      <c r="K79" s="2" t="s">
        <v>62</v>
      </c>
      <c r="L79" s="15"/>
      <c r="M79" s="15"/>
      <c r="N79" s="1"/>
      <c r="O79" s="1"/>
      <c r="P79" s="1"/>
      <c r="Q79" s="1"/>
      <c r="R79" s="1"/>
      <c r="S79" s="3"/>
      <c r="T79" s="3"/>
      <c r="U79" s="3"/>
      <c r="V79" s="3"/>
      <c r="W79" s="3"/>
    </row>
    <row r="80" spans="1:23">
      <c r="A80" s="321" t="s">
        <v>139</v>
      </c>
      <c r="B80" s="7" t="s">
        <v>140</v>
      </c>
      <c r="C80" s="23" t="s">
        <v>141</v>
      </c>
      <c r="D80" s="28"/>
      <c r="F80" s="2" t="s">
        <v>37</v>
      </c>
      <c r="G80" s="2"/>
      <c r="H80" s="2" t="s">
        <v>62</v>
      </c>
      <c r="I80" s="2" t="s">
        <v>62</v>
      </c>
      <c r="J80" s="2" t="s">
        <v>62</v>
      </c>
      <c r="K80" s="2" t="s">
        <v>62</v>
      </c>
      <c r="L80" s="15"/>
      <c r="M80" s="15"/>
      <c r="N80" s="1"/>
      <c r="O80" s="1"/>
      <c r="P80" s="1"/>
      <c r="Q80" s="1"/>
      <c r="R80" s="1"/>
      <c r="S80" s="3"/>
      <c r="T80" s="3"/>
      <c r="U80" s="3"/>
      <c r="V80" s="3"/>
      <c r="W80" s="3"/>
    </row>
    <row r="81" spans="1:23">
      <c r="A81" s="321"/>
      <c r="B81" s="7" t="s">
        <v>142</v>
      </c>
      <c r="C81" s="23" t="s">
        <v>143</v>
      </c>
      <c r="D81" s="28"/>
      <c r="F81" s="2" t="s">
        <v>37</v>
      </c>
      <c r="G81" s="2"/>
      <c r="H81" s="2"/>
      <c r="I81" s="2"/>
      <c r="J81" s="2"/>
      <c r="K81" s="2" t="s">
        <v>62</v>
      </c>
      <c r="L81" s="15"/>
      <c r="M81" s="15"/>
      <c r="N81" s="1"/>
      <c r="O81" s="1"/>
      <c r="P81" s="1"/>
      <c r="Q81" s="1"/>
      <c r="R81" s="1"/>
      <c r="S81" s="3"/>
      <c r="T81" s="3"/>
      <c r="U81" s="3"/>
      <c r="V81" s="3"/>
      <c r="W81" s="3"/>
    </row>
    <row r="82" spans="1:23">
      <c r="A82" s="321"/>
      <c r="B82" s="7" t="s">
        <v>144</v>
      </c>
      <c r="C82" s="23" t="s">
        <v>145</v>
      </c>
      <c r="D82" s="28"/>
      <c r="F82" s="2" t="s">
        <v>37</v>
      </c>
      <c r="G82" s="2"/>
      <c r="H82" s="2" t="s">
        <v>62</v>
      </c>
      <c r="I82" s="2" t="s">
        <v>62</v>
      </c>
      <c r="J82" s="2"/>
      <c r="K82" s="2"/>
      <c r="L82" s="15"/>
      <c r="M82" s="15"/>
      <c r="N82" s="1"/>
      <c r="O82" s="1"/>
      <c r="P82" s="1"/>
      <c r="Q82" s="1"/>
      <c r="R82" s="1"/>
      <c r="S82" s="3"/>
      <c r="T82" s="3"/>
      <c r="U82" s="3"/>
      <c r="V82" s="3"/>
      <c r="W82" s="3"/>
    </row>
    <row r="83" spans="1:23">
      <c r="A83" s="321"/>
      <c r="B83" s="7" t="s">
        <v>146</v>
      </c>
      <c r="C83" s="23" t="s">
        <v>147</v>
      </c>
      <c r="D83" s="28"/>
      <c r="F83" s="2" t="s">
        <v>37</v>
      </c>
      <c r="G83" s="2"/>
      <c r="H83" s="2" t="s">
        <v>62</v>
      </c>
      <c r="I83" s="2"/>
      <c r="J83" s="2"/>
      <c r="K83" s="2"/>
      <c r="L83" s="15"/>
      <c r="M83" s="15"/>
      <c r="N83" s="1"/>
      <c r="O83" s="1"/>
      <c r="P83" s="1"/>
      <c r="Q83" s="1"/>
      <c r="R83" s="1"/>
      <c r="S83" s="3"/>
      <c r="T83" s="3"/>
      <c r="U83" s="3"/>
      <c r="V83" s="3"/>
      <c r="W83" s="3"/>
    </row>
    <row r="84" spans="1:23">
      <c r="A84" s="321"/>
      <c r="B84" s="7" t="s">
        <v>148</v>
      </c>
      <c r="C84" s="23" t="s">
        <v>149</v>
      </c>
      <c r="D84" s="28"/>
      <c r="F84" s="2" t="s">
        <v>37</v>
      </c>
      <c r="G84" s="2"/>
      <c r="H84" s="2"/>
      <c r="I84" s="2" t="s">
        <v>62</v>
      </c>
      <c r="J84" s="2"/>
      <c r="K84" s="2"/>
      <c r="L84" s="15"/>
      <c r="M84" s="15"/>
      <c r="N84" s="1"/>
      <c r="O84" s="1"/>
      <c r="P84" s="1"/>
      <c r="Q84" s="1"/>
      <c r="R84" s="1"/>
      <c r="S84" s="3"/>
      <c r="T84" s="3"/>
      <c r="U84" s="3"/>
      <c r="V84" s="3"/>
      <c r="W84" s="3"/>
    </row>
    <row r="85" spans="1:23">
      <c r="A85" s="321"/>
      <c r="B85" s="7" t="s">
        <v>150</v>
      </c>
      <c r="C85" s="23" t="s">
        <v>151</v>
      </c>
      <c r="D85" s="28"/>
      <c r="F85" s="2" t="s">
        <v>37</v>
      </c>
      <c r="G85" s="2"/>
      <c r="H85" s="2"/>
      <c r="I85" s="2"/>
      <c r="J85" s="2" t="s">
        <v>62</v>
      </c>
      <c r="K85" s="2"/>
    </row>
    <row r="86" spans="1:23">
      <c r="A86" s="321"/>
      <c r="B86" s="7" t="s">
        <v>152</v>
      </c>
      <c r="C86" s="23" t="s">
        <v>153</v>
      </c>
      <c r="D86" s="28"/>
      <c r="F86" s="2"/>
      <c r="G86" s="2"/>
      <c r="H86" s="2"/>
      <c r="I86" s="2"/>
      <c r="J86" s="2" t="s">
        <v>37</v>
      </c>
      <c r="K86" s="2" t="s">
        <v>62</v>
      </c>
    </row>
    <row r="87" spans="1:23">
      <c r="A87" s="105" t="s">
        <v>154</v>
      </c>
      <c r="B87" s="105" t="s">
        <v>79</v>
      </c>
      <c r="C87" s="21" t="s">
        <v>80</v>
      </c>
      <c r="D87" s="28"/>
      <c r="F87" s="103" t="s">
        <v>37</v>
      </c>
      <c r="G87" s="103" t="s">
        <v>38</v>
      </c>
      <c r="H87" s="2"/>
      <c r="I87" s="2"/>
      <c r="J87" s="2"/>
      <c r="K87" s="2"/>
    </row>
    <row r="89" spans="1:23">
      <c r="F89" s="176" t="s">
        <v>5</v>
      </c>
      <c r="G89" s="176" t="s">
        <v>6</v>
      </c>
      <c r="H89" s="176" t="s">
        <v>155</v>
      </c>
      <c r="I89" s="176" t="s">
        <v>156</v>
      </c>
      <c r="J89" s="176" t="s">
        <v>157</v>
      </c>
    </row>
    <row r="90" spans="1:23">
      <c r="A90" s="29" t="s">
        <v>158</v>
      </c>
      <c r="B90" s="29" t="s">
        <v>158</v>
      </c>
      <c r="C90" s="25" t="s">
        <v>159</v>
      </c>
      <c r="F90" s="177" t="s">
        <v>160</v>
      </c>
      <c r="G90" s="177" t="s">
        <v>38</v>
      </c>
      <c r="H90" s="177" t="s">
        <v>160</v>
      </c>
      <c r="I90" s="177" t="s">
        <v>161</v>
      </c>
      <c r="J90" s="177" t="s">
        <v>162</v>
      </c>
      <c r="K90" s="3"/>
      <c r="L90" s="3"/>
      <c r="M90" s="3"/>
    </row>
    <row r="91" spans="1:23">
      <c r="A91" s="29" t="s">
        <v>163</v>
      </c>
      <c r="B91" s="29" t="s">
        <v>163</v>
      </c>
      <c r="C91" s="25" t="s">
        <v>164</v>
      </c>
      <c r="F91" s="177" t="s">
        <v>160</v>
      </c>
      <c r="G91" s="177" t="s">
        <v>38</v>
      </c>
      <c r="H91" s="177" t="s">
        <v>160</v>
      </c>
      <c r="I91" s="177" t="s">
        <v>161</v>
      </c>
      <c r="J91" s="177" t="s">
        <v>165</v>
      </c>
      <c r="K91" s="3"/>
      <c r="L91" s="3"/>
      <c r="M91" s="3"/>
    </row>
    <row r="92" spans="1:23" ht="15" thickBot="1"/>
    <row r="93" spans="1:23">
      <c r="A93" s="337" t="s">
        <v>792</v>
      </c>
      <c r="B93" s="337" t="s">
        <v>792</v>
      </c>
      <c r="C93" s="293" t="s">
        <v>793</v>
      </c>
    </row>
    <row r="94" spans="1:23">
      <c r="A94" s="337"/>
      <c r="B94" s="337"/>
      <c r="C94" s="294" t="s">
        <v>794</v>
      </c>
    </row>
    <row r="95" spans="1:23" ht="15" thickBot="1">
      <c r="A95" s="337"/>
      <c r="B95" s="337"/>
      <c r="C95" s="295" t="s">
        <v>795</v>
      </c>
    </row>
    <row r="96" spans="1:23">
      <c r="A96" s="337"/>
      <c r="B96" s="337"/>
      <c r="C96" s="293" t="s">
        <v>796</v>
      </c>
    </row>
    <row r="97" spans="1:3">
      <c r="A97" s="337"/>
      <c r="B97" s="337"/>
      <c r="C97" s="294" t="s">
        <v>797</v>
      </c>
    </row>
    <row r="98" spans="1:3" ht="15" thickBot="1">
      <c r="A98" s="337"/>
      <c r="B98" s="337"/>
      <c r="C98" s="295" t="s">
        <v>798</v>
      </c>
    </row>
    <row r="99" spans="1:3">
      <c r="A99" s="337"/>
      <c r="B99" s="337"/>
      <c r="C99" s="294" t="s">
        <v>799</v>
      </c>
    </row>
    <row r="100" spans="1:3">
      <c r="A100" s="337"/>
      <c r="B100" s="337"/>
      <c r="C100" s="294" t="s">
        <v>800</v>
      </c>
    </row>
    <row r="101" spans="1:3" ht="15" thickBot="1">
      <c r="A101" s="337"/>
      <c r="B101" s="337"/>
      <c r="C101" s="295" t="s">
        <v>801</v>
      </c>
    </row>
    <row r="102" spans="1:3">
      <c r="A102" s="337"/>
      <c r="B102" s="337"/>
      <c r="C102" s="294" t="s">
        <v>802</v>
      </c>
    </row>
    <row r="103" spans="1:3">
      <c r="A103" s="337"/>
      <c r="B103" s="337"/>
      <c r="C103" s="294" t="s">
        <v>803</v>
      </c>
    </row>
    <row r="104" spans="1:3" ht="15" thickBot="1">
      <c r="A104" s="337"/>
      <c r="B104" s="337"/>
      <c r="C104" s="295" t="s">
        <v>804</v>
      </c>
    </row>
    <row r="105" spans="1:3">
      <c r="A105" s="337"/>
      <c r="B105" s="337"/>
      <c r="C105" s="294" t="s">
        <v>805</v>
      </c>
    </row>
    <row r="106" spans="1:3">
      <c r="A106" s="337"/>
      <c r="B106" s="337"/>
      <c r="C106" s="294" t="s">
        <v>806</v>
      </c>
    </row>
    <row r="107" spans="1:3" ht="15" thickBot="1">
      <c r="A107" s="337"/>
      <c r="B107" s="337"/>
      <c r="C107" s="295" t="s">
        <v>807</v>
      </c>
    </row>
    <row r="108" spans="1:3">
      <c r="A108" s="337" t="s">
        <v>808</v>
      </c>
      <c r="B108" s="337" t="s">
        <v>808</v>
      </c>
      <c r="C108" s="294" t="s">
        <v>809</v>
      </c>
    </row>
    <row r="109" spans="1:3">
      <c r="A109" s="337"/>
      <c r="B109" s="337"/>
      <c r="C109" s="277" t="s">
        <v>853</v>
      </c>
    </row>
    <row r="110" spans="1:3">
      <c r="A110" s="337"/>
      <c r="B110" s="337"/>
      <c r="C110" s="294" t="s">
        <v>810</v>
      </c>
    </row>
    <row r="111" spans="1:3">
      <c r="A111" s="337"/>
      <c r="B111" s="337"/>
      <c r="C111" s="294" t="s">
        <v>811</v>
      </c>
    </row>
    <row r="112" spans="1:3" ht="15" thickBot="1">
      <c r="A112" s="337"/>
      <c r="B112" s="337"/>
      <c r="C112" s="295" t="s">
        <v>812</v>
      </c>
    </row>
    <row r="113" spans="1:3">
      <c r="A113" s="337"/>
      <c r="B113" s="337"/>
      <c r="C113" s="294" t="s">
        <v>813</v>
      </c>
    </row>
    <row r="114" spans="1:3">
      <c r="A114" s="337"/>
      <c r="B114" s="337"/>
      <c r="C114" s="277" t="s">
        <v>854</v>
      </c>
    </row>
    <row r="115" spans="1:3">
      <c r="A115" s="337"/>
      <c r="B115" s="337"/>
      <c r="C115" s="294" t="s">
        <v>814</v>
      </c>
    </row>
    <row r="116" spans="1:3">
      <c r="A116" s="337"/>
      <c r="B116" s="337"/>
      <c r="C116" s="294" t="s">
        <v>815</v>
      </c>
    </row>
    <row r="117" spans="1:3" ht="15" thickBot="1">
      <c r="A117" s="337"/>
      <c r="B117" s="337"/>
      <c r="C117" s="295" t="s">
        <v>816</v>
      </c>
    </row>
    <row r="118" spans="1:3">
      <c r="A118" s="337"/>
      <c r="B118" s="337"/>
      <c r="C118" s="294" t="s">
        <v>817</v>
      </c>
    </row>
    <row r="119" spans="1:3">
      <c r="A119" s="337"/>
      <c r="B119" s="337"/>
      <c r="C119" s="277" t="s">
        <v>855</v>
      </c>
    </row>
    <row r="120" spans="1:3">
      <c r="A120" s="337"/>
      <c r="B120" s="337"/>
      <c r="C120" s="294" t="s">
        <v>818</v>
      </c>
    </row>
    <row r="121" spans="1:3">
      <c r="A121" s="337"/>
      <c r="B121" s="337"/>
      <c r="C121" s="294" t="s">
        <v>819</v>
      </c>
    </row>
    <row r="122" spans="1:3" ht="15" thickBot="1">
      <c r="A122" s="337"/>
      <c r="B122" s="337"/>
      <c r="C122" s="295" t="s">
        <v>820</v>
      </c>
    </row>
    <row r="123" spans="1:3">
      <c r="A123" s="337"/>
      <c r="B123" s="337"/>
      <c r="C123" s="294" t="s">
        <v>821</v>
      </c>
    </row>
    <row r="124" spans="1:3">
      <c r="A124" s="337"/>
      <c r="B124" s="337"/>
      <c r="C124" s="277" t="s">
        <v>856</v>
      </c>
    </row>
    <row r="125" spans="1:3">
      <c r="A125" s="337"/>
      <c r="B125" s="337"/>
      <c r="C125" s="294" t="s">
        <v>822</v>
      </c>
    </row>
    <row r="126" spans="1:3">
      <c r="A126" s="337"/>
      <c r="B126" s="337"/>
      <c r="C126" s="294" t="s">
        <v>823</v>
      </c>
    </row>
    <row r="127" spans="1:3" ht="15" thickBot="1">
      <c r="A127" s="337"/>
      <c r="B127" s="337"/>
      <c r="C127" s="295" t="s">
        <v>824</v>
      </c>
    </row>
    <row r="128" spans="1:3">
      <c r="A128" s="337"/>
      <c r="B128" s="337"/>
      <c r="C128" s="294" t="s">
        <v>825</v>
      </c>
    </row>
    <row r="129" spans="1:3">
      <c r="A129" s="337"/>
      <c r="B129" s="337"/>
      <c r="C129" s="277" t="s">
        <v>857</v>
      </c>
    </row>
    <row r="130" spans="1:3">
      <c r="A130" s="337"/>
      <c r="B130" s="337"/>
      <c r="C130" s="294" t="s">
        <v>826</v>
      </c>
    </row>
    <row r="131" spans="1:3">
      <c r="A131" s="337"/>
      <c r="B131" s="337"/>
      <c r="C131" s="294" t="s">
        <v>827</v>
      </c>
    </row>
    <row r="132" spans="1:3" ht="15" thickBot="1">
      <c r="A132" s="337"/>
      <c r="B132" s="337"/>
      <c r="C132" s="295" t="s">
        <v>828</v>
      </c>
    </row>
    <row r="133" spans="1:3">
      <c r="A133" s="337"/>
      <c r="B133" s="337"/>
      <c r="C133" s="294" t="s">
        <v>829</v>
      </c>
    </row>
    <row r="134" spans="1:3">
      <c r="A134" s="337"/>
      <c r="B134" s="337"/>
      <c r="C134" s="277" t="s">
        <v>858</v>
      </c>
    </row>
    <row r="135" spans="1:3">
      <c r="A135" s="337"/>
      <c r="B135" s="337"/>
      <c r="C135" s="294" t="s">
        <v>830</v>
      </c>
    </row>
    <row r="136" spans="1:3">
      <c r="A136" s="337"/>
      <c r="B136" s="337"/>
      <c r="C136" s="294" t="s">
        <v>831</v>
      </c>
    </row>
    <row r="137" spans="1:3" ht="15" thickBot="1">
      <c r="A137" s="337"/>
      <c r="B137" s="337"/>
      <c r="C137" s="295" t="s">
        <v>832</v>
      </c>
    </row>
    <row r="138" spans="1:3">
      <c r="A138" s="337"/>
      <c r="B138" s="337"/>
      <c r="C138" s="294" t="s">
        <v>833</v>
      </c>
    </row>
    <row r="139" spans="1:3">
      <c r="A139" s="337"/>
      <c r="B139" s="337"/>
      <c r="C139" s="277" t="s">
        <v>859</v>
      </c>
    </row>
    <row r="140" spans="1:3">
      <c r="A140" s="337"/>
      <c r="B140" s="337"/>
      <c r="C140" s="294" t="s">
        <v>834</v>
      </c>
    </row>
    <row r="141" spans="1:3">
      <c r="A141" s="337"/>
      <c r="B141" s="337"/>
      <c r="C141" s="294" t="s">
        <v>835</v>
      </c>
    </row>
    <row r="142" spans="1:3" ht="15" thickBot="1">
      <c r="A142" s="337"/>
      <c r="B142" s="337"/>
      <c r="C142" s="295" t="s">
        <v>836</v>
      </c>
    </row>
    <row r="145" spans="1:23">
      <c r="A145" s="279"/>
      <c r="B145" s="279"/>
      <c r="C145" s="279"/>
      <c r="D145" s="279"/>
      <c r="E145" s="279"/>
      <c r="F145" s="280" t="s">
        <v>837</v>
      </c>
      <c r="G145" s="281" t="s">
        <v>838</v>
      </c>
      <c r="H145" s="281" t="s">
        <v>839</v>
      </c>
      <c r="I145" s="281" t="s">
        <v>840</v>
      </c>
      <c r="J145" s="281" t="s">
        <v>841</v>
      </c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</row>
    <row r="146" spans="1:23" ht="57.6">
      <c r="A146" s="282" t="s">
        <v>842</v>
      </c>
      <c r="B146" s="283" t="s">
        <v>842</v>
      </c>
      <c r="C146" s="284" t="s">
        <v>843</v>
      </c>
      <c r="D146" s="279"/>
      <c r="E146" s="279"/>
      <c r="F146" s="291" t="s">
        <v>37</v>
      </c>
      <c r="G146" s="292" t="s">
        <v>37</v>
      </c>
      <c r="H146" s="292">
        <v>0</v>
      </c>
      <c r="I146" s="285" t="s">
        <v>37</v>
      </c>
      <c r="J146" s="285">
        <v>0</v>
      </c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</row>
    <row r="147" spans="1:23">
      <c r="A147" s="286"/>
      <c r="B147" s="287"/>
      <c r="C147" s="288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</row>
    <row r="148" spans="1:23">
      <c r="A148" s="286"/>
      <c r="B148" s="287"/>
      <c r="C148" s="288"/>
      <c r="D148" s="279"/>
      <c r="E148" s="279"/>
      <c r="F148" s="290" t="s">
        <v>844</v>
      </c>
      <c r="G148" s="290" t="s">
        <v>845</v>
      </c>
      <c r="H148" s="290" t="s">
        <v>846</v>
      </c>
      <c r="I148" s="279"/>
      <c r="J148" s="279"/>
      <c r="K148" s="279"/>
      <c r="L148" s="279"/>
      <c r="M148" s="279"/>
      <c r="N148" s="279"/>
      <c r="O148" s="279"/>
      <c r="P148" s="279"/>
      <c r="Q148" s="279"/>
      <c r="R148" s="279"/>
      <c r="S148" s="279"/>
      <c r="T148" s="279"/>
      <c r="U148" s="279"/>
      <c r="V148" s="279"/>
      <c r="W148" s="279"/>
    </row>
    <row r="149" spans="1:23" ht="43.15">
      <c r="A149" s="286" t="s">
        <v>847</v>
      </c>
      <c r="B149" s="287" t="s">
        <v>842</v>
      </c>
      <c r="C149" s="288" t="s">
        <v>848</v>
      </c>
      <c r="D149" s="279"/>
      <c r="E149" s="279"/>
      <c r="F149" s="290" t="s">
        <v>29</v>
      </c>
      <c r="G149" s="290" t="s">
        <v>30</v>
      </c>
      <c r="H149" s="290" t="s">
        <v>62</v>
      </c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</row>
  </sheetData>
  <mergeCells count="12">
    <mergeCell ref="A74:A79"/>
    <mergeCell ref="A80:A86"/>
    <mergeCell ref="A93:A107"/>
    <mergeCell ref="B93:B107"/>
    <mergeCell ref="A108:A142"/>
    <mergeCell ref="B108:B142"/>
    <mergeCell ref="A38:A39"/>
    <mergeCell ref="F1:L1"/>
    <mergeCell ref="A3:A15"/>
    <mergeCell ref="A19:A20"/>
    <mergeCell ref="A22:A23"/>
    <mergeCell ref="A31:A3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3C7C-FBA2-4FAF-A0BD-84BE654ACB9A}">
  <dimension ref="A1:Q432"/>
  <sheetViews>
    <sheetView workbookViewId="0">
      <selection activeCell="B378" sqref="B378"/>
    </sheetView>
  </sheetViews>
  <sheetFormatPr defaultRowHeight="14.45"/>
  <cols>
    <col min="1" max="1" width="21" bestFit="1" customWidth="1"/>
    <col min="2" max="2" width="28.85546875" bestFit="1" customWidth="1"/>
    <col min="3" max="3" width="33.5703125" style="3" bestFit="1" customWidth="1"/>
    <col min="4" max="4" width="17.7109375" style="3" bestFit="1" customWidth="1"/>
    <col min="5" max="5" width="11.85546875" bestFit="1" customWidth="1"/>
    <col min="6" max="6" width="14.5703125" style="3" bestFit="1" customWidth="1"/>
    <col min="7" max="7" width="11.140625" style="48" bestFit="1" customWidth="1"/>
    <col min="8" max="8" width="58.7109375" style="15" bestFit="1" customWidth="1"/>
    <col min="9" max="9" width="24.140625" style="15" customWidth="1"/>
    <col min="10" max="10" width="8.7109375" style="15" customWidth="1"/>
    <col min="11" max="12" width="15.140625" style="15" bestFit="1" customWidth="1"/>
    <col min="13" max="13" width="34" bestFit="1" customWidth="1"/>
  </cols>
  <sheetData>
    <row r="1" spans="1:13">
      <c r="A1" s="63" t="s">
        <v>168</v>
      </c>
      <c r="B1" s="64" t="s">
        <v>0</v>
      </c>
      <c r="C1" s="64" t="s">
        <v>169</v>
      </c>
      <c r="D1" s="65" t="s">
        <v>170</v>
      </c>
      <c r="E1" s="97" t="s">
        <v>171</v>
      </c>
      <c r="F1" s="65" t="s">
        <v>172</v>
      </c>
      <c r="G1" s="98" t="s">
        <v>173</v>
      </c>
      <c r="H1" s="66" t="s">
        <v>860</v>
      </c>
      <c r="I1" s="66" t="s">
        <v>787</v>
      </c>
      <c r="J1" s="66" t="s">
        <v>788</v>
      </c>
      <c r="K1" s="66" t="s">
        <v>789</v>
      </c>
      <c r="L1" s="66" t="s">
        <v>790</v>
      </c>
    </row>
    <row r="2" spans="1:13" hidden="1">
      <c r="A2" s="50" t="s">
        <v>9</v>
      </c>
      <c r="B2" s="50" t="s">
        <v>10</v>
      </c>
      <c r="C2" s="16" t="s">
        <v>192</v>
      </c>
      <c r="D2" s="40" t="s">
        <v>193</v>
      </c>
      <c r="E2" s="40"/>
      <c r="F2" s="40">
        <v>1</v>
      </c>
      <c r="G2" s="68">
        <v>41.522300000000001</v>
      </c>
      <c r="H2" s="69"/>
      <c r="I2" s="69" t="s">
        <v>185</v>
      </c>
      <c r="J2" s="69" t="s">
        <v>180</v>
      </c>
      <c r="K2" s="69"/>
      <c r="L2" s="163"/>
    </row>
    <row r="3" spans="1:13" hidden="1">
      <c r="A3" s="52"/>
      <c r="B3" s="52"/>
      <c r="C3" s="32" t="s">
        <v>194</v>
      </c>
      <c r="D3" t="s">
        <v>193</v>
      </c>
      <c r="F3">
        <v>1</v>
      </c>
      <c r="G3" s="48">
        <v>41.316299999999998</v>
      </c>
      <c r="K3" s="15" t="s">
        <v>185</v>
      </c>
      <c r="L3" s="164" t="s">
        <v>180</v>
      </c>
    </row>
    <row r="4" spans="1:13" hidden="1">
      <c r="A4" s="52"/>
      <c r="B4" s="52"/>
      <c r="C4" s="32" t="s">
        <v>195</v>
      </c>
      <c r="D4" t="s">
        <v>193</v>
      </c>
      <c r="F4">
        <v>1</v>
      </c>
      <c r="G4" s="48">
        <v>54.264800000000001</v>
      </c>
      <c r="H4" s="15" t="s">
        <v>187</v>
      </c>
      <c r="K4" s="15" t="s">
        <v>180</v>
      </c>
      <c r="L4" s="164"/>
    </row>
    <row r="5" spans="1:13" hidden="1">
      <c r="A5" s="52"/>
      <c r="B5" s="52"/>
      <c r="C5" s="32" t="s">
        <v>196</v>
      </c>
      <c r="D5" t="s">
        <v>193</v>
      </c>
      <c r="F5">
        <v>1</v>
      </c>
      <c r="G5" s="48">
        <v>55.015099999999997</v>
      </c>
      <c r="H5" s="15" t="s">
        <v>187</v>
      </c>
      <c r="I5" s="15" t="s">
        <v>180</v>
      </c>
      <c r="L5" s="164"/>
    </row>
    <row r="6" spans="1:13" hidden="1">
      <c r="A6" s="106"/>
      <c r="B6" s="106"/>
      <c r="C6" s="107" t="s">
        <v>197</v>
      </c>
      <c r="D6" s="227" t="s">
        <v>193</v>
      </c>
      <c r="E6" s="227"/>
      <c r="F6" s="227">
        <v>1</v>
      </c>
      <c r="G6" s="252">
        <v>57.929400000000001</v>
      </c>
      <c r="H6" s="108" t="s">
        <v>180</v>
      </c>
      <c r="I6" s="108" t="s">
        <v>187</v>
      </c>
      <c r="J6" s="108"/>
      <c r="K6" s="108" t="s">
        <v>180</v>
      </c>
      <c r="L6" s="165"/>
    </row>
    <row r="7" spans="1:13" hidden="1">
      <c r="A7" s="109"/>
      <c r="B7" s="109"/>
      <c r="C7" s="110" t="s">
        <v>198</v>
      </c>
      <c r="D7" s="111" t="s">
        <v>193</v>
      </c>
      <c r="E7" s="111"/>
      <c r="F7" s="111">
        <v>1</v>
      </c>
      <c r="G7" s="112">
        <v>50.990299999999998</v>
      </c>
      <c r="H7" s="113"/>
      <c r="I7" s="113" t="s">
        <v>187</v>
      </c>
      <c r="J7" s="113"/>
      <c r="K7" s="113" t="s">
        <v>180</v>
      </c>
      <c r="L7" s="166"/>
    </row>
    <row r="8" spans="1:13" hidden="1"/>
    <row r="9" spans="1:13" s="40" customFormat="1" hidden="1">
      <c r="A9" s="73" t="s">
        <v>9</v>
      </c>
      <c r="B9" s="50" t="s">
        <v>11</v>
      </c>
      <c r="C9" s="40" t="s">
        <v>861</v>
      </c>
      <c r="D9" s="253" t="s">
        <v>176</v>
      </c>
      <c r="F9" s="67">
        <f>1.5/0.05+1</f>
        <v>31</v>
      </c>
      <c r="G9" s="68">
        <f>31.5*F9+44</f>
        <v>1020.5</v>
      </c>
      <c r="H9" s="69" t="s">
        <v>862</v>
      </c>
      <c r="I9" s="69" t="s">
        <v>178</v>
      </c>
      <c r="J9" s="69" t="s">
        <v>179</v>
      </c>
      <c r="K9" s="69" t="s">
        <v>180</v>
      </c>
      <c r="L9" s="163" t="s">
        <v>179</v>
      </c>
    </row>
    <row r="10" spans="1:13" hidden="1">
      <c r="A10" s="39"/>
      <c r="B10" s="52"/>
      <c r="C10" t="s">
        <v>190</v>
      </c>
      <c r="D10" s="87" t="s">
        <v>191</v>
      </c>
      <c r="F10" s="1"/>
      <c r="G10" s="48">
        <v>15</v>
      </c>
      <c r="L10" s="164"/>
      <c r="M10" t="s">
        <v>863</v>
      </c>
    </row>
    <row r="11" spans="1:13" hidden="1">
      <c r="A11" s="39"/>
      <c r="B11" s="52"/>
      <c r="C11" t="s">
        <v>283</v>
      </c>
      <c r="D11" s="76" t="s">
        <v>176</v>
      </c>
      <c r="F11" s="1">
        <v>1</v>
      </c>
      <c r="G11" s="48">
        <v>68.386399999999995</v>
      </c>
      <c r="H11" s="3" t="s">
        <v>190</v>
      </c>
      <c r="I11" s="3" t="s">
        <v>178</v>
      </c>
      <c r="J11" s="15" t="s">
        <v>179</v>
      </c>
      <c r="K11" s="15" t="s">
        <v>180</v>
      </c>
      <c r="L11" s="164" t="s">
        <v>179</v>
      </c>
    </row>
    <row r="12" spans="1:13" hidden="1">
      <c r="A12" s="39"/>
      <c r="B12" s="52"/>
      <c r="C12" t="s">
        <v>653</v>
      </c>
      <c r="D12" s="76" t="s">
        <v>203</v>
      </c>
      <c r="F12"/>
      <c r="H12" s="3" t="s">
        <v>190</v>
      </c>
      <c r="I12" s="3" t="s">
        <v>178</v>
      </c>
      <c r="L12" s="164"/>
    </row>
    <row r="13" spans="1:13" hidden="1">
      <c r="A13" s="39"/>
      <c r="B13" s="52"/>
      <c r="C13" t="s">
        <v>864</v>
      </c>
      <c r="D13" s="76" t="s">
        <v>286</v>
      </c>
      <c r="F13"/>
      <c r="H13" s="3" t="s">
        <v>865</v>
      </c>
      <c r="I13" s="3" t="s">
        <v>178</v>
      </c>
      <c r="L13" s="164"/>
    </row>
    <row r="14" spans="1:13" hidden="1">
      <c r="A14" s="39"/>
      <c r="B14" s="52"/>
      <c r="C14" t="s">
        <v>866</v>
      </c>
      <c r="D14" s="76" t="s">
        <v>176</v>
      </c>
      <c r="F14"/>
      <c r="H14" s="3" t="s">
        <v>867</v>
      </c>
      <c r="I14" s="3" t="s">
        <v>178</v>
      </c>
      <c r="J14" s="15" t="s">
        <v>179</v>
      </c>
      <c r="K14" s="15" t="s">
        <v>180</v>
      </c>
      <c r="L14" s="164" t="s">
        <v>179</v>
      </c>
    </row>
    <row r="15" spans="1:13" hidden="1">
      <c r="A15" s="39"/>
      <c r="B15" s="52"/>
      <c r="C15" t="s">
        <v>290</v>
      </c>
      <c r="D15" s="76" t="s">
        <v>286</v>
      </c>
      <c r="F15"/>
      <c r="H15" s="3" t="s">
        <v>867</v>
      </c>
      <c r="I15" s="3" t="s">
        <v>178</v>
      </c>
      <c r="K15" s="15" t="s">
        <v>180</v>
      </c>
      <c r="L15" s="164"/>
    </row>
    <row r="16" spans="1:13" hidden="1">
      <c r="A16" s="39"/>
      <c r="B16" s="52"/>
      <c r="C16" t="s">
        <v>868</v>
      </c>
      <c r="D16" s="76" t="s">
        <v>286</v>
      </c>
      <c r="F16"/>
      <c r="H16" s="3" t="s">
        <v>865</v>
      </c>
      <c r="I16" s="3" t="s">
        <v>178</v>
      </c>
      <c r="L16" s="164"/>
    </row>
    <row r="17" spans="1:17" hidden="1">
      <c r="A17" s="39"/>
      <c r="B17" s="52"/>
      <c r="C17" t="s">
        <v>869</v>
      </c>
      <c r="D17" s="76" t="s">
        <v>176</v>
      </c>
      <c r="F17"/>
      <c r="H17" s="3" t="s">
        <v>867</v>
      </c>
      <c r="I17" s="3" t="s">
        <v>178</v>
      </c>
      <c r="J17" s="15" t="s">
        <v>179</v>
      </c>
      <c r="K17" s="15" t="s">
        <v>180</v>
      </c>
      <c r="L17" s="164" t="s">
        <v>179</v>
      </c>
    </row>
    <row r="18" spans="1:17" hidden="1">
      <c r="A18" s="39"/>
      <c r="B18" s="52"/>
      <c r="C18" t="s">
        <v>288</v>
      </c>
      <c r="D18" s="76" t="s">
        <v>286</v>
      </c>
      <c r="F18"/>
      <c r="H18" s="3" t="s">
        <v>867</v>
      </c>
      <c r="I18" s="3" t="s">
        <v>178</v>
      </c>
      <c r="K18" s="15" t="s">
        <v>180</v>
      </c>
      <c r="L18" s="164"/>
    </row>
    <row r="19" spans="1:17" hidden="1">
      <c r="A19" s="39"/>
      <c r="B19" s="52"/>
      <c r="C19" t="s">
        <v>870</v>
      </c>
      <c r="D19" s="76" t="s">
        <v>203</v>
      </c>
      <c r="F19"/>
      <c r="H19" s="3" t="s">
        <v>269</v>
      </c>
      <c r="I19" s="3" t="s">
        <v>178</v>
      </c>
      <c r="L19" s="164"/>
      <c r="M19" t="s">
        <v>58</v>
      </c>
    </row>
    <row r="20" spans="1:17" hidden="1">
      <c r="A20" s="39"/>
      <c r="B20" s="52"/>
      <c r="C20" t="s">
        <v>636</v>
      </c>
      <c r="D20" s="76" t="s">
        <v>203</v>
      </c>
      <c r="F20"/>
      <c r="H20" s="3" t="s">
        <v>258</v>
      </c>
      <c r="I20" s="3" t="s">
        <v>178</v>
      </c>
      <c r="L20" s="164"/>
      <c r="M20" t="s">
        <v>871</v>
      </c>
    </row>
    <row r="21" spans="1:17" hidden="1">
      <c r="A21" s="39"/>
      <c r="B21" s="52"/>
      <c r="C21" t="s">
        <v>634</v>
      </c>
      <c r="D21" s="76" t="s">
        <v>203</v>
      </c>
      <c r="F21"/>
      <c r="H21" s="3" t="s">
        <v>185</v>
      </c>
      <c r="I21" s="3" t="s">
        <v>178</v>
      </c>
      <c r="L21" s="164"/>
      <c r="M21" t="s">
        <v>871</v>
      </c>
    </row>
    <row r="22" spans="1:17" hidden="1">
      <c r="A22" s="52"/>
      <c r="B22" s="52"/>
      <c r="C22" t="s">
        <v>621</v>
      </c>
      <c r="D22" t="s">
        <v>203</v>
      </c>
      <c r="F22"/>
      <c r="H22" s="3" t="s">
        <v>187</v>
      </c>
      <c r="I22" s="3" t="s">
        <v>178</v>
      </c>
      <c r="K22" s="15" t="s">
        <v>180</v>
      </c>
      <c r="L22" s="164"/>
      <c r="M22" t="s">
        <v>872</v>
      </c>
    </row>
    <row r="23" spans="1:17" hidden="1">
      <c r="A23" s="123"/>
      <c r="B23" s="106"/>
      <c r="C23" s="227" t="s">
        <v>873</v>
      </c>
      <c r="D23" s="124" t="s">
        <v>203</v>
      </c>
      <c r="E23" s="227"/>
      <c r="F23" s="227"/>
      <c r="G23" s="252"/>
      <c r="H23" s="254" t="s">
        <v>874</v>
      </c>
      <c r="I23" s="254" t="s">
        <v>178</v>
      </c>
      <c r="J23" s="108"/>
      <c r="K23" s="108" t="s">
        <v>180</v>
      </c>
      <c r="L23" s="165"/>
    </row>
    <row r="24" spans="1:17" hidden="1">
      <c r="A24" s="123"/>
      <c r="B24" s="106"/>
      <c r="C24" s="227" t="s">
        <v>875</v>
      </c>
      <c r="D24" s="124" t="s">
        <v>203</v>
      </c>
      <c r="E24" s="227"/>
      <c r="F24" s="227"/>
      <c r="G24" s="252"/>
      <c r="H24" s="254" t="s">
        <v>876</v>
      </c>
      <c r="I24" s="254" t="s">
        <v>178</v>
      </c>
      <c r="J24" s="108"/>
      <c r="K24" s="108" t="s">
        <v>180</v>
      </c>
      <c r="L24" s="165"/>
    </row>
    <row r="25" spans="1:17" hidden="1">
      <c r="A25" s="123"/>
      <c r="B25" s="106"/>
      <c r="C25" s="227" t="s">
        <v>877</v>
      </c>
      <c r="D25" s="124" t="s">
        <v>203</v>
      </c>
      <c r="E25" s="227"/>
      <c r="F25" s="227"/>
      <c r="G25" s="252"/>
      <c r="H25" s="254" t="s">
        <v>878</v>
      </c>
      <c r="I25" s="254" t="s">
        <v>178</v>
      </c>
      <c r="J25" s="108"/>
      <c r="K25" s="108" t="s">
        <v>180</v>
      </c>
      <c r="L25" s="165"/>
    </row>
    <row r="26" spans="1:17" hidden="1">
      <c r="A26" s="123"/>
      <c r="B26" s="106"/>
      <c r="C26" s="227" t="s">
        <v>879</v>
      </c>
      <c r="D26" s="124" t="s">
        <v>203</v>
      </c>
      <c r="E26" s="227"/>
      <c r="F26" s="227"/>
      <c r="G26" s="252"/>
      <c r="H26" s="254" t="s">
        <v>880</v>
      </c>
      <c r="I26" s="254" t="s">
        <v>178</v>
      </c>
      <c r="J26" s="108"/>
      <c r="K26" s="108" t="s">
        <v>180</v>
      </c>
      <c r="L26" s="165"/>
    </row>
    <row r="27" spans="1:17" hidden="1">
      <c r="A27" s="123"/>
      <c r="B27" s="106"/>
      <c r="C27" s="227" t="s">
        <v>881</v>
      </c>
      <c r="D27" s="124" t="s">
        <v>203</v>
      </c>
      <c r="E27" s="227"/>
      <c r="F27" s="227"/>
      <c r="G27" s="252"/>
      <c r="H27" s="254" t="s">
        <v>882</v>
      </c>
      <c r="I27" s="254" t="s">
        <v>178</v>
      </c>
      <c r="J27" s="108"/>
      <c r="K27" s="108" t="s">
        <v>180</v>
      </c>
      <c r="L27" s="165"/>
    </row>
    <row r="28" spans="1:17" hidden="1">
      <c r="A28" s="123"/>
      <c r="B28" s="106"/>
      <c r="C28" s="227" t="s">
        <v>883</v>
      </c>
      <c r="D28" s="124" t="s">
        <v>279</v>
      </c>
      <c r="E28" s="227"/>
      <c r="F28" s="227"/>
      <c r="G28" s="252"/>
      <c r="H28" s="254"/>
      <c r="I28" s="227"/>
      <c r="J28" s="108"/>
      <c r="K28" s="108"/>
      <c r="L28" s="165"/>
    </row>
    <row r="29" spans="1:17" hidden="1">
      <c r="A29" s="123"/>
      <c r="B29" s="106"/>
      <c r="C29" s="227" t="s">
        <v>884</v>
      </c>
      <c r="D29" s="124" t="s">
        <v>279</v>
      </c>
      <c r="E29" s="227"/>
      <c r="F29" s="227"/>
      <c r="G29" s="252"/>
      <c r="H29" s="254"/>
      <c r="I29" s="227"/>
      <c r="J29" s="108"/>
      <c r="K29" s="108"/>
      <c r="L29" s="165"/>
    </row>
    <row r="30" spans="1:17" hidden="1">
      <c r="A30" s="123"/>
      <c r="B30" s="106"/>
      <c r="C30" s="227" t="s">
        <v>885</v>
      </c>
      <c r="D30" s="124" t="s">
        <v>279</v>
      </c>
      <c r="E30" s="227"/>
      <c r="F30" s="227"/>
      <c r="G30" s="252"/>
      <c r="H30" s="254"/>
      <c r="I30" s="227"/>
      <c r="J30" s="108"/>
      <c r="K30" s="108"/>
      <c r="L30" s="165"/>
    </row>
    <row r="31" spans="1:17" hidden="1">
      <c r="A31" s="52"/>
      <c r="B31" s="39"/>
      <c r="C31" s="226" t="s">
        <v>218</v>
      </c>
      <c r="D31" s="87" t="s">
        <v>219</v>
      </c>
      <c r="F31" s="1"/>
      <c r="H31" s="3" t="s">
        <v>217</v>
      </c>
      <c r="I31" s="15" t="s">
        <v>178</v>
      </c>
      <c r="K31" s="15" t="s">
        <v>180</v>
      </c>
      <c r="L31" s="164"/>
    </row>
    <row r="32" spans="1:17" s="41" customFormat="1" hidden="1">
      <c r="A32" s="51"/>
      <c r="B32" s="95"/>
      <c r="C32" s="255" t="s">
        <v>220</v>
      </c>
      <c r="D32" s="256"/>
      <c r="F32" s="70"/>
      <c r="G32" s="71"/>
      <c r="H32" s="77"/>
      <c r="I32" s="72"/>
      <c r="J32" s="72"/>
      <c r="K32" s="72"/>
      <c r="L32" s="167"/>
      <c r="M32"/>
      <c r="N32"/>
      <c r="O32"/>
      <c r="P32"/>
      <c r="Q32"/>
    </row>
    <row r="33" spans="1:17" hidden="1">
      <c r="A33" s="1"/>
      <c r="B33" s="1"/>
      <c r="C33"/>
      <c r="D33" s="1"/>
      <c r="F33" s="1"/>
    </row>
    <row r="34" spans="1:17" s="40" customFormat="1" hidden="1">
      <c r="A34" s="73" t="s">
        <v>9</v>
      </c>
      <c r="B34" s="151" t="s">
        <v>16</v>
      </c>
      <c r="C34" s="75" t="s">
        <v>383</v>
      </c>
      <c r="D34" s="40" t="s">
        <v>176</v>
      </c>
      <c r="F34" s="40">
        <f>0.6/0.02+1</f>
        <v>31</v>
      </c>
      <c r="G34" s="68">
        <v>986.60400000000004</v>
      </c>
      <c r="H34" s="74" t="s">
        <v>384</v>
      </c>
      <c r="I34" s="74" t="s">
        <v>178</v>
      </c>
      <c r="J34" s="69" t="s">
        <v>179</v>
      </c>
      <c r="K34" s="69" t="s">
        <v>180</v>
      </c>
      <c r="L34" s="163" t="s">
        <v>179</v>
      </c>
      <c r="M34" s="28" t="s">
        <v>886</v>
      </c>
      <c r="N34"/>
      <c r="O34"/>
      <c r="P34"/>
      <c r="Q34"/>
    </row>
    <row r="35" spans="1:17" hidden="1">
      <c r="A35" s="39"/>
      <c r="B35" s="52"/>
      <c r="C35" s="76" t="s">
        <v>385</v>
      </c>
      <c r="D35" t="s">
        <v>386</v>
      </c>
      <c r="F35"/>
      <c r="H35" s="3"/>
      <c r="I35"/>
      <c r="L35" s="164"/>
    </row>
    <row r="36" spans="1:17" hidden="1">
      <c r="A36" s="39"/>
      <c r="B36" s="52"/>
      <c r="C36" s="76" t="s">
        <v>387</v>
      </c>
      <c r="D36"/>
      <c r="F36"/>
      <c r="H36" s="3"/>
      <c r="I36"/>
      <c r="L36" s="164"/>
    </row>
    <row r="37" spans="1:17" s="41" customFormat="1" hidden="1">
      <c r="A37" s="95"/>
      <c r="B37" s="51"/>
      <c r="C37" s="96" t="s">
        <v>388</v>
      </c>
      <c r="G37" s="71"/>
      <c r="H37" s="77"/>
      <c r="J37" s="72"/>
      <c r="K37" s="72"/>
      <c r="L37" s="167"/>
      <c r="M37"/>
      <c r="N37"/>
      <c r="O37"/>
      <c r="P37"/>
      <c r="Q37"/>
    </row>
    <row r="38" spans="1:17" hidden="1">
      <c r="A38" s="87"/>
      <c r="B38" s="87"/>
      <c r="C38"/>
      <c r="D38" s="1"/>
      <c r="F38" s="1"/>
    </row>
    <row r="39" spans="1:17" s="40" customFormat="1" hidden="1">
      <c r="A39" s="73" t="s">
        <v>9</v>
      </c>
      <c r="B39" s="73" t="s">
        <v>12</v>
      </c>
      <c r="C39" s="75" t="s">
        <v>887</v>
      </c>
      <c r="D39" s="40" t="s">
        <v>193</v>
      </c>
      <c r="G39" s="68"/>
      <c r="H39" s="74" t="s">
        <v>180</v>
      </c>
      <c r="I39" s="74" t="s">
        <v>269</v>
      </c>
      <c r="J39" s="69"/>
      <c r="K39" s="69"/>
      <c r="L39" s="163"/>
      <c r="M39" s="76" t="s">
        <v>888</v>
      </c>
    </row>
    <row r="40" spans="1:17" hidden="1">
      <c r="A40" s="39"/>
      <c r="B40" s="39"/>
      <c r="C40" s="257" t="s">
        <v>889</v>
      </c>
      <c r="D40"/>
      <c r="F40"/>
      <c r="H40" s="3"/>
      <c r="I40" s="3"/>
      <c r="L40" s="164"/>
      <c r="M40" s="76"/>
    </row>
    <row r="41" spans="1:17" hidden="1">
      <c r="A41" s="52"/>
      <c r="B41" s="39"/>
      <c r="C41" s="76" t="s">
        <v>890</v>
      </c>
      <c r="D41"/>
      <c r="F41"/>
      <c r="H41" s="3"/>
      <c r="I41" s="3"/>
      <c r="L41" s="164"/>
      <c r="M41" s="76" t="s">
        <v>888</v>
      </c>
    </row>
    <row r="42" spans="1:17" hidden="1">
      <c r="A42" s="52"/>
      <c r="B42" s="39"/>
      <c r="C42" s="257" t="s">
        <v>891</v>
      </c>
      <c r="D42"/>
      <c r="F42"/>
      <c r="H42" s="3"/>
      <c r="I42" s="3"/>
      <c r="L42" s="164"/>
      <c r="M42" s="76"/>
    </row>
    <row r="43" spans="1:17" hidden="1">
      <c r="A43" s="52"/>
      <c r="B43" s="39"/>
      <c r="C43" s="76" t="s">
        <v>892</v>
      </c>
      <c r="D43"/>
      <c r="F43"/>
      <c r="H43" s="3"/>
      <c r="I43" s="3"/>
      <c r="L43" s="164"/>
      <c r="M43" s="76" t="s">
        <v>888</v>
      </c>
    </row>
    <row r="44" spans="1:17" hidden="1">
      <c r="A44" s="52"/>
      <c r="B44" s="39"/>
      <c r="C44" s="257" t="s">
        <v>893</v>
      </c>
      <c r="D44"/>
      <c r="F44"/>
      <c r="H44" s="3"/>
      <c r="I44" s="3"/>
      <c r="L44" s="164"/>
      <c r="M44" s="76"/>
    </row>
    <row r="45" spans="1:17" hidden="1">
      <c r="A45" s="52"/>
      <c r="B45" s="39"/>
      <c r="C45" s="76" t="s">
        <v>894</v>
      </c>
      <c r="D45" t="s">
        <v>193</v>
      </c>
      <c r="F45" s="1"/>
      <c r="H45" s="3" t="s">
        <v>244</v>
      </c>
      <c r="I45" s="3" t="s">
        <v>269</v>
      </c>
      <c r="L45" s="164"/>
      <c r="M45" s="76" t="s">
        <v>888</v>
      </c>
    </row>
    <row r="46" spans="1:17" hidden="1">
      <c r="A46" s="52"/>
      <c r="B46" s="39"/>
      <c r="C46" s="76" t="s">
        <v>895</v>
      </c>
      <c r="D46" t="s">
        <v>193</v>
      </c>
      <c r="F46" s="1"/>
      <c r="H46" s="45" t="s">
        <v>248</v>
      </c>
      <c r="I46" s="3" t="s">
        <v>269</v>
      </c>
      <c r="L46" s="164"/>
      <c r="M46" s="76" t="s">
        <v>888</v>
      </c>
    </row>
    <row r="47" spans="1:17" hidden="1">
      <c r="A47" s="52"/>
      <c r="B47" s="39"/>
      <c r="C47" s="76" t="s">
        <v>896</v>
      </c>
      <c r="D47" t="s">
        <v>193</v>
      </c>
      <c r="F47" s="1"/>
      <c r="H47" s="3" t="s">
        <v>269</v>
      </c>
      <c r="I47" s="3" t="s">
        <v>180</v>
      </c>
      <c r="L47" s="164"/>
      <c r="M47" s="76" t="s">
        <v>888</v>
      </c>
    </row>
    <row r="48" spans="1:17" hidden="1">
      <c r="A48" s="52"/>
      <c r="B48" s="39"/>
      <c r="C48" s="257" t="s">
        <v>897</v>
      </c>
      <c r="D48"/>
      <c r="F48" s="1"/>
      <c r="H48" s="3"/>
      <c r="I48" s="3"/>
      <c r="L48" s="164"/>
      <c r="M48" s="76"/>
    </row>
    <row r="49" spans="1:13" hidden="1">
      <c r="A49" s="52"/>
      <c r="B49" s="39"/>
      <c r="C49" s="76" t="s">
        <v>898</v>
      </c>
      <c r="D49" t="s">
        <v>176</v>
      </c>
      <c r="F49" s="1"/>
      <c r="H49" s="3" t="s">
        <v>899</v>
      </c>
      <c r="I49" s="3" t="s">
        <v>269</v>
      </c>
      <c r="J49" s="15" t="s">
        <v>179</v>
      </c>
      <c r="K49" s="15" t="s">
        <v>180</v>
      </c>
      <c r="L49" s="164" t="s">
        <v>179</v>
      </c>
      <c r="M49" s="76" t="s">
        <v>888</v>
      </c>
    </row>
    <row r="50" spans="1:13" hidden="1">
      <c r="A50" s="52"/>
      <c r="B50" s="39"/>
      <c r="C50" s="76" t="s">
        <v>900</v>
      </c>
      <c r="D50" t="s">
        <v>203</v>
      </c>
      <c r="F50"/>
      <c r="H50" s="3" t="s">
        <v>269</v>
      </c>
      <c r="I50" s="3" t="s">
        <v>269</v>
      </c>
      <c r="L50" s="164"/>
      <c r="M50" s="76" t="s">
        <v>888</v>
      </c>
    </row>
    <row r="51" spans="1:13" hidden="1">
      <c r="A51" s="52"/>
      <c r="B51" s="39"/>
      <c r="C51" s="76" t="s">
        <v>901</v>
      </c>
      <c r="D51" t="s">
        <v>203</v>
      </c>
      <c r="F51"/>
      <c r="H51" s="3" t="s">
        <v>269</v>
      </c>
      <c r="I51" s="3" t="s">
        <v>269</v>
      </c>
      <c r="L51" s="164"/>
      <c r="M51" s="76" t="s">
        <v>888</v>
      </c>
    </row>
    <row r="52" spans="1:13" hidden="1">
      <c r="A52" s="52"/>
      <c r="B52" s="39"/>
      <c r="C52" s="76" t="s">
        <v>902</v>
      </c>
      <c r="D52" t="s">
        <v>203</v>
      </c>
      <c r="F52"/>
      <c r="H52" s="3" t="s">
        <v>394</v>
      </c>
      <c r="I52" s="3" t="s">
        <v>269</v>
      </c>
      <c r="L52" s="164"/>
      <c r="M52" s="76" t="s">
        <v>888</v>
      </c>
    </row>
    <row r="53" spans="1:13" hidden="1">
      <c r="A53" s="39"/>
      <c r="B53" s="39"/>
      <c r="C53" s="76" t="s">
        <v>903</v>
      </c>
      <c r="D53" t="s">
        <v>203</v>
      </c>
      <c r="F53"/>
      <c r="H53" s="3" t="s">
        <v>205</v>
      </c>
      <c r="I53" s="3" t="s">
        <v>269</v>
      </c>
      <c r="L53" s="164"/>
      <c r="M53" s="76" t="s">
        <v>888</v>
      </c>
    </row>
    <row r="54" spans="1:13" hidden="1">
      <c r="A54" s="39"/>
      <c r="B54" s="39"/>
      <c r="C54" s="76" t="s">
        <v>904</v>
      </c>
      <c r="D54" t="s">
        <v>203</v>
      </c>
      <c r="F54"/>
      <c r="H54" s="3" t="s">
        <v>397</v>
      </c>
      <c r="I54" s="3" t="s">
        <v>269</v>
      </c>
      <c r="L54" s="164"/>
      <c r="M54" s="76" t="s">
        <v>888</v>
      </c>
    </row>
    <row r="55" spans="1:13" hidden="1">
      <c r="A55" s="52"/>
      <c r="B55" s="39"/>
      <c r="C55" s="76" t="s">
        <v>905</v>
      </c>
      <c r="D55" t="s">
        <v>176</v>
      </c>
      <c r="F55" s="1"/>
      <c r="H55" s="3" t="s">
        <v>906</v>
      </c>
      <c r="I55" s="3" t="s">
        <v>394</v>
      </c>
      <c r="J55" s="15" t="s">
        <v>179</v>
      </c>
      <c r="K55" s="15" t="s">
        <v>180</v>
      </c>
      <c r="L55" s="164" t="s">
        <v>179</v>
      </c>
      <c r="M55" s="76" t="s">
        <v>888</v>
      </c>
    </row>
    <row r="56" spans="1:13" hidden="1">
      <c r="A56" s="52"/>
      <c r="B56" s="39"/>
      <c r="C56" s="76" t="s">
        <v>907</v>
      </c>
      <c r="D56" t="s">
        <v>203</v>
      </c>
      <c r="F56"/>
      <c r="H56" s="3" t="s">
        <v>269</v>
      </c>
      <c r="I56" s="3" t="s">
        <v>394</v>
      </c>
      <c r="L56" s="164"/>
      <c r="M56" s="76" t="s">
        <v>888</v>
      </c>
    </row>
    <row r="57" spans="1:13" hidden="1">
      <c r="A57" s="52"/>
      <c r="B57" s="39"/>
      <c r="C57" s="76" t="s">
        <v>908</v>
      </c>
      <c r="D57" t="s">
        <v>203</v>
      </c>
      <c r="F57"/>
      <c r="H57" s="3" t="s">
        <v>267</v>
      </c>
      <c r="I57" s="3" t="s">
        <v>394</v>
      </c>
      <c r="L57" s="164"/>
      <c r="M57" s="76" t="s">
        <v>888</v>
      </c>
    </row>
    <row r="58" spans="1:13" hidden="1">
      <c r="A58" s="52"/>
      <c r="B58" s="39"/>
      <c r="C58" s="76" t="s">
        <v>909</v>
      </c>
      <c r="D58" t="s">
        <v>203</v>
      </c>
      <c r="F58"/>
      <c r="H58" s="3" t="s">
        <v>271</v>
      </c>
      <c r="I58" s="3" t="s">
        <v>394</v>
      </c>
      <c r="L58" s="164"/>
      <c r="M58" s="76" t="s">
        <v>888</v>
      </c>
    </row>
    <row r="59" spans="1:13" hidden="1">
      <c r="A59" s="52"/>
      <c r="B59" s="39"/>
      <c r="C59" s="76" t="s">
        <v>910</v>
      </c>
      <c r="D59" t="s">
        <v>279</v>
      </c>
      <c r="F59"/>
      <c r="H59" s="3"/>
      <c r="I59" s="3"/>
      <c r="L59" s="164"/>
      <c r="M59" s="76" t="s">
        <v>888</v>
      </c>
    </row>
    <row r="60" spans="1:13" hidden="1">
      <c r="A60" s="52"/>
      <c r="B60" s="39"/>
      <c r="C60" s="76" t="s">
        <v>911</v>
      </c>
      <c r="D60" t="s">
        <v>279</v>
      </c>
      <c r="F60"/>
      <c r="H60" s="3"/>
      <c r="I60" s="3"/>
      <c r="L60" s="164"/>
      <c r="M60" s="76" t="s">
        <v>888</v>
      </c>
    </row>
    <row r="61" spans="1:13" hidden="1">
      <c r="A61" s="52"/>
      <c r="B61" s="39"/>
      <c r="C61" s="76" t="s">
        <v>912</v>
      </c>
      <c r="D61" t="s">
        <v>279</v>
      </c>
      <c r="F61"/>
      <c r="H61" s="3"/>
      <c r="I61" s="3"/>
      <c r="L61" s="164"/>
      <c r="M61" s="76" t="s">
        <v>888</v>
      </c>
    </row>
    <row r="62" spans="1:13" hidden="1">
      <c r="A62" s="52"/>
      <c r="B62" s="39"/>
      <c r="C62" s="76" t="s">
        <v>913</v>
      </c>
      <c r="D62" t="s">
        <v>286</v>
      </c>
      <c r="F62"/>
      <c r="H62" s="3" t="s">
        <v>914</v>
      </c>
      <c r="I62" s="3" t="s">
        <v>269</v>
      </c>
      <c r="L62" s="164"/>
      <c r="M62" s="76" t="s">
        <v>888</v>
      </c>
    </row>
    <row r="63" spans="1:13" hidden="1">
      <c r="A63" s="52"/>
      <c r="B63" s="39"/>
      <c r="C63" s="76" t="s">
        <v>915</v>
      </c>
      <c r="D63" t="s">
        <v>176</v>
      </c>
      <c r="F63"/>
      <c r="H63" s="3" t="s">
        <v>916</v>
      </c>
      <c r="I63" s="3" t="s">
        <v>269</v>
      </c>
      <c r="J63" s="15" t="s">
        <v>179</v>
      </c>
      <c r="K63" s="15" t="s">
        <v>180</v>
      </c>
      <c r="L63" s="164" t="s">
        <v>179</v>
      </c>
      <c r="M63" s="76" t="s">
        <v>888</v>
      </c>
    </row>
    <row r="64" spans="1:13" hidden="1">
      <c r="A64" s="52"/>
      <c r="B64" s="39"/>
      <c r="C64" s="76" t="s">
        <v>917</v>
      </c>
      <c r="D64" t="s">
        <v>286</v>
      </c>
      <c r="F64"/>
      <c r="H64" s="3" t="s">
        <v>916</v>
      </c>
      <c r="I64" s="3" t="s">
        <v>269</v>
      </c>
      <c r="K64" s="15" t="s">
        <v>180</v>
      </c>
      <c r="L64" s="164"/>
      <c r="M64" s="76" t="s">
        <v>888</v>
      </c>
    </row>
    <row r="65" spans="1:13" s="15" customFormat="1" hidden="1">
      <c r="A65" s="52"/>
      <c r="B65" s="39"/>
      <c r="C65" s="76" t="s">
        <v>918</v>
      </c>
      <c r="D65" t="s">
        <v>286</v>
      </c>
      <c r="E65"/>
      <c r="F65"/>
      <c r="G65" s="48"/>
      <c r="H65" s="3" t="s">
        <v>914</v>
      </c>
      <c r="I65" s="3" t="s">
        <v>269</v>
      </c>
      <c r="K65" s="15" t="s">
        <v>180</v>
      </c>
      <c r="L65" s="164"/>
      <c r="M65" s="76" t="s">
        <v>888</v>
      </c>
    </row>
    <row r="66" spans="1:13" s="15" customFormat="1" hidden="1">
      <c r="A66" s="52"/>
      <c r="B66" s="39"/>
      <c r="C66" s="76" t="s">
        <v>919</v>
      </c>
      <c r="D66" t="s">
        <v>176</v>
      </c>
      <c r="E66"/>
      <c r="F66"/>
      <c r="G66" s="48"/>
      <c r="H66" s="3" t="s">
        <v>867</v>
      </c>
      <c r="I66" s="3" t="s">
        <v>269</v>
      </c>
      <c r="J66" s="15" t="s">
        <v>179</v>
      </c>
      <c r="K66" s="15" t="s">
        <v>180</v>
      </c>
      <c r="L66" s="164" t="s">
        <v>179</v>
      </c>
      <c r="M66" s="76" t="s">
        <v>888</v>
      </c>
    </row>
    <row r="67" spans="1:13" s="15" customFormat="1" hidden="1">
      <c r="A67" s="52"/>
      <c r="B67" s="39"/>
      <c r="C67" s="76" t="s">
        <v>920</v>
      </c>
      <c r="D67" t="s">
        <v>286</v>
      </c>
      <c r="E67"/>
      <c r="F67"/>
      <c r="G67" s="48"/>
      <c r="H67" s="3" t="s">
        <v>867</v>
      </c>
      <c r="I67" s="3" t="s">
        <v>269</v>
      </c>
      <c r="K67" s="15" t="s">
        <v>180</v>
      </c>
      <c r="L67" s="164"/>
      <c r="M67" s="76" t="s">
        <v>888</v>
      </c>
    </row>
    <row r="68" spans="1:13" s="15" customFormat="1" hidden="1">
      <c r="A68" s="52"/>
      <c r="B68" s="39"/>
      <c r="C68" s="76" t="s">
        <v>921</v>
      </c>
      <c r="D68" t="s">
        <v>286</v>
      </c>
      <c r="E68"/>
      <c r="F68"/>
      <c r="G68" s="48"/>
      <c r="H68" s="3" t="s">
        <v>914</v>
      </c>
      <c r="I68" s="3" t="s">
        <v>269</v>
      </c>
      <c r="K68" s="15" t="s">
        <v>180</v>
      </c>
      <c r="L68" s="164"/>
      <c r="M68" s="76" t="s">
        <v>888</v>
      </c>
    </row>
    <row r="69" spans="1:13" s="15" customFormat="1" hidden="1">
      <c r="A69" s="52"/>
      <c r="B69" s="39"/>
      <c r="C69" s="76" t="s">
        <v>922</v>
      </c>
      <c r="D69" t="s">
        <v>176</v>
      </c>
      <c r="E69"/>
      <c r="F69"/>
      <c r="G69" s="48"/>
      <c r="H69" s="3" t="s">
        <v>867</v>
      </c>
      <c r="I69" s="3" t="s">
        <v>269</v>
      </c>
      <c r="J69" s="15" t="s">
        <v>179</v>
      </c>
      <c r="K69" s="15" t="s">
        <v>180</v>
      </c>
      <c r="L69" s="164" t="s">
        <v>179</v>
      </c>
      <c r="M69" s="76" t="s">
        <v>888</v>
      </c>
    </row>
    <row r="70" spans="1:13" s="15" customFormat="1" hidden="1">
      <c r="A70" s="52"/>
      <c r="B70" s="39"/>
      <c r="C70" s="76" t="s">
        <v>923</v>
      </c>
      <c r="D70" t="s">
        <v>286</v>
      </c>
      <c r="E70"/>
      <c r="F70"/>
      <c r="G70" s="48"/>
      <c r="H70" s="3" t="s">
        <v>867</v>
      </c>
      <c r="I70" s="3" t="s">
        <v>269</v>
      </c>
      <c r="K70" s="15" t="s">
        <v>180</v>
      </c>
      <c r="L70" s="164"/>
      <c r="M70" s="76" t="s">
        <v>888</v>
      </c>
    </row>
    <row r="71" spans="1:13" s="15" customFormat="1" hidden="1">
      <c r="A71" s="52"/>
      <c r="B71" s="39"/>
      <c r="C71" s="76" t="s">
        <v>924</v>
      </c>
      <c r="D71" t="s">
        <v>279</v>
      </c>
      <c r="E71"/>
      <c r="F71"/>
      <c r="G71" s="48"/>
      <c r="H71" s="3"/>
      <c r="I71" s="3"/>
      <c r="L71" s="164"/>
      <c r="M71" s="76" t="s">
        <v>888</v>
      </c>
    </row>
    <row r="72" spans="1:13" s="15" customFormat="1" hidden="1">
      <c r="A72" s="52"/>
      <c r="B72" s="39"/>
      <c r="C72" s="76" t="s">
        <v>925</v>
      </c>
      <c r="D72" t="s">
        <v>279</v>
      </c>
      <c r="E72"/>
      <c r="F72"/>
      <c r="G72" s="48"/>
      <c r="H72" s="3"/>
      <c r="I72" s="3"/>
      <c r="L72" s="164"/>
      <c r="M72" s="76" t="s">
        <v>888</v>
      </c>
    </row>
    <row r="73" spans="1:13" hidden="1">
      <c r="A73" s="52"/>
      <c r="B73" s="39"/>
      <c r="C73" s="76" t="s">
        <v>926</v>
      </c>
      <c r="D73" t="s">
        <v>279</v>
      </c>
      <c r="F73"/>
      <c r="H73" s="3"/>
      <c r="I73" s="3"/>
      <c r="L73" s="164"/>
      <c r="M73" s="76" t="s">
        <v>888</v>
      </c>
    </row>
    <row r="74" spans="1:13" hidden="1">
      <c r="A74" s="52"/>
      <c r="B74" s="39"/>
      <c r="C74" s="257" t="s">
        <v>927</v>
      </c>
      <c r="D74" t="s">
        <v>219</v>
      </c>
      <c r="F74"/>
      <c r="H74" s="3" t="s">
        <v>217</v>
      </c>
      <c r="I74" s="3" t="s">
        <v>269</v>
      </c>
      <c r="K74" s="15" t="s">
        <v>180</v>
      </c>
      <c r="L74" s="164"/>
      <c r="M74" s="76" t="s">
        <v>888</v>
      </c>
    </row>
    <row r="75" spans="1:13" hidden="1">
      <c r="A75" s="52"/>
      <c r="B75" s="39"/>
      <c r="C75" s="257" t="s">
        <v>928</v>
      </c>
      <c r="D75"/>
      <c r="F75"/>
      <c r="H75" s="3"/>
      <c r="I75" s="3"/>
      <c r="L75" s="164"/>
      <c r="M75" s="76"/>
    </row>
    <row r="76" spans="1:13" hidden="1">
      <c r="A76" s="106"/>
      <c r="B76" s="123"/>
      <c r="C76" s="124" t="s">
        <v>929</v>
      </c>
      <c r="D76" s="227" t="s">
        <v>193</v>
      </c>
      <c r="E76" s="227"/>
      <c r="F76" s="258"/>
      <c r="G76" s="252"/>
      <c r="H76" s="254" t="s">
        <v>319</v>
      </c>
      <c r="I76" s="254" t="s">
        <v>269</v>
      </c>
      <c r="J76" s="108"/>
      <c r="K76" s="108"/>
      <c r="L76" s="165"/>
      <c r="M76" s="76"/>
    </row>
    <row r="77" spans="1:13" s="41" customFormat="1" hidden="1">
      <c r="A77" s="109"/>
      <c r="B77" s="125"/>
      <c r="C77" s="154" t="s">
        <v>930</v>
      </c>
      <c r="D77" s="111"/>
      <c r="E77" s="111"/>
      <c r="F77" s="122"/>
      <c r="G77" s="112"/>
      <c r="H77" s="126" t="s">
        <v>319</v>
      </c>
      <c r="I77" s="126" t="s">
        <v>269</v>
      </c>
      <c r="J77" s="113"/>
      <c r="K77" s="113"/>
      <c r="L77" s="166"/>
      <c r="M77" s="76"/>
    </row>
    <row r="78" spans="1:13" hidden="1"/>
    <row r="79" spans="1:13" s="40" customFormat="1" hidden="1">
      <c r="A79" s="73" t="s">
        <v>9</v>
      </c>
      <c r="B79" s="73" t="s">
        <v>13</v>
      </c>
      <c r="C79" s="75" t="s">
        <v>239</v>
      </c>
      <c r="D79" s="40" t="s">
        <v>193</v>
      </c>
      <c r="F79" s="40">
        <v>1</v>
      </c>
      <c r="G79" s="68">
        <v>200.27799999999999</v>
      </c>
      <c r="H79" s="74" t="s">
        <v>180</v>
      </c>
      <c r="I79" s="40" t="s">
        <v>185</v>
      </c>
      <c r="J79" s="69"/>
      <c r="K79" s="69"/>
      <c r="L79" s="69"/>
    </row>
    <row r="80" spans="1:13" hidden="1">
      <c r="A80" s="39"/>
      <c r="B80" s="39"/>
      <c r="C80" s="257" t="s">
        <v>931</v>
      </c>
      <c r="D80"/>
      <c r="F80"/>
      <c r="H80" s="3"/>
      <c r="I80"/>
    </row>
    <row r="81" spans="1:12" hidden="1">
      <c r="A81" s="52"/>
      <c r="B81" s="39"/>
      <c r="C81" s="76" t="s">
        <v>241</v>
      </c>
      <c r="D81"/>
      <c r="F81"/>
      <c r="H81" s="3"/>
      <c r="I81"/>
    </row>
    <row r="82" spans="1:12" hidden="1">
      <c r="A82" s="52"/>
      <c r="B82" s="39"/>
      <c r="C82" s="257" t="s">
        <v>932</v>
      </c>
      <c r="D82"/>
      <c r="F82"/>
      <c r="H82" s="3"/>
      <c r="I82"/>
    </row>
    <row r="83" spans="1:12" hidden="1">
      <c r="A83" s="52"/>
      <c r="B83" s="39"/>
      <c r="C83" s="76" t="s">
        <v>242</v>
      </c>
      <c r="D83"/>
      <c r="F83"/>
      <c r="H83" s="3"/>
      <c r="I83"/>
    </row>
    <row r="84" spans="1:12" hidden="1">
      <c r="A84" s="52"/>
      <c r="B84" s="39"/>
      <c r="C84" s="257" t="s">
        <v>933</v>
      </c>
      <c r="D84"/>
      <c r="F84"/>
      <c r="H84" s="3"/>
      <c r="I84"/>
    </row>
    <row r="85" spans="1:12" hidden="1">
      <c r="A85" s="52"/>
      <c r="B85" s="39"/>
      <c r="C85" s="76" t="s">
        <v>243</v>
      </c>
      <c r="D85" t="s">
        <v>193</v>
      </c>
      <c r="F85" s="1">
        <v>1</v>
      </c>
      <c r="G85" s="48">
        <v>53.270200000000003</v>
      </c>
      <c r="H85" s="3" t="s">
        <v>244</v>
      </c>
      <c r="I85" t="s">
        <v>185</v>
      </c>
    </row>
    <row r="86" spans="1:12" hidden="1">
      <c r="A86" s="106"/>
      <c r="B86" s="123"/>
      <c r="C86" s="124" t="s">
        <v>245</v>
      </c>
      <c r="D86" s="227" t="s">
        <v>193</v>
      </c>
      <c r="E86" s="227"/>
      <c r="F86" s="258">
        <v>1</v>
      </c>
      <c r="G86" s="252">
        <v>50.950600000000001</v>
      </c>
      <c r="H86" s="254" t="s">
        <v>246</v>
      </c>
      <c r="I86" s="227" t="s">
        <v>185</v>
      </c>
      <c r="J86" s="108"/>
      <c r="K86" s="108"/>
      <c r="L86" s="108"/>
    </row>
    <row r="87" spans="1:12" hidden="1">
      <c r="A87" s="52"/>
      <c r="B87" s="39"/>
      <c r="C87" s="76" t="s">
        <v>247</v>
      </c>
      <c r="D87" t="s">
        <v>193</v>
      </c>
      <c r="F87" s="1">
        <v>1</v>
      </c>
      <c r="G87" s="48">
        <v>95.314700000000002</v>
      </c>
      <c r="H87" s="45" t="s">
        <v>248</v>
      </c>
      <c r="I87" t="s">
        <v>185</v>
      </c>
    </row>
    <row r="88" spans="1:12" hidden="1">
      <c r="A88" s="52"/>
      <c r="B88" s="39"/>
      <c r="C88" s="76" t="s">
        <v>249</v>
      </c>
      <c r="D88" t="s">
        <v>193</v>
      </c>
      <c r="F88" s="1">
        <v>1</v>
      </c>
      <c r="G88" s="48">
        <v>92.903999999999996</v>
      </c>
      <c r="H88" s="3" t="s">
        <v>185</v>
      </c>
      <c r="I88" t="s">
        <v>180</v>
      </c>
    </row>
    <row r="89" spans="1:12" hidden="1">
      <c r="A89" s="52"/>
      <c r="B89" s="39"/>
      <c r="C89" s="257" t="s">
        <v>934</v>
      </c>
      <c r="D89"/>
      <c r="F89" s="1"/>
      <c r="H89" s="3"/>
      <c r="I89"/>
    </row>
    <row r="90" spans="1:12" hidden="1">
      <c r="A90" s="52"/>
      <c r="B90" s="39"/>
      <c r="C90" s="76" t="s">
        <v>935</v>
      </c>
      <c r="D90" t="s">
        <v>176</v>
      </c>
      <c r="F90" s="1">
        <f>(1.05)/0.05+1</f>
        <v>22</v>
      </c>
      <c r="G90" s="48">
        <f>31.5*F90+44</f>
        <v>737</v>
      </c>
      <c r="H90" s="3" t="s">
        <v>865</v>
      </c>
      <c r="I90" t="s">
        <v>185</v>
      </c>
      <c r="J90" s="15" t="s">
        <v>179</v>
      </c>
      <c r="K90" s="15" t="s">
        <v>180</v>
      </c>
      <c r="L90" s="15" t="s">
        <v>179</v>
      </c>
    </row>
    <row r="91" spans="1:12" hidden="1">
      <c r="A91" s="52"/>
      <c r="B91" s="39"/>
      <c r="C91" s="76" t="s">
        <v>637</v>
      </c>
      <c r="D91" t="s">
        <v>203</v>
      </c>
      <c r="F91"/>
      <c r="H91" s="3" t="s">
        <v>185</v>
      </c>
      <c r="I91" t="s">
        <v>185</v>
      </c>
    </row>
    <row r="92" spans="1:12" hidden="1">
      <c r="A92" s="106"/>
      <c r="B92" s="123"/>
      <c r="C92" s="124" t="s">
        <v>638</v>
      </c>
      <c r="D92" s="227" t="s">
        <v>203</v>
      </c>
      <c r="E92" s="227"/>
      <c r="F92" s="227"/>
      <c r="G92" s="252"/>
      <c r="H92" s="254" t="s">
        <v>254</v>
      </c>
      <c r="I92" s="227" t="s">
        <v>185</v>
      </c>
      <c r="J92" s="108"/>
      <c r="K92" s="108"/>
      <c r="L92" s="108"/>
    </row>
    <row r="93" spans="1:12" hidden="1">
      <c r="A93" s="106"/>
      <c r="B93" s="123"/>
      <c r="C93" s="124" t="s">
        <v>639</v>
      </c>
      <c r="D93" s="227" t="s">
        <v>203</v>
      </c>
      <c r="E93" s="227"/>
      <c r="F93" s="227"/>
      <c r="G93" s="252"/>
      <c r="H93" s="254" t="s">
        <v>256</v>
      </c>
      <c r="I93" s="227" t="s">
        <v>185</v>
      </c>
      <c r="J93" s="108"/>
      <c r="K93" s="108"/>
      <c r="L93" s="108"/>
    </row>
    <row r="94" spans="1:12" hidden="1">
      <c r="A94" s="106"/>
      <c r="B94" s="123"/>
      <c r="C94" s="124" t="s">
        <v>640</v>
      </c>
      <c r="D94" s="227" t="s">
        <v>203</v>
      </c>
      <c r="E94" s="227"/>
      <c r="F94" s="227"/>
      <c r="G94" s="252"/>
      <c r="H94" s="254" t="s">
        <v>258</v>
      </c>
      <c r="I94" s="227" t="s">
        <v>185</v>
      </c>
      <c r="J94" s="108"/>
      <c r="K94" s="108"/>
      <c r="L94" s="108"/>
    </row>
    <row r="95" spans="1:12" hidden="1">
      <c r="A95" s="39"/>
      <c r="B95" s="39"/>
      <c r="C95" s="76" t="s">
        <v>641</v>
      </c>
      <c r="D95" t="s">
        <v>203</v>
      </c>
      <c r="F95"/>
      <c r="H95" s="3" t="s">
        <v>267</v>
      </c>
      <c r="I95" t="s">
        <v>185</v>
      </c>
    </row>
    <row r="96" spans="1:12" hidden="1">
      <c r="A96" s="39"/>
      <c r="B96" s="39"/>
      <c r="C96" s="257" t="s">
        <v>266</v>
      </c>
      <c r="D96" s="127" t="s">
        <v>203</v>
      </c>
      <c r="F96"/>
      <c r="H96" s="3" t="s">
        <v>267</v>
      </c>
      <c r="I96" t="s">
        <v>185</v>
      </c>
    </row>
    <row r="97" spans="1:12" hidden="1">
      <c r="A97" s="39"/>
      <c r="B97" s="39"/>
      <c r="C97" s="76" t="s">
        <v>642</v>
      </c>
      <c r="D97" t="s">
        <v>203</v>
      </c>
      <c r="F97"/>
      <c r="H97" s="3" t="s">
        <v>269</v>
      </c>
      <c r="I97" t="s">
        <v>185</v>
      </c>
    </row>
    <row r="98" spans="1:12" hidden="1">
      <c r="A98" s="106"/>
      <c r="B98" s="123"/>
      <c r="C98" s="124" t="s">
        <v>643</v>
      </c>
      <c r="D98" s="227" t="s">
        <v>203</v>
      </c>
      <c r="E98" s="227"/>
      <c r="F98" s="227"/>
      <c r="G98" s="252"/>
      <c r="H98" s="254" t="s">
        <v>271</v>
      </c>
      <c r="I98" s="227" t="s">
        <v>185</v>
      </c>
      <c r="J98" s="108"/>
      <c r="K98" s="108"/>
      <c r="L98" s="108"/>
    </row>
    <row r="99" spans="1:12" hidden="1">
      <c r="A99" s="52"/>
      <c r="B99" s="39"/>
      <c r="C99" s="76" t="s">
        <v>644</v>
      </c>
      <c r="D99" t="s">
        <v>203</v>
      </c>
      <c r="F99"/>
      <c r="H99" s="3" t="s">
        <v>183</v>
      </c>
      <c r="I99" t="s">
        <v>185</v>
      </c>
    </row>
    <row r="100" spans="1:12" hidden="1">
      <c r="A100" s="52"/>
      <c r="B100" s="39"/>
      <c r="C100" s="76" t="s">
        <v>936</v>
      </c>
      <c r="D100" t="s">
        <v>176</v>
      </c>
      <c r="F100" s="1">
        <v>4</v>
      </c>
      <c r="G100" s="48">
        <v>171.91</v>
      </c>
      <c r="H100" s="3" t="s">
        <v>251</v>
      </c>
      <c r="I100" t="s">
        <v>267</v>
      </c>
      <c r="J100" s="15" t="s">
        <v>179</v>
      </c>
      <c r="K100" s="15" t="s">
        <v>180</v>
      </c>
      <c r="L100" s="15" t="s">
        <v>179</v>
      </c>
    </row>
    <row r="101" spans="1:12" hidden="1">
      <c r="A101" s="52"/>
      <c r="B101" s="39"/>
      <c r="C101" s="76" t="s">
        <v>645</v>
      </c>
      <c r="D101" t="s">
        <v>203</v>
      </c>
      <c r="F101"/>
      <c r="H101" s="3" t="s">
        <v>185</v>
      </c>
      <c r="I101" t="s">
        <v>267</v>
      </c>
    </row>
    <row r="102" spans="1:12" hidden="1">
      <c r="A102" s="52"/>
      <c r="B102" s="39"/>
      <c r="C102" s="257" t="s">
        <v>274</v>
      </c>
      <c r="D102" t="s">
        <v>203</v>
      </c>
      <c r="F102"/>
      <c r="H102" s="3" t="s">
        <v>185</v>
      </c>
      <c r="I102" t="s">
        <v>267</v>
      </c>
    </row>
    <row r="103" spans="1:12" hidden="1">
      <c r="A103" s="52"/>
      <c r="B103" s="39"/>
      <c r="C103" s="76" t="s">
        <v>646</v>
      </c>
      <c r="D103" t="s">
        <v>203</v>
      </c>
      <c r="F103"/>
      <c r="H103" s="3" t="s">
        <v>254</v>
      </c>
      <c r="I103" t="s">
        <v>267</v>
      </c>
    </row>
    <row r="104" spans="1:12" hidden="1">
      <c r="A104" s="106"/>
      <c r="B104" s="123"/>
      <c r="C104" s="124" t="s">
        <v>647</v>
      </c>
      <c r="D104" s="227" t="s">
        <v>203</v>
      </c>
      <c r="E104" s="227"/>
      <c r="F104" s="227"/>
      <c r="G104" s="252"/>
      <c r="H104" s="254" t="s">
        <v>256</v>
      </c>
      <c r="I104" s="227" t="s">
        <v>267</v>
      </c>
      <c r="J104" s="108"/>
      <c r="K104" s="108"/>
      <c r="L104" s="108"/>
    </row>
    <row r="105" spans="1:12" hidden="1">
      <c r="A105" s="52"/>
      <c r="B105" s="39"/>
      <c r="C105" s="76" t="s">
        <v>648</v>
      </c>
      <c r="D105" t="s">
        <v>203</v>
      </c>
      <c r="F105"/>
      <c r="H105" s="3" t="s">
        <v>258</v>
      </c>
      <c r="I105" t="s">
        <v>267</v>
      </c>
    </row>
    <row r="106" spans="1:12" hidden="1">
      <c r="A106" s="52"/>
      <c r="B106" s="39"/>
      <c r="C106" s="76" t="s">
        <v>649</v>
      </c>
      <c r="D106" t="s">
        <v>279</v>
      </c>
      <c r="F106"/>
      <c r="H106" s="3"/>
      <c r="I106"/>
    </row>
    <row r="107" spans="1:12" hidden="1">
      <c r="A107" s="52"/>
      <c r="B107" s="39"/>
      <c r="C107" s="76" t="s">
        <v>278</v>
      </c>
      <c r="D107" t="s">
        <v>279</v>
      </c>
      <c r="F107"/>
      <c r="H107" s="3"/>
      <c r="I107"/>
    </row>
    <row r="108" spans="1:12" hidden="1">
      <c r="A108" s="52"/>
      <c r="B108" s="39"/>
      <c r="C108" s="76" t="s">
        <v>650</v>
      </c>
      <c r="D108" t="s">
        <v>279</v>
      </c>
      <c r="F108"/>
      <c r="H108" s="3"/>
      <c r="I108"/>
    </row>
    <row r="109" spans="1:12" hidden="1">
      <c r="A109" s="106"/>
      <c r="B109" s="123"/>
      <c r="C109" s="124" t="s">
        <v>651</v>
      </c>
      <c r="D109" s="227" t="s">
        <v>279</v>
      </c>
      <c r="E109" s="227"/>
      <c r="F109" s="227"/>
      <c r="G109" s="252"/>
      <c r="H109" s="254"/>
      <c r="I109" s="227"/>
      <c r="J109" s="108"/>
      <c r="K109" s="108"/>
      <c r="L109" s="108"/>
    </row>
    <row r="110" spans="1:12" hidden="1">
      <c r="A110" s="52"/>
      <c r="B110" s="39"/>
      <c r="C110" s="76" t="s">
        <v>652</v>
      </c>
      <c r="D110" t="s">
        <v>279</v>
      </c>
      <c r="F110"/>
      <c r="H110" s="3"/>
      <c r="I110"/>
    </row>
    <row r="111" spans="1:12" hidden="1">
      <c r="A111" s="52"/>
      <c r="B111" s="39"/>
      <c r="C111" s="76" t="s">
        <v>937</v>
      </c>
      <c r="D111" t="s">
        <v>286</v>
      </c>
      <c r="F111"/>
      <c r="H111" s="3" t="s">
        <v>865</v>
      </c>
      <c r="I111" t="s">
        <v>185</v>
      </c>
    </row>
    <row r="112" spans="1:12" hidden="1">
      <c r="A112" s="52"/>
      <c r="B112" s="39"/>
      <c r="C112" s="76" t="s">
        <v>938</v>
      </c>
      <c r="D112" t="s">
        <v>176</v>
      </c>
      <c r="F112"/>
      <c r="H112" s="3" t="s">
        <v>916</v>
      </c>
      <c r="I112" t="s">
        <v>185</v>
      </c>
      <c r="J112" s="15" t="s">
        <v>179</v>
      </c>
      <c r="K112" s="15" t="s">
        <v>180</v>
      </c>
      <c r="L112" s="15" t="s">
        <v>179</v>
      </c>
    </row>
    <row r="113" spans="1:12" hidden="1">
      <c r="A113" s="52"/>
      <c r="B113" s="39"/>
      <c r="C113" s="76" t="s">
        <v>285</v>
      </c>
      <c r="D113" t="s">
        <v>286</v>
      </c>
      <c r="F113"/>
      <c r="H113" s="3" t="s">
        <v>916</v>
      </c>
      <c r="I113" t="s">
        <v>185</v>
      </c>
      <c r="K113" s="15" t="s">
        <v>180</v>
      </c>
    </row>
    <row r="114" spans="1:12" s="15" customFormat="1" hidden="1">
      <c r="A114" s="52"/>
      <c r="B114" s="39"/>
      <c r="C114" s="76" t="s">
        <v>939</v>
      </c>
      <c r="D114" t="s">
        <v>286</v>
      </c>
      <c r="E114"/>
      <c r="F114"/>
      <c r="G114" s="48"/>
      <c r="H114" s="3" t="s">
        <v>865</v>
      </c>
      <c r="I114" t="s">
        <v>185</v>
      </c>
      <c r="K114" s="15" t="s">
        <v>180</v>
      </c>
    </row>
    <row r="115" spans="1:12" s="15" customFormat="1" hidden="1">
      <c r="A115" s="52"/>
      <c r="B115" s="39"/>
      <c r="C115" s="76" t="s">
        <v>940</v>
      </c>
      <c r="D115" t="s">
        <v>176</v>
      </c>
      <c r="E115"/>
      <c r="F115"/>
      <c r="G115" s="48"/>
      <c r="H115" s="3" t="s">
        <v>867</v>
      </c>
      <c r="I115" t="s">
        <v>185</v>
      </c>
      <c r="J115" s="15" t="s">
        <v>179</v>
      </c>
      <c r="K115" s="15" t="s">
        <v>180</v>
      </c>
      <c r="L115" s="15" t="s">
        <v>179</v>
      </c>
    </row>
    <row r="116" spans="1:12" s="15" customFormat="1" hidden="1">
      <c r="A116" s="52"/>
      <c r="B116" s="39"/>
      <c r="C116" s="76" t="s">
        <v>303</v>
      </c>
      <c r="D116" t="s">
        <v>286</v>
      </c>
      <c r="E116"/>
      <c r="F116"/>
      <c r="G116" s="48"/>
      <c r="H116" s="3" t="s">
        <v>867</v>
      </c>
      <c r="I116" t="s">
        <v>185</v>
      </c>
      <c r="K116" s="15" t="s">
        <v>180</v>
      </c>
    </row>
    <row r="117" spans="1:12" s="15" customFormat="1" hidden="1">
      <c r="A117" s="52"/>
      <c r="B117" s="39"/>
      <c r="C117" s="76" t="s">
        <v>941</v>
      </c>
      <c r="D117" t="s">
        <v>286</v>
      </c>
      <c r="E117"/>
      <c r="F117"/>
      <c r="G117" s="48"/>
      <c r="H117" s="3" t="s">
        <v>865</v>
      </c>
      <c r="I117" t="s">
        <v>185</v>
      </c>
      <c r="K117" s="15" t="s">
        <v>180</v>
      </c>
    </row>
    <row r="118" spans="1:12" s="15" customFormat="1" hidden="1">
      <c r="A118" s="52"/>
      <c r="B118" s="39"/>
      <c r="C118" s="76" t="s">
        <v>942</v>
      </c>
      <c r="D118" t="s">
        <v>176</v>
      </c>
      <c r="E118"/>
      <c r="F118"/>
      <c r="G118" s="48"/>
      <c r="H118" s="3" t="s">
        <v>867</v>
      </c>
      <c r="I118" t="s">
        <v>185</v>
      </c>
      <c r="J118" s="15" t="s">
        <v>179</v>
      </c>
      <c r="K118" s="15" t="s">
        <v>180</v>
      </c>
      <c r="L118" s="15" t="s">
        <v>179</v>
      </c>
    </row>
    <row r="119" spans="1:12" s="15" customFormat="1" hidden="1">
      <c r="A119" s="52"/>
      <c r="B119" s="39"/>
      <c r="C119" s="76" t="s">
        <v>301</v>
      </c>
      <c r="D119" t="s">
        <v>286</v>
      </c>
      <c r="E119"/>
      <c r="F119"/>
      <c r="G119" s="48"/>
      <c r="H119" s="3" t="s">
        <v>867</v>
      </c>
      <c r="I119" t="s">
        <v>185</v>
      </c>
      <c r="K119" s="15" t="s">
        <v>180</v>
      </c>
    </row>
    <row r="120" spans="1:12" s="15" customFormat="1" hidden="1">
      <c r="A120" s="106"/>
      <c r="B120" s="123"/>
      <c r="C120" s="124" t="s">
        <v>943</v>
      </c>
      <c r="D120" s="227" t="s">
        <v>203</v>
      </c>
      <c r="E120" s="227"/>
      <c r="F120" s="227"/>
      <c r="G120" s="252"/>
      <c r="H120" s="254" t="s">
        <v>874</v>
      </c>
      <c r="I120" s="227" t="s">
        <v>185</v>
      </c>
      <c r="J120" s="108"/>
      <c r="K120" s="108" t="s">
        <v>180</v>
      </c>
      <c r="L120" s="108"/>
    </row>
    <row r="121" spans="1:12" s="15" customFormat="1" hidden="1">
      <c r="A121" s="106"/>
      <c r="B121" s="123"/>
      <c r="C121" s="124" t="s">
        <v>944</v>
      </c>
      <c r="D121" s="227" t="s">
        <v>203</v>
      </c>
      <c r="E121" s="227"/>
      <c r="F121" s="227"/>
      <c r="G121" s="252"/>
      <c r="H121" s="254" t="s">
        <v>876</v>
      </c>
      <c r="I121" s="227" t="s">
        <v>185</v>
      </c>
      <c r="J121" s="108"/>
      <c r="K121" s="108" t="s">
        <v>180</v>
      </c>
      <c r="L121" s="108"/>
    </row>
    <row r="122" spans="1:12" s="15" customFormat="1" hidden="1">
      <c r="A122" s="106"/>
      <c r="B122" s="123"/>
      <c r="C122" s="124" t="s">
        <v>945</v>
      </c>
      <c r="D122" s="227" t="s">
        <v>203</v>
      </c>
      <c r="E122" s="227"/>
      <c r="F122" s="227"/>
      <c r="G122" s="252"/>
      <c r="H122" s="254" t="s">
        <v>878</v>
      </c>
      <c r="I122" s="227" t="s">
        <v>185</v>
      </c>
      <c r="J122" s="108"/>
      <c r="K122" s="108" t="s">
        <v>180</v>
      </c>
      <c r="L122" s="108"/>
    </row>
    <row r="123" spans="1:12" s="15" customFormat="1" hidden="1">
      <c r="A123" s="106"/>
      <c r="B123" s="123"/>
      <c r="C123" s="124" t="s">
        <v>946</v>
      </c>
      <c r="D123" s="227" t="s">
        <v>203</v>
      </c>
      <c r="E123" s="227"/>
      <c r="F123" s="227"/>
      <c r="G123" s="252"/>
      <c r="H123" s="254" t="s">
        <v>880</v>
      </c>
      <c r="I123" s="227" t="s">
        <v>185</v>
      </c>
      <c r="J123" s="108"/>
      <c r="K123" s="108" t="s">
        <v>180</v>
      </c>
      <c r="L123" s="108"/>
    </row>
    <row r="124" spans="1:12" s="15" customFormat="1" hidden="1">
      <c r="A124" s="106"/>
      <c r="B124" s="123"/>
      <c r="C124" s="124" t="s">
        <v>947</v>
      </c>
      <c r="D124" s="227" t="s">
        <v>203</v>
      </c>
      <c r="E124" s="227"/>
      <c r="F124" s="227"/>
      <c r="G124" s="252"/>
      <c r="H124" s="254" t="s">
        <v>882</v>
      </c>
      <c r="I124" s="227" t="s">
        <v>185</v>
      </c>
      <c r="J124" s="108"/>
      <c r="K124" s="108" t="s">
        <v>180</v>
      </c>
      <c r="L124" s="108"/>
    </row>
    <row r="125" spans="1:12" s="15" customFormat="1" hidden="1">
      <c r="A125" s="106"/>
      <c r="B125" s="123"/>
      <c r="C125" s="124" t="s">
        <v>948</v>
      </c>
      <c r="D125" s="227" t="s">
        <v>279</v>
      </c>
      <c r="E125" s="227"/>
      <c r="F125" s="227"/>
      <c r="G125" s="252"/>
      <c r="H125" s="254"/>
      <c r="I125" s="227"/>
      <c r="J125" s="108"/>
      <c r="K125" s="108"/>
      <c r="L125" s="108"/>
    </row>
    <row r="126" spans="1:12" s="15" customFormat="1" hidden="1">
      <c r="A126" s="106"/>
      <c r="B126" s="123"/>
      <c r="C126" s="124" t="s">
        <v>949</v>
      </c>
      <c r="D126" s="227" t="s">
        <v>279</v>
      </c>
      <c r="E126" s="227"/>
      <c r="F126" s="227"/>
      <c r="G126" s="252"/>
      <c r="H126" s="254"/>
      <c r="I126" s="227"/>
      <c r="J126" s="108"/>
      <c r="K126" s="108"/>
      <c r="L126" s="108"/>
    </row>
    <row r="127" spans="1:12" s="15" customFormat="1" hidden="1">
      <c r="A127" s="106"/>
      <c r="B127" s="123"/>
      <c r="C127" s="124" t="s">
        <v>950</v>
      </c>
      <c r="D127" s="227" t="s">
        <v>279</v>
      </c>
      <c r="E127" s="227"/>
      <c r="F127" s="227"/>
      <c r="G127" s="252"/>
      <c r="H127" s="254"/>
      <c r="I127" s="227"/>
      <c r="J127" s="108"/>
      <c r="K127" s="108"/>
      <c r="L127" s="108"/>
    </row>
    <row r="128" spans="1:12" s="15" customFormat="1" hidden="1">
      <c r="A128" s="52"/>
      <c r="B128" s="39"/>
      <c r="C128" s="257" t="s">
        <v>231</v>
      </c>
      <c r="D128" t="s">
        <v>219</v>
      </c>
      <c r="E128"/>
      <c r="F128"/>
      <c r="G128" s="48"/>
      <c r="H128" s="3" t="s">
        <v>217</v>
      </c>
      <c r="I128" t="s">
        <v>185</v>
      </c>
      <c r="K128" s="15" t="s">
        <v>180</v>
      </c>
    </row>
    <row r="129" spans="1:12" s="15" customFormat="1" hidden="1">
      <c r="A129" s="52"/>
      <c r="B129" s="39"/>
      <c r="C129" s="257" t="s">
        <v>233</v>
      </c>
      <c r="D129"/>
      <c r="E129"/>
      <c r="F129"/>
      <c r="G129" s="48"/>
      <c r="H129" s="3"/>
      <c r="I129"/>
    </row>
    <row r="130" spans="1:12" s="15" customFormat="1" hidden="1">
      <c r="A130" s="52"/>
      <c r="B130" s="39"/>
      <c r="C130" s="76" t="s">
        <v>315</v>
      </c>
      <c r="D130" t="s">
        <v>279</v>
      </c>
      <c r="E130"/>
      <c r="F130"/>
      <c r="G130" s="48"/>
      <c r="H130" s="3"/>
      <c r="I130"/>
    </row>
    <row r="131" spans="1:12" s="15" customFormat="1" hidden="1">
      <c r="A131" s="52"/>
      <c r="B131" s="39"/>
      <c r="C131" s="76" t="s">
        <v>316</v>
      </c>
      <c r="D131" t="s">
        <v>279</v>
      </c>
      <c r="E131"/>
      <c r="F131"/>
      <c r="G131" s="48"/>
      <c r="H131" s="3"/>
      <c r="I131"/>
    </row>
    <row r="132" spans="1:12" hidden="1">
      <c r="A132" s="52"/>
      <c r="B132" s="39"/>
      <c r="C132" s="76" t="s">
        <v>317</v>
      </c>
      <c r="D132" t="s">
        <v>279</v>
      </c>
      <c r="F132"/>
      <c r="H132" s="3"/>
      <c r="I132"/>
    </row>
    <row r="133" spans="1:12" hidden="1">
      <c r="A133" s="106"/>
      <c r="B133" s="123"/>
      <c r="C133" s="124" t="s">
        <v>318</v>
      </c>
      <c r="D133" s="227" t="s">
        <v>193</v>
      </c>
      <c r="E133" s="227"/>
      <c r="F133" s="258">
        <v>1</v>
      </c>
      <c r="G133" s="252">
        <v>95.685400000000001</v>
      </c>
      <c r="H133" s="254" t="s">
        <v>319</v>
      </c>
      <c r="I133" s="227" t="s">
        <v>185</v>
      </c>
      <c r="J133" s="108"/>
      <c r="K133" s="108"/>
      <c r="L133" s="108"/>
    </row>
    <row r="134" spans="1:12" s="41" customFormat="1" hidden="1">
      <c r="A134" s="109"/>
      <c r="B134" s="125"/>
      <c r="C134" s="154" t="s">
        <v>951</v>
      </c>
      <c r="D134" s="111"/>
      <c r="E134" s="111"/>
      <c r="F134" s="122">
        <v>1</v>
      </c>
      <c r="G134" s="112">
        <v>95.685400000000001</v>
      </c>
      <c r="H134" s="126" t="s">
        <v>319</v>
      </c>
      <c r="I134" s="111" t="s">
        <v>185</v>
      </c>
      <c r="J134" s="113"/>
      <c r="K134" s="113"/>
      <c r="L134" s="113"/>
    </row>
    <row r="135" spans="1:12" hidden="1"/>
    <row r="136" spans="1:12" hidden="1">
      <c r="A136" s="50" t="s">
        <v>9</v>
      </c>
      <c r="B136" s="50" t="s">
        <v>14</v>
      </c>
      <c r="C136" s="40" t="s">
        <v>504</v>
      </c>
      <c r="D136" s="40" t="s">
        <v>193</v>
      </c>
      <c r="E136" s="40"/>
      <c r="F136" s="40">
        <v>1</v>
      </c>
      <c r="G136" s="68">
        <v>199.934</v>
      </c>
      <c r="H136" s="74">
        <v>0</v>
      </c>
      <c r="I136" s="40" t="s">
        <v>187</v>
      </c>
      <c r="J136" s="69"/>
      <c r="K136" s="69" t="s">
        <v>180</v>
      </c>
      <c r="L136" s="69"/>
    </row>
    <row r="137" spans="1:12" hidden="1">
      <c r="A137" s="52"/>
      <c r="B137" s="52"/>
      <c r="C137" t="s">
        <v>505</v>
      </c>
      <c r="D137"/>
      <c r="F137"/>
      <c r="H137" s="3"/>
      <c r="I137"/>
    </row>
    <row r="138" spans="1:12" hidden="1">
      <c r="A138" s="52"/>
      <c r="B138" s="52"/>
      <c r="C138" t="s">
        <v>506</v>
      </c>
      <c r="D138"/>
      <c r="F138"/>
      <c r="H138" s="3"/>
      <c r="I138"/>
    </row>
    <row r="139" spans="1:12" hidden="1">
      <c r="A139" s="106"/>
      <c r="B139" s="106"/>
      <c r="C139" s="227" t="s">
        <v>507</v>
      </c>
      <c r="D139" s="227" t="s">
        <v>193</v>
      </c>
      <c r="E139" s="227"/>
      <c r="F139" s="258">
        <v>1</v>
      </c>
      <c r="G139" s="252">
        <v>92.910899999999998</v>
      </c>
      <c r="H139" s="254">
        <v>-0.1</v>
      </c>
      <c r="I139" s="227" t="s">
        <v>187</v>
      </c>
      <c r="J139" s="108"/>
      <c r="K139" s="108" t="s">
        <v>180</v>
      </c>
      <c r="L139" s="108"/>
    </row>
    <row r="140" spans="1:12" hidden="1">
      <c r="A140" s="52"/>
      <c r="B140" s="52"/>
      <c r="C140" t="s">
        <v>508</v>
      </c>
      <c r="D140" t="s">
        <v>193</v>
      </c>
      <c r="F140" s="1">
        <v>1</v>
      </c>
      <c r="G140" s="48">
        <v>60.077300000000001</v>
      </c>
      <c r="H140" s="3" t="s">
        <v>187</v>
      </c>
      <c r="I140" t="s">
        <v>180</v>
      </c>
      <c r="K140" s="15" t="s">
        <v>180</v>
      </c>
    </row>
    <row r="141" spans="1:12" hidden="1">
      <c r="A141" s="106"/>
      <c r="B141" s="106"/>
      <c r="C141" s="227" t="s">
        <v>729</v>
      </c>
      <c r="D141" s="227" t="s">
        <v>203</v>
      </c>
      <c r="E141" s="227"/>
      <c r="F141" s="227"/>
      <c r="G141" s="252"/>
      <c r="H141" s="254" t="s">
        <v>512</v>
      </c>
      <c r="I141" s="227" t="s">
        <v>178</v>
      </c>
      <c r="J141" s="108"/>
      <c r="K141" s="108" t="s">
        <v>180</v>
      </c>
      <c r="L141" s="108"/>
    </row>
    <row r="142" spans="1:12" hidden="1">
      <c r="A142" s="52"/>
      <c r="B142" s="52"/>
      <c r="C142" t="s">
        <v>952</v>
      </c>
      <c r="D142" t="s">
        <v>176</v>
      </c>
      <c r="F142" s="1">
        <f>1.5/0.05+1</f>
        <v>31</v>
      </c>
      <c r="G142" s="48">
        <f>31.5*F142+44</f>
        <v>1020.5</v>
      </c>
      <c r="H142" s="3" t="s">
        <v>862</v>
      </c>
      <c r="I142" t="s">
        <v>187</v>
      </c>
      <c r="J142" s="15" t="s">
        <v>179</v>
      </c>
      <c r="K142" s="15" t="s">
        <v>180</v>
      </c>
      <c r="L142" s="15" t="s">
        <v>179</v>
      </c>
    </row>
    <row r="143" spans="1:12" hidden="1">
      <c r="A143" s="52"/>
      <c r="B143" s="52"/>
      <c r="C143" t="s">
        <v>730</v>
      </c>
      <c r="D143" t="s">
        <v>203</v>
      </c>
      <c r="F143"/>
      <c r="H143" s="3">
        <v>1.1000000000000001</v>
      </c>
      <c r="I143" t="s">
        <v>187</v>
      </c>
      <c r="K143" s="15" t="s">
        <v>180</v>
      </c>
    </row>
    <row r="144" spans="1:12" hidden="1">
      <c r="A144" s="52"/>
      <c r="B144" s="52"/>
      <c r="C144" t="s">
        <v>734</v>
      </c>
      <c r="D144" t="s">
        <v>203</v>
      </c>
      <c r="F144"/>
      <c r="H144" s="3">
        <v>0.65</v>
      </c>
      <c r="I144" t="s">
        <v>187</v>
      </c>
      <c r="K144" s="15" t="s">
        <v>180</v>
      </c>
    </row>
    <row r="145" spans="1:12" hidden="1">
      <c r="A145" s="52"/>
      <c r="B145" s="52"/>
      <c r="C145" s="226" t="s">
        <v>519</v>
      </c>
      <c r="D145" t="s">
        <v>203</v>
      </c>
      <c r="F145"/>
      <c r="H145" s="3">
        <v>0.65</v>
      </c>
      <c r="I145" t="s">
        <v>187</v>
      </c>
      <c r="K145" s="15" t="s">
        <v>180</v>
      </c>
    </row>
    <row r="146" spans="1:12" hidden="1">
      <c r="A146" s="106"/>
      <c r="B146" s="106"/>
      <c r="C146" s="227" t="s">
        <v>737</v>
      </c>
      <c r="D146" s="227" t="s">
        <v>203</v>
      </c>
      <c r="E146" s="227"/>
      <c r="F146" s="227"/>
      <c r="G146" s="252"/>
      <c r="H146" s="254">
        <v>0.55000000000000004</v>
      </c>
      <c r="I146" s="227" t="s">
        <v>187</v>
      </c>
      <c r="J146" s="108"/>
      <c r="K146" s="108" t="s">
        <v>180</v>
      </c>
      <c r="L146" s="108"/>
    </row>
    <row r="147" spans="1:12" hidden="1">
      <c r="A147" s="106"/>
      <c r="B147" s="106"/>
      <c r="C147" s="227" t="s">
        <v>953</v>
      </c>
      <c r="D147" s="227" t="s">
        <v>176</v>
      </c>
      <c r="E147" s="227"/>
      <c r="F147" s="258">
        <v>2</v>
      </c>
      <c r="G147" s="252">
        <v>167.82900000000001</v>
      </c>
      <c r="H147" s="254" t="s">
        <v>514</v>
      </c>
      <c r="I147" s="227" t="s">
        <v>185</v>
      </c>
      <c r="J147" s="108" t="s">
        <v>179</v>
      </c>
      <c r="K147" s="108" t="s">
        <v>180</v>
      </c>
      <c r="L147" s="108" t="s">
        <v>179</v>
      </c>
    </row>
    <row r="148" spans="1:12" hidden="1">
      <c r="A148" s="52"/>
      <c r="B148" s="52"/>
      <c r="C148" t="s">
        <v>738</v>
      </c>
      <c r="D148" t="s">
        <v>203</v>
      </c>
      <c r="F148"/>
      <c r="H148" s="3">
        <v>1.1000000000000001</v>
      </c>
      <c r="I148" t="s">
        <v>185</v>
      </c>
      <c r="K148" s="15" t="s">
        <v>180</v>
      </c>
    </row>
    <row r="149" spans="1:12" hidden="1">
      <c r="A149" s="52"/>
      <c r="B149" s="52"/>
      <c r="C149" s="226" t="s">
        <v>522</v>
      </c>
      <c r="D149" t="s">
        <v>203</v>
      </c>
      <c r="F149"/>
      <c r="H149" s="3">
        <v>1.1000000000000001</v>
      </c>
      <c r="I149" t="s">
        <v>185</v>
      </c>
      <c r="K149" s="15" t="s">
        <v>180</v>
      </c>
    </row>
    <row r="150" spans="1:12" hidden="1">
      <c r="A150" s="106"/>
      <c r="B150" s="106"/>
      <c r="C150" s="227" t="s">
        <v>741</v>
      </c>
      <c r="D150" s="227" t="s">
        <v>203</v>
      </c>
      <c r="E150" s="227"/>
      <c r="F150" s="227"/>
      <c r="G150" s="252"/>
      <c r="H150" s="254">
        <v>1</v>
      </c>
      <c r="I150" s="227" t="s">
        <v>185</v>
      </c>
      <c r="J150" s="108"/>
      <c r="K150" s="108" t="s">
        <v>180</v>
      </c>
      <c r="L150" s="108"/>
    </row>
    <row r="151" spans="1:12" hidden="1">
      <c r="A151" s="52"/>
      <c r="B151" s="52"/>
      <c r="C151" t="s">
        <v>742</v>
      </c>
      <c r="D151" t="s">
        <v>279</v>
      </c>
      <c r="F151"/>
      <c r="H151" s="3"/>
      <c r="I151"/>
    </row>
    <row r="152" spans="1:12" hidden="1">
      <c r="A152" s="52"/>
      <c r="B152" s="52"/>
      <c r="C152" t="s">
        <v>524</v>
      </c>
      <c r="D152" t="s">
        <v>279</v>
      </c>
      <c r="F152"/>
      <c r="H152" s="3"/>
      <c r="I152"/>
    </row>
    <row r="153" spans="1:12" hidden="1">
      <c r="A153" s="106"/>
      <c r="B153" s="106"/>
      <c r="C153" s="227" t="s">
        <v>745</v>
      </c>
      <c r="D153" s="227" t="s">
        <v>279</v>
      </c>
      <c r="E153" s="227"/>
      <c r="F153" s="227"/>
      <c r="G153" s="252"/>
      <c r="H153" s="254"/>
      <c r="I153" s="227"/>
      <c r="J153" s="108"/>
      <c r="K153" s="108"/>
      <c r="L153" s="108"/>
    </row>
    <row r="154" spans="1:12" hidden="1">
      <c r="A154" s="52"/>
      <c r="B154" s="52"/>
      <c r="C154" s="127" t="s">
        <v>954</v>
      </c>
      <c r="D154" t="s">
        <v>286</v>
      </c>
      <c r="F154"/>
      <c r="H154" s="3" t="s">
        <v>865</v>
      </c>
      <c r="I154" t="s">
        <v>187</v>
      </c>
      <c r="K154" s="15" t="s">
        <v>180</v>
      </c>
    </row>
    <row r="155" spans="1:12" hidden="1">
      <c r="A155" s="52"/>
      <c r="B155" s="52"/>
      <c r="C155" s="127" t="s">
        <v>955</v>
      </c>
      <c r="D155" t="s">
        <v>176</v>
      </c>
      <c r="F155">
        <v>11</v>
      </c>
      <c r="G155" s="48">
        <f>31.5*F155+44</f>
        <v>390.5</v>
      </c>
      <c r="H155" s="3" t="s">
        <v>916</v>
      </c>
      <c r="I155" t="s">
        <v>187</v>
      </c>
      <c r="J155" s="15" t="s">
        <v>179</v>
      </c>
      <c r="K155" s="15" t="s">
        <v>180</v>
      </c>
      <c r="L155" s="15" t="s">
        <v>179</v>
      </c>
    </row>
    <row r="156" spans="1:12" hidden="1">
      <c r="A156" s="52"/>
      <c r="B156" s="52"/>
      <c r="C156" s="127" t="s">
        <v>527</v>
      </c>
      <c r="D156" t="s">
        <v>286</v>
      </c>
      <c r="F156"/>
      <c r="H156" s="3" t="s">
        <v>916</v>
      </c>
      <c r="I156" t="s">
        <v>187</v>
      </c>
      <c r="K156" s="15" t="s">
        <v>180</v>
      </c>
    </row>
    <row r="157" spans="1:12" hidden="1">
      <c r="A157" s="106"/>
      <c r="B157" s="106"/>
      <c r="C157" s="227" t="s">
        <v>956</v>
      </c>
      <c r="D157" s="227" t="s">
        <v>286</v>
      </c>
      <c r="E157" s="227"/>
      <c r="F157" s="227"/>
      <c r="G157" s="252"/>
      <c r="H157" s="254" t="s">
        <v>865</v>
      </c>
      <c r="I157" s="227" t="s">
        <v>187</v>
      </c>
      <c r="J157" s="108"/>
      <c r="K157" s="108" t="s">
        <v>180</v>
      </c>
      <c r="L157" s="108"/>
    </row>
    <row r="158" spans="1:12" hidden="1">
      <c r="A158" s="106"/>
      <c r="B158" s="106"/>
      <c r="C158" s="227" t="s">
        <v>957</v>
      </c>
      <c r="D158" s="227" t="s">
        <v>176</v>
      </c>
      <c r="E158" s="227"/>
      <c r="F158" s="227">
        <v>11</v>
      </c>
      <c r="G158" s="252">
        <f>31.5*F158+44</f>
        <v>390.5</v>
      </c>
      <c r="H158" s="254" t="s">
        <v>867</v>
      </c>
      <c r="I158" s="227" t="s">
        <v>187</v>
      </c>
      <c r="J158" s="108"/>
      <c r="K158" s="108" t="s">
        <v>180</v>
      </c>
      <c r="L158" s="108"/>
    </row>
    <row r="159" spans="1:12" hidden="1">
      <c r="A159" s="106"/>
      <c r="B159" s="106"/>
      <c r="C159" s="227" t="s">
        <v>529</v>
      </c>
      <c r="D159" s="227" t="s">
        <v>286</v>
      </c>
      <c r="E159" s="227"/>
      <c r="F159" s="227"/>
      <c r="G159" s="252"/>
      <c r="H159" s="254" t="s">
        <v>867</v>
      </c>
      <c r="I159" s="227" t="s">
        <v>187</v>
      </c>
      <c r="J159" s="108"/>
      <c r="K159" s="108" t="s">
        <v>180</v>
      </c>
      <c r="L159" s="108"/>
    </row>
    <row r="160" spans="1:12" hidden="1">
      <c r="A160" s="106"/>
      <c r="B160" s="106"/>
      <c r="C160" s="227" t="s">
        <v>958</v>
      </c>
      <c r="D160" s="227" t="s">
        <v>286</v>
      </c>
      <c r="E160" s="227"/>
      <c r="F160" s="227"/>
      <c r="G160" s="252"/>
      <c r="H160" s="254" t="s">
        <v>865</v>
      </c>
      <c r="I160" s="227" t="s">
        <v>187</v>
      </c>
      <c r="J160" s="108"/>
      <c r="K160" s="108" t="s">
        <v>180</v>
      </c>
      <c r="L160" s="108"/>
    </row>
    <row r="161" spans="1:12" hidden="1">
      <c r="A161" s="106"/>
      <c r="B161" s="106"/>
      <c r="C161" s="227" t="s">
        <v>959</v>
      </c>
      <c r="D161" s="227" t="s">
        <v>176</v>
      </c>
      <c r="E161" s="227"/>
      <c r="F161" s="227">
        <v>11</v>
      </c>
      <c r="G161" s="252">
        <f>31.5*F161+44</f>
        <v>390.5</v>
      </c>
      <c r="H161" s="254" t="s">
        <v>867</v>
      </c>
      <c r="I161" s="227" t="s">
        <v>187</v>
      </c>
      <c r="J161" s="108"/>
      <c r="K161" s="108" t="s">
        <v>180</v>
      </c>
      <c r="L161" s="108"/>
    </row>
    <row r="162" spans="1:12" hidden="1">
      <c r="A162" s="106"/>
      <c r="B162" s="106"/>
      <c r="C162" s="227" t="s">
        <v>528</v>
      </c>
      <c r="D162" s="227" t="s">
        <v>286</v>
      </c>
      <c r="E162" s="227"/>
      <c r="F162" s="227"/>
      <c r="G162" s="252"/>
      <c r="H162" s="254" t="s">
        <v>867</v>
      </c>
      <c r="I162" s="227" t="s">
        <v>187</v>
      </c>
      <c r="J162" s="108"/>
      <c r="K162" s="108" t="s">
        <v>180</v>
      </c>
      <c r="L162" s="108"/>
    </row>
    <row r="163" spans="1:12" hidden="1">
      <c r="A163" s="52"/>
      <c r="B163" s="52"/>
      <c r="C163" t="s">
        <v>530</v>
      </c>
      <c r="D163" t="s">
        <v>279</v>
      </c>
      <c r="F163"/>
      <c r="H163" s="3"/>
      <c r="I163"/>
    </row>
    <row r="164" spans="1:12" hidden="1">
      <c r="A164" s="106"/>
      <c r="B164" s="106"/>
      <c r="C164" s="259" t="s">
        <v>531</v>
      </c>
      <c r="D164" s="106" t="s">
        <v>279</v>
      </c>
      <c r="E164" s="106"/>
      <c r="F164" s="106"/>
      <c r="G164" s="106"/>
      <c r="H164" s="106"/>
      <c r="I164" s="106"/>
      <c r="J164" s="106"/>
      <c r="K164" s="106"/>
      <c r="L164" s="106"/>
    </row>
    <row r="165" spans="1:12" hidden="1">
      <c r="A165" s="106"/>
      <c r="B165" s="106"/>
      <c r="C165" s="259" t="s">
        <v>532</v>
      </c>
      <c r="D165" s="106" t="s">
        <v>279</v>
      </c>
      <c r="E165" s="106"/>
      <c r="F165" s="106"/>
      <c r="G165" s="106"/>
      <c r="H165" s="106"/>
      <c r="I165" s="106"/>
      <c r="J165" s="106"/>
      <c r="K165" s="106"/>
      <c r="L165" s="106"/>
    </row>
    <row r="166" spans="1:12" hidden="1">
      <c r="A166" s="106"/>
      <c r="B166" s="106"/>
      <c r="C166" s="227" t="s">
        <v>960</v>
      </c>
      <c r="D166" s="227" t="s">
        <v>203</v>
      </c>
      <c r="E166" s="227"/>
      <c r="F166" s="227"/>
      <c r="G166" s="252"/>
      <c r="H166" s="254" t="s">
        <v>874</v>
      </c>
      <c r="I166" s="227" t="s">
        <v>187</v>
      </c>
      <c r="J166" s="108"/>
      <c r="K166" s="108" t="s">
        <v>180</v>
      </c>
      <c r="L166" s="108"/>
    </row>
    <row r="167" spans="1:12" hidden="1">
      <c r="A167" s="106"/>
      <c r="B167" s="106"/>
      <c r="C167" s="227" t="s">
        <v>961</v>
      </c>
      <c r="D167" s="227" t="s">
        <v>203</v>
      </c>
      <c r="E167" s="227"/>
      <c r="F167" s="227"/>
      <c r="G167" s="252"/>
      <c r="H167" s="254" t="s">
        <v>876</v>
      </c>
      <c r="I167" s="227" t="s">
        <v>187</v>
      </c>
      <c r="J167" s="108"/>
      <c r="K167" s="108" t="s">
        <v>180</v>
      </c>
      <c r="L167" s="108"/>
    </row>
    <row r="168" spans="1:12" hidden="1">
      <c r="A168" s="106"/>
      <c r="B168" s="106"/>
      <c r="C168" s="227" t="s">
        <v>962</v>
      </c>
      <c r="D168" s="227" t="s">
        <v>203</v>
      </c>
      <c r="E168" s="227"/>
      <c r="F168" s="227"/>
      <c r="G168" s="252"/>
      <c r="H168" s="254" t="s">
        <v>878</v>
      </c>
      <c r="I168" s="227" t="s">
        <v>187</v>
      </c>
      <c r="J168" s="108"/>
      <c r="K168" s="108" t="s">
        <v>180</v>
      </c>
      <c r="L168" s="108"/>
    </row>
    <row r="169" spans="1:12" hidden="1">
      <c r="A169" s="106"/>
      <c r="B169" s="106"/>
      <c r="C169" s="227" t="s">
        <v>963</v>
      </c>
      <c r="D169" s="227" t="s">
        <v>203</v>
      </c>
      <c r="E169" s="227"/>
      <c r="F169" s="227"/>
      <c r="G169" s="252"/>
      <c r="H169" s="254" t="s">
        <v>880</v>
      </c>
      <c r="I169" s="227" t="s">
        <v>187</v>
      </c>
      <c r="J169" s="108"/>
      <c r="K169" s="108" t="s">
        <v>180</v>
      </c>
      <c r="L169" s="108"/>
    </row>
    <row r="170" spans="1:12" hidden="1">
      <c r="A170" s="106"/>
      <c r="B170" s="106"/>
      <c r="C170" s="227" t="s">
        <v>964</v>
      </c>
      <c r="D170" s="227" t="s">
        <v>203</v>
      </c>
      <c r="E170" s="227"/>
      <c r="F170" s="227"/>
      <c r="G170" s="252"/>
      <c r="H170" s="254" t="s">
        <v>882</v>
      </c>
      <c r="I170" s="227" t="s">
        <v>187</v>
      </c>
      <c r="J170" s="108"/>
      <c r="K170" s="108" t="s">
        <v>180</v>
      </c>
      <c r="L170" s="108"/>
    </row>
    <row r="171" spans="1:12" hidden="1">
      <c r="A171" s="106"/>
      <c r="B171" s="106"/>
      <c r="C171" s="234" t="s">
        <v>965</v>
      </c>
      <c r="D171" s="227" t="s">
        <v>279</v>
      </c>
      <c r="E171" s="227"/>
      <c r="F171" s="227"/>
      <c r="G171" s="252"/>
      <c r="H171" s="254"/>
      <c r="I171" s="227"/>
      <c r="J171" s="108"/>
      <c r="K171" s="108"/>
      <c r="L171" s="108"/>
    </row>
    <row r="172" spans="1:12" hidden="1">
      <c r="A172" s="106"/>
      <c r="B172" s="106"/>
      <c r="C172" s="227" t="s">
        <v>966</v>
      </c>
      <c r="D172" s="227" t="s">
        <v>279</v>
      </c>
      <c r="E172" s="227"/>
      <c r="F172" s="227"/>
      <c r="G172" s="252"/>
      <c r="H172" s="254"/>
      <c r="I172" s="227"/>
      <c r="J172" s="108"/>
      <c r="K172" s="108"/>
      <c r="L172" s="108"/>
    </row>
    <row r="173" spans="1:12" hidden="1">
      <c r="A173" s="106"/>
      <c r="B173" s="106"/>
      <c r="C173" s="227" t="s">
        <v>967</v>
      </c>
      <c r="D173" s="227" t="s">
        <v>279</v>
      </c>
      <c r="E173" s="227"/>
      <c r="F173" s="227"/>
      <c r="G173" s="252"/>
      <c r="H173" s="254"/>
      <c r="I173" s="227"/>
      <c r="J173" s="108"/>
      <c r="K173" s="108"/>
      <c r="L173" s="108"/>
    </row>
    <row r="174" spans="1:12" hidden="1">
      <c r="A174" s="52"/>
      <c r="B174" s="52"/>
      <c r="C174" s="226" t="s">
        <v>545</v>
      </c>
      <c r="D174" t="s">
        <v>219</v>
      </c>
      <c r="F174"/>
      <c r="H174" s="3" t="s">
        <v>968</v>
      </c>
      <c r="I174" t="s">
        <v>187</v>
      </c>
      <c r="K174" s="15" t="s">
        <v>180</v>
      </c>
    </row>
    <row r="175" spans="1:12" hidden="1">
      <c r="A175" s="52"/>
      <c r="B175" s="52"/>
      <c r="C175" s="226" t="s">
        <v>546</v>
      </c>
      <c r="D175"/>
      <c r="F175"/>
      <c r="H175" s="3"/>
      <c r="I175"/>
    </row>
    <row r="176" spans="1:12" hidden="1"/>
    <row r="177" spans="1:15" s="40" customFormat="1" hidden="1">
      <c r="A177" s="73" t="s">
        <v>9</v>
      </c>
      <c r="B177" s="73" t="s">
        <v>969</v>
      </c>
      <c r="C177" s="75" t="s">
        <v>320</v>
      </c>
      <c r="D177" s="40" t="s">
        <v>176</v>
      </c>
      <c r="F177" s="67">
        <v>6</v>
      </c>
      <c r="G177" s="68">
        <f>31.5*F177+44</f>
        <v>233</v>
      </c>
      <c r="H177" s="74" t="s">
        <v>970</v>
      </c>
      <c r="I177" s="40" t="s">
        <v>178</v>
      </c>
      <c r="J177" s="69" t="s">
        <v>179</v>
      </c>
      <c r="K177" s="69" t="s">
        <v>180</v>
      </c>
      <c r="L177" s="163" t="s">
        <v>179</v>
      </c>
      <c r="O177" s="68"/>
    </row>
    <row r="178" spans="1:15" hidden="1">
      <c r="A178" s="39"/>
      <c r="B178" s="39"/>
      <c r="C178" s="230" t="s">
        <v>661</v>
      </c>
      <c r="D178" t="s">
        <v>203</v>
      </c>
      <c r="F178" s="1"/>
      <c r="H178" s="3" t="s">
        <v>327</v>
      </c>
      <c r="I178" t="s">
        <v>178</v>
      </c>
      <c r="L178" s="164"/>
    </row>
    <row r="179" spans="1:15" hidden="1">
      <c r="A179" s="39"/>
      <c r="B179" s="39"/>
      <c r="C179" s="230" t="s">
        <v>971</v>
      </c>
      <c r="D179" t="s">
        <v>203</v>
      </c>
      <c r="F179" s="1"/>
      <c r="H179" s="3" t="s">
        <v>972</v>
      </c>
      <c r="I179" t="s">
        <v>178</v>
      </c>
      <c r="L179" s="164"/>
    </row>
    <row r="180" spans="1:15" hidden="1">
      <c r="A180" s="39"/>
      <c r="B180" s="39"/>
      <c r="C180" s="230" t="s">
        <v>973</v>
      </c>
      <c r="D180" s="127" t="s">
        <v>203</v>
      </c>
      <c r="E180" s="127"/>
      <c r="F180" s="269"/>
      <c r="G180" s="270"/>
      <c r="H180" s="271" t="s">
        <v>327</v>
      </c>
      <c r="I180" s="127" t="s">
        <v>267</v>
      </c>
      <c r="J180" s="272"/>
      <c r="K180" s="272"/>
      <c r="L180" s="274"/>
      <c r="M180" s="127"/>
    </row>
    <row r="181" spans="1:15" hidden="1">
      <c r="A181" s="39"/>
      <c r="B181" s="39"/>
      <c r="C181" s="230" t="s">
        <v>974</v>
      </c>
      <c r="D181" s="127" t="s">
        <v>203</v>
      </c>
      <c r="E181" s="127"/>
      <c r="F181" s="127"/>
      <c r="G181" s="270"/>
      <c r="H181" s="271" t="s">
        <v>975</v>
      </c>
      <c r="I181" s="127" t="s">
        <v>185</v>
      </c>
      <c r="J181" s="272"/>
      <c r="K181" s="272"/>
      <c r="L181" s="274"/>
      <c r="M181" s="127"/>
    </row>
    <row r="182" spans="1:15" hidden="1">
      <c r="A182" s="39"/>
      <c r="B182" s="39"/>
      <c r="C182" s="230" t="s">
        <v>976</v>
      </c>
      <c r="D182" s="127"/>
      <c r="E182" s="127"/>
      <c r="F182" s="127"/>
      <c r="G182" s="270"/>
      <c r="H182" s="271"/>
      <c r="I182" s="127"/>
      <c r="J182" s="272"/>
      <c r="K182" s="272"/>
      <c r="L182" s="274"/>
      <c r="M182" s="127"/>
    </row>
    <row r="183" spans="1:15" hidden="1">
      <c r="A183" s="39"/>
      <c r="B183" s="39"/>
      <c r="C183" s="230" t="s">
        <v>664</v>
      </c>
      <c r="D183" s="127" t="s">
        <v>203</v>
      </c>
      <c r="E183" s="127"/>
      <c r="F183" s="127"/>
      <c r="G183" s="270"/>
      <c r="H183" s="271" t="s">
        <v>327</v>
      </c>
      <c r="I183" s="127" t="s">
        <v>185</v>
      </c>
      <c r="J183" s="272"/>
      <c r="K183" s="272"/>
      <c r="L183" s="274"/>
      <c r="M183" s="127"/>
    </row>
    <row r="184" spans="1:15" hidden="1">
      <c r="A184" s="39"/>
      <c r="B184" s="39"/>
      <c r="C184" s="275" t="s">
        <v>977</v>
      </c>
      <c r="D184" s="127" t="s">
        <v>203</v>
      </c>
      <c r="E184" s="127"/>
      <c r="F184" s="127"/>
      <c r="G184" s="270"/>
      <c r="H184" s="271" t="s">
        <v>972</v>
      </c>
      <c r="I184" s="127" t="s">
        <v>185</v>
      </c>
      <c r="J184" s="272"/>
      <c r="K184" s="272"/>
      <c r="L184" s="274"/>
      <c r="M184" s="127"/>
    </row>
    <row r="185" spans="1:15" hidden="1">
      <c r="A185" s="39"/>
      <c r="B185" s="39"/>
      <c r="C185" s="230" t="s">
        <v>978</v>
      </c>
      <c r="D185" s="127" t="s">
        <v>203</v>
      </c>
      <c r="E185" s="127"/>
      <c r="F185" s="127"/>
      <c r="G185" s="270"/>
      <c r="H185" s="271" t="s">
        <v>327</v>
      </c>
      <c r="I185" s="127" t="s">
        <v>187</v>
      </c>
      <c r="J185" s="272"/>
      <c r="K185" s="272"/>
      <c r="L185" s="274"/>
      <c r="M185" s="127"/>
    </row>
    <row r="186" spans="1:15" hidden="1">
      <c r="A186" s="39"/>
      <c r="B186" s="39"/>
      <c r="C186" s="230" t="s">
        <v>979</v>
      </c>
      <c r="D186" s="127"/>
      <c r="E186" s="127"/>
      <c r="F186" s="127"/>
      <c r="G186" s="270"/>
      <c r="H186" s="271"/>
      <c r="I186" s="127"/>
      <c r="J186" s="272"/>
      <c r="K186" s="272"/>
      <c r="L186" s="274"/>
      <c r="M186" s="127"/>
    </row>
    <row r="187" spans="1:15" hidden="1">
      <c r="A187" s="39"/>
      <c r="B187" s="39"/>
      <c r="C187" s="230" t="s">
        <v>980</v>
      </c>
      <c r="D187" s="127" t="s">
        <v>203</v>
      </c>
      <c r="E187" s="127"/>
      <c r="F187" s="127"/>
      <c r="G187" s="270"/>
      <c r="H187" s="271" t="s">
        <v>972</v>
      </c>
      <c r="I187" s="127" t="s">
        <v>187</v>
      </c>
      <c r="J187" s="272"/>
      <c r="K187" s="272"/>
      <c r="L187" s="274"/>
      <c r="M187" s="127"/>
    </row>
    <row r="188" spans="1:15" hidden="1">
      <c r="A188" s="39"/>
      <c r="B188" s="39"/>
      <c r="C188" s="76" t="s">
        <v>335</v>
      </c>
      <c r="D188" t="s">
        <v>176</v>
      </c>
      <c r="F188">
        <v>2</v>
      </c>
      <c r="G188" s="48">
        <v>106.18899999999999</v>
      </c>
      <c r="H188" s="3" t="s">
        <v>336</v>
      </c>
      <c r="I188" t="s">
        <v>178</v>
      </c>
      <c r="J188" s="15" t="s">
        <v>179</v>
      </c>
      <c r="K188" s="15" t="s">
        <v>180</v>
      </c>
      <c r="L188" s="164" t="s">
        <v>179</v>
      </c>
    </row>
    <row r="189" spans="1:15" hidden="1">
      <c r="A189" s="39"/>
      <c r="B189" s="39"/>
      <c r="C189" s="76" t="s">
        <v>672</v>
      </c>
      <c r="D189" t="s">
        <v>203</v>
      </c>
      <c r="F189"/>
      <c r="H189" s="3" t="s">
        <v>344</v>
      </c>
      <c r="I189" t="s">
        <v>178</v>
      </c>
      <c r="L189" s="164"/>
    </row>
    <row r="190" spans="1:15" hidden="1">
      <c r="A190" s="39"/>
      <c r="B190" s="39"/>
      <c r="C190" s="76" t="s">
        <v>981</v>
      </c>
      <c r="D190" t="s">
        <v>203</v>
      </c>
      <c r="F190"/>
      <c r="H190" s="3" t="s">
        <v>356</v>
      </c>
      <c r="I190" t="s">
        <v>178</v>
      </c>
      <c r="L190" s="164"/>
    </row>
    <row r="191" spans="1:15" hidden="1">
      <c r="A191" s="39"/>
      <c r="B191" s="39"/>
      <c r="C191" s="230" t="s">
        <v>982</v>
      </c>
      <c r="D191" t="s">
        <v>203</v>
      </c>
      <c r="F191"/>
      <c r="H191" s="3" t="s">
        <v>344</v>
      </c>
      <c r="I191" t="s">
        <v>267</v>
      </c>
      <c r="L191" s="164"/>
    </row>
    <row r="192" spans="1:15" hidden="1">
      <c r="A192" s="39"/>
      <c r="B192" s="39"/>
      <c r="C192" s="76" t="s">
        <v>983</v>
      </c>
      <c r="D192" t="s">
        <v>203</v>
      </c>
      <c r="F192"/>
      <c r="H192" s="3" t="s">
        <v>984</v>
      </c>
      <c r="I192" t="s">
        <v>185</v>
      </c>
      <c r="L192" s="164"/>
    </row>
    <row r="193" spans="1:15" hidden="1">
      <c r="A193" s="39"/>
      <c r="B193" s="39"/>
      <c r="C193" s="76" t="s">
        <v>985</v>
      </c>
      <c r="D193" t="s">
        <v>279</v>
      </c>
      <c r="F193"/>
      <c r="H193" s="3"/>
      <c r="I193"/>
      <c r="L193" s="164"/>
    </row>
    <row r="194" spans="1:15" hidden="1">
      <c r="A194" s="39"/>
      <c r="B194" s="39"/>
      <c r="C194" s="76" t="s">
        <v>986</v>
      </c>
      <c r="D194" t="s">
        <v>203</v>
      </c>
      <c r="F194"/>
      <c r="H194" s="3" t="s">
        <v>344</v>
      </c>
      <c r="I194" t="s">
        <v>185</v>
      </c>
      <c r="L194" s="164"/>
    </row>
    <row r="195" spans="1:15" hidden="1">
      <c r="A195" s="39"/>
      <c r="B195" s="39"/>
      <c r="C195" s="76" t="s">
        <v>987</v>
      </c>
      <c r="D195" t="s">
        <v>203</v>
      </c>
      <c r="F195"/>
      <c r="H195" s="3" t="s">
        <v>356</v>
      </c>
      <c r="I195" t="s">
        <v>185</v>
      </c>
      <c r="L195" s="164"/>
    </row>
    <row r="196" spans="1:15" hidden="1">
      <c r="A196" s="39"/>
      <c r="B196" s="39"/>
      <c r="C196" s="76" t="s">
        <v>988</v>
      </c>
      <c r="D196" t="s">
        <v>203</v>
      </c>
      <c r="F196"/>
      <c r="H196" s="3" t="s">
        <v>344</v>
      </c>
      <c r="I196" t="s">
        <v>187</v>
      </c>
      <c r="L196" s="164"/>
    </row>
    <row r="197" spans="1:15" hidden="1">
      <c r="A197" s="39"/>
      <c r="B197" s="39"/>
      <c r="C197" s="76" t="s">
        <v>989</v>
      </c>
      <c r="D197" t="s">
        <v>279</v>
      </c>
      <c r="F197"/>
      <c r="H197" s="3"/>
      <c r="I197"/>
      <c r="L197" s="164"/>
    </row>
    <row r="198" spans="1:15" hidden="1">
      <c r="A198" s="95"/>
      <c r="B198" s="95"/>
      <c r="C198" s="96" t="s">
        <v>990</v>
      </c>
      <c r="D198" s="41" t="s">
        <v>203</v>
      </c>
      <c r="E198" s="41"/>
      <c r="F198" s="41"/>
      <c r="G198" s="71"/>
      <c r="H198" s="77" t="s">
        <v>356</v>
      </c>
      <c r="I198" s="41" t="s">
        <v>187</v>
      </c>
      <c r="J198" s="72"/>
      <c r="K198" s="72"/>
      <c r="L198" s="167"/>
    </row>
    <row r="199" spans="1:15" hidden="1">
      <c r="C199"/>
      <c r="D199"/>
      <c r="F199"/>
      <c r="G199"/>
      <c r="H199"/>
      <c r="I199"/>
      <c r="J199"/>
      <c r="K199"/>
      <c r="L199"/>
    </row>
    <row r="200" spans="1:15" hidden="1">
      <c r="A200" s="87"/>
      <c r="B200" s="273"/>
      <c r="C200"/>
      <c r="D200"/>
      <c r="F200"/>
      <c r="H200" s="3"/>
      <c r="I200"/>
    </row>
    <row r="201" spans="1:15" s="40" customFormat="1" hidden="1">
      <c r="A201" s="73" t="s">
        <v>9</v>
      </c>
      <c r="B201" s="50" t="s">
        <v>15</v>
      </c>
      <c r="C201" s="40" t="s">
        <v>320</v>
      </c>
      <c r="D201" s="40" t="s">
        <v>176</v>
      </c>
      <c r="F201" s="67">
        <v>6</v>
      </c>
      <c r="G201" s="68">
        <f>31.5*F201+44</f>
        <v>233</v>
      </c>
      <c r="H201" s="74" t="s">
        <v>970</v>
      </c>
      <c r="I201" s="40" t="s">
        <v>178</v>
      </c>
      <c r="J201" s="69" t="s">
        <v>179</v>
      </c>
      <c r="K201" s="69" t="s">
        <v>180</v>
      </c>
      <c r="L201" s="69" t="s">
        <v>179</v>
      </c>
      <c r="O201" s="68"/>
    </row>
    <row r="202" spans="1:15" hidden="1">
      <c r="A202" s="123"/>
      <c r="B202" s="106"/>
      <c r="C202" s="227" t="s">
        <v>659</v>
      </c>
      <c r="D202" s="227" t="s">
        <v>203</v>
      </c>
      <c r="E202" s="227"/>
      <c r="F202" s="227"/>
      <c r="G202" s="252"/>
      <c r="H202" s="254" t="s">
        <v>323</v>
      </c>
      <c r="I202" s="227" t="s">
        <v>178</v>
      </c>
      <c r="J202" s="108"/>
      <c r="K202" s="108"/>
      <c r="L202" s="108"/>
    </row>
    <row r="203" spans="1:15" hidden="1">
      <c r="A203" s="123"/>
      <c r="B203" s="106"/>
      <c r="C203" s="227" t="s">
        <v>660</v>
      </c>
      <c r="D203" s="227" t="s">
        <v>203</v>
      </c>
      <c r="E203" s="227"/>
      <c r="F203" s="258"/>
      <c r="G203" s="252"/>
      <c r="H203" s="254" t="s">
        <v>325</v>
      </c>
      <c r="I203" s="227" t="s">
        <v>178</v>
      </c>
      <c r="J203" s="108"/>
      <c r="K203" s="108"/>
      <c r="L203" s="108"/>
    </row>
    <row r="204" spans="1:15" hidden="1">
      <c r="A204" s="39"/>
      <c r="B204" s="52"/>
      <c r="C204" t="s">
        <v>991</v>
      </c>
      <c r="D204" t="s">
        <v>203</v>
      </c>
      <c r="F204" s="1"/>
      <c r="H204" s="3" t="s">
        <v>992</v>
      </c>
      <c r="I204" t="s">
        <v>178</v>
      </c>
      <c r="M204" t="s">
        <v>58</v>
      </c>
    </row>
    <row r="205" spans="1:15" hidden="1">
      <c r="A205" s="39"/>
      <c r="B205" s="52"/>
      <c r="C205" s="127" t="s">
        <v>661</v>
      </c>
      <c r="D205" t="s">
        <v>203</v>
      </c>
      <c r="F205" s="1"/>
      <c r="H205" s="3" t="s">
        <v>327</v>
      </c>
      <c r="I205" t="s">
        <v>178</v>
      </c>
    </row>
    <row r="206" spans="1:15" hidden="1">
      <c r="A206" s="39"/>
      <c r="B206" s="52"/>
      <c r="C206" s="127" t="s">
        <v>973</v>
      </c>
      <c r="D206" s="127" t="s">
        <v>203</v>
      </c>
      <c r="E206" s="127"/>
      <c r="F206" s="269"/>
      <c r="G206" s="270"/>
      <c r="H206" s="271" t="s">
        <v>327</v>
      </c>
      <c r="I206" s="127" t="s">
        <v>267</v>
      </c>
      <c r="J206" s="272"/>
      <c r="K206" s="272"/>
      <c r="L206" s="272"/>
      <c r="M206" s="127" t="s">
        <v>58</v>
      </c>
    </row>
    <row r="207" spans="1:15" hidden="1">
      <c r="A207" s="39"/>
      <c r="B207" s="52"/>
      <c r="C207" s="127" t="s">
        <v>993</v>
      </c>
      <c r="D207" t="s">
        <v>203</v>
      </c>
      <c r="F207"/>
      <c r="H207" s="3" t="s">
        <v>994</v>
      </c>
      <c r="I207" t="s">
        <v>269</v>
      </c>
      <c r="M207" t="s">
        <v>58</v>
      </c>
    </row>
    <row r="208" spans="1:15" hidden="1">
      <c r="A208" s="123"/>
      <c r="B208" s="106"/>
      <c r="C208" s="227" t="s">
        <v>328</v>
      </c>
      <c r="D208" s="227" t="s">
        <v>176</v>
      </c>
      <c r="E208" s="227"/>
      <c r="F208" s="258">
        <v>6</v>
      </c>
      <c r="G208" s="252">
        <v>231.37100000000001</v>
      </c>
      <c r="H208" s="254" t="s">
        <v>329</v>
      </c>
      <c r="I208" s="227" t="s">
        <v>185</v>
      </c>
      <c r="J208" s="108" t="s">
        <v>179</v>
      </c>
      <c r="K208" s="108" t="s">
        <v>180</v>
      </c>
      <c r="L208" s="108" t="s">
        <v>179</v>
      </c>
    </row>
    <row r="209" spans="1:13" hidden="1">
      <c r="A209" s="123"/>
      <c r="B209" s="106"/>
      <c r="C209" s="227" t="s">
        <v>662</v>
      </c>
      <c r="D209" s="227" t="s">
        <v>203</v>
      </c>
      <c r="E209" s="227"/>
      <c r="F209" s="227"/>
      <c r="G209" s="252"/>
      <c r="H209" s="254" t="s">
        <v>331</v>
      </c>
      <c r="I209" s="227" t="s">
        <v>185</v>
      </c>
      <c r="J209" s="108"/>
      <c r="K209" s="108"/>
      <c r="L209" s="108"/>
    </row>
    <row r="210" spans="1:13" hidden="1">
      <c r="A210" s="123"/>
      <c r="B210" s="106"/>
      <c r="C210" s="227" t="s">
        <v>663</v>
      </c>
      <c r="D210" s="227" t="s">
        <v>203</v>
      </c>
      <c r="E210" s="227"/>
      <c r="F210" s="227"/>
      <c r="G210" s="252"/>
      <c r="H210" s="254" t="s">
        <v>333</v>
      </c>
      <c r="I210" s="227" t="s">
        <v>185</v>
      </c>
      <c r="J210" s="108"/>
      <c r="K210" s="108"/>
      <c r="L210" s="108"/>
    </row>
    <row r="211" spans="1:13" hidden="1">
      <c r="A211" s="39"/>
      <c r="B211" s="52"/>
      <c r="C211" s="127" t="s">
        <v>974</v>
      </c>
      <c r="D211" s="127" t="s">
        <v>203</v>
      </c>
      <c r="E211" s="127"/>
      <c r="F211" s="127"/>
      <c r="G211" s="270"/>
      <c r="H211" s="271" t="s">
        <v>975</v>
      </c>
      <c r="I211" s="127" t="s">
        <v>185</v>
      </c>
      <c r="J211" s="272"/>
      <c r="K211" s="272"/>
      <c r="L211" s="272"/>
      <c r="M211" s="127" t="s">
        <v>58</v>
      </c>
    </row>
    <row r="212" spans="1:13" hidden="1">
      <c r="A212" s="39"/>
      <c r="B212" s="52"/>
      <c r="C212" s="127" t="s">
        <v>664</v>
      </c>
      <c r="D212" s="127" t="s">
        <v>203</v>
      </c>
      <c r="E212" s="127"/>
      <c r="F212" s="127"/>
      <c r="G212" s="270"/>
      <c r="H212" s="271" t="s">
        <v>327</v>
      </c>
      <c r="I212" s="127" t="s">
        <v>185</v>
      </c>
      <c r="J212" s="272"/>
      <c r="K212" s="272"/>
      <c r="L212" s="272"/>
      <c r="M212" s="127"/>
    </row>
    <row r="213" spans="1:13" hidden="1">
      <c r="A213" s="39"/>
      <c r="B213" s="52"/>
      <c r="C213" s="127" t="s">
        <v>976</v>
      </c>
      <c r="D213" s="127"/>
      <c r="E213" s="127"/>
      <c r="F213" s="127"/>
      <c r="G213" s="270"/>
      <c r="H213" s="271"/>
      <c r="I213" s="127"/>
      <c r="J213" s="272"/>
      <c r="K213" s="272"/>
      <c r="L213" s="272"/>
      <c r="M213" s="127" t="s">
        <v>58</v>
      </c>
    </row>
    <row r="214" spans="1:13" hidden="1">
      <c r="A214" s="39"/>
      <c r="B214" s="52"/>
      <c r="C214" s="127" t="s">
        <v>978</v>
      </c>
      <c r="D214" s="127" t="s">
        <v>203</v>
      </c>
      <c r="E214" s="127"/>
      <c r="F214" s="127"/>
      <c r="G214" s="270"/>
      <c r="H214" s="271" t="s">
        <v>327</v>
      </c>
      <c r="I214" s="127" t="s">
        <v>187</v>
      </c>
      <c r="J214" s="272"/>
      <c r="K214" s="272"/>
      <c r="L214" s="272"/>
      <c r="M214" s="127" t="s">
        <v>58</v>
      </c>
    </row>
    <row r="215" spans="1:13" hidden="1">
      <c r="A215" s="39"/>
      <c r="B215" s="52"/>
      <c r="C215" s="127" t="s">
        <v>980</v>
      </c>
      <c r="D215" s="127" t="s">
        <v>203</v>
      </c>
      <c r="E215" s="127"/>
      <c r="F215" s="127"/>
      <c r="G215" s="270"/>
      <c r="H215" s="271" t="s">
        <v>972</v>
      </c>
      <c r="I215" s="127" t="s">
        <v>187</v>
      </c>
      <c r="J215" s="272"/>
      <c r="K215" s="272"/>
      <c r="L215" s="272"/>
      <c r="M215" s="127" t="s">
        <v>58</v>
      </c>
    </row>
    <row r="216" spans="1:13" hidden="1">
      <c r="A216" s="39"/>
      <c r="B216" s="52"/>
      <c r="C216" s="127" t="s">
        <v>979</v>
      </c>
      <c r="D216" s="127"/>
      <c r="E216" s="127"/>
      <c r="F216" s="127"/>
      <c r="G216" s="270"/>
      <c r="H216" s="271"/>
      <c r="I216" s="127"/>
      <c r="J216" s="272"/>
      <c r="K216" s="272"/>
      <c r="L216" s="272"/>
      <c r="M216" s="127" t="s">
        <v>58</v>
      </c>
    </row>
    <row r="217" spans="1:13" hidden="1">
      <c r="A217" s="39"/>
      <c r="B217" s="52"/>
      <c r="C217" t="s">
        <v>335</v>
      </c>
      <c r="D217" t="s">
        <v>176</v>
      </c>
      <c r="F217">
        <v>2</v>
      </c>
      <c r="G217" s="48">
        <v>106.18899999999999</v>
      </c>
      <c r="H217" s="3" t="s">
        <v>336</v>
      </c>
      <c r="I217" t="s">
        <v>178</v>
      </c>
      <c r="J217" s="15" t="s">
        <v>179</v>
      </c>
      <c r="K217" s="15" t="s">
        <v>180</v>
      </c>
      <c r="L217" s="15" t="s">
        <v>179</v>
      </c>
    </row>
    <row r="218" spans="1:13" hidden="1">
      <c r="A218" s="123"/>
      <c r="B218" s="123"/>
      <c r="C218" s="123" t="s">
        <v>995</v>
      </c>
      <c r="D218" s="123" t="s">
        <v>176</v>
      </c>
      <c r="E218" s="123"/>
      <c r="F218" s="123">
        <f>(1.1-0.65)/0.05+1</f>
        <v>10</v>
      </c>
      <c r="G218" s="123">
        <v>360.38400000000001</v>
      </c>
      <c r="H218" s="123" t="s">
        <v>996</v>
      </c>
      <c r="I218" s="123" t="s">
        <v>178</v>
      </c>
      <c r="J218" s="123" t="s">
        <v>179</v>
      </c>
      <c r="K218" s="123" t="s">
        <v>180</v>
      </c>
      <c r="L218" s="123" t="s">
        <v>179</v>
      </c>
    </row>
    <row r="219" spans="1:13" hidden="1">
      <c r="A219" s="123"/>
      <c r="B219" s="106"/>
      <c r="C219" s="227" t="s">
        <v>668</v>
      </c>
      <c r="D219" s="227" t="s">
        <v>203</v>
      </c>
      <c r="E219" s="227"/>
      <c r="F219" s="227"/>
      <c r="G219" s="252"/>
      <c r="H219" s="254" t="s">
        <v>340</v>
      </c>
      <c r="I219" s="227" t="s">
        <v>178</v>
      </c>
      <c r="J219" s="108"/>
      <c r="K219" s="108"/>
      <c r="L219" s="108"/>
    </row>
    <row r="220" spans="1:13" hidden="1">
      <c r="A220" s="39"/>
      <c r="B220" s="52"/>
      <c r="C220" t="s">
        <v>997</v>
      </c>
      <c r="D220" t="s">
        <v>203</v>
      </c>
      <c r="F220"/>
      <c r="H220" s="3" t="s">
        <v>998</v>
      </c>
      <c r="I220" t="s">
        <v>178</v>
      </c>
      <c r="M220" t="s">
        <v>58</v>
      </c>
    </row>
    <row r="221" spans="1:13" hidden="1">
      <c r="A221" s="39"/>
      <c r="B221" s="52"/>
      <c r="C221" t="s">
        <v>672</v>
      </c>
      <c r="D221" t="s">
        <v>203</v>
      </c>
      <c r="F221"/>
      <c r="H221" s="3" t="s">
        <v>344</v>
      </c>
      <c r="I221" t="s">
        <v>178</v>
      </c>
      <c r="M221" t="s">
        <v>58</v>
      </c>
    </row>
    <row r="222" spans="1:13" hidden="1">
      <c r="A222" s="39"/>
      <c r="B222" s="52"/>
      <c r="C222" t="s">
        <v>343</v>
      </c>
      <c r="D222" t="s">
        <v>203</v>
      </c>
      <c r="F222"/>
      <c r="H222" s="3" t="s">
        <v>344</v>
      </c>
      <c r="I222" t="s">
        <v>178</v>
      </c>
    </row>
    <row r="223" spans="1:13" hidden="1">
      <c r="A223" s="39"/>
      <c r="B223" s="52"/>
      <c r="C223" t="s">
        <v>674</v>
      </c>
      <c r="D223" t="s">
        <v>203</v>
      </c>
      <c r="F223"/>
      <c r="H223" s="3" t="s">
        <v>346</v>
      </c>
      <c r="I223" t="s">
        <v>178</v>
      </c>
    </row>
    <row r="224" spans="1:13" hidden="1">
      <c r="A224" s="39"/>
      <c r="B224" s="52"/>
      <c r="C224" t="s">
        <v>345</v>
      </c>
      <c r="D224" t="s">
        <v>203</v>
      </c>
      <c r="F224"/>
      <c r="H224" s="3" t="s">
        <v>346</v>
      </c>
      <c r="I224" t="s">
        <v>178</v>
      </c>
    </row>
    <row r="225" spans="1:9" hidden="1">
      <c r="A225" s="39"/>
      <c r="B225" s="52"/>
      <c r="C225" t="s">
        <v>999</v>
      </c>
      <c r="D225" t="s">
        <v>203</v>
      </c>
      <c r="F225"/>
      <c r="H225" s="3" t="s">
        <v>348</v>
      </c>
      <c r="I225" t="s">
        <v>178</v>
      </c>
    </row>
    <row r="226" spans="1:9" hidden="1">
      <c r="A226" s="39"/>
      <c r="B226" s="52"/>
      <c r="C226" t="s">
        <v>347</v>
      </c>
      <c r="D226" t="s">
        <v>203</v>
      </c>
      <c r="F226"/>
      <c r="H226" s="3" t="s">
        <v>348</v>
      </c>
      <c r="I226" t="s">
        <v>178</v>
      </c>
    </row>
    <row r="227" spans="1:9" hidden="1">
      <c r="A227" s="39"/>
      <c r="B227" s="52"/>
      <c r="C227" t="s">
        <v>1000</v>
      </c>
      <c r="D227" t="s">
        <v>203</v>
      </c>
      <c r="F227"/>
      <c r="H227" s="3" t="s">
        <v>350</v>
      </c>
      <c r="I227" t="s">
        <v>178</v>
      </c>
    </row>
    <row r="228" spans="1:9" hidden="1">
      <c r="A228" s="39"/>
      <c r="B228" s="52"/>
      <c r="C228" t="s">
        <v>349</v>
      </c>
      <c r="D228" t="s">
        <v>203</v>
      </c>
      <c r="F228"/>
      <c r="H228" s="3" t="s">
        <v>350</v>
      </c>
      <c r="I228" t="s">
        <v>178</v>
      </c>
    </row>
    <row r="229" spans="1:9" hidden="1">
      <c r="A229" s="39"/>
      <c r="B229" s="52"/>
      <c r="C229" t="s">
        <v>1001</v>
      </c>
      <c r="D229" t="s">
        <v>203</v>
      </c>
      <c r="F229"/>
      <c r="H229" s="3" t="s">
        <v>352</v>
      </c>
      <c r="I229" t="s">
        <v>178</v>
      </c>
    </row>
    <row r="230" spans="1:9" hidden="1">
      <c r="A230" s="39"/>
      <c r="B230" s="52"/>
      <c r="C230" t="s">
        <v>351</v>
      </c>
      <c r="D230" t="s">
        <v>203</v>
      </c>
      <c r="F230"/>
      <c r="H230" s="3" t="s">
        <v>352</v>
      </c>
      <c r="I230" t="s">
        <v>178</v>
      </c>
    </row>
    <row r="231" spans="1:9" hidden="1">
      <c r="A231" s="39"/>
      <c r="B231" s="52"/>
      <c r="C231" t="s">
        <v>1002</v>
      </c>
      <c r="D231" t="s">
        <v>203</v>
      </c>
      <c r="F231"/>
      <c r="H231" s="3" t="s">
        <v>354</v>
      </c>
      <c r="I231" t="s">
        <v>178</v>
      </c>
    </row>
    <row r="232" spans="1:9" hidden="1">
      <c r="A232" s="39"/>
      <c r="B232" s="52"/>
      <c r="C232" t="s">
        <v>353</v>
      </c>
      <c r="D232" t="s">
        <v>203</v>
      </c>
      <c r="F232"/>
      <c r="H232" s="3" t="s">
        <v>354</v>
      </c>
      <c r="I232" t="s">
        <v>178</v>
      </c>
    </row>
    <row r="233" spans="1:9" hidden="1">
      <c r="A233" s="39"/>
      <c r="B233" s="52"/>
      <c r="C233" t="s">
        <v>981</v>
      </c>
      <c r="D233" t="s">
        <v>203</v>
      </c>
      <c r="F233"/>
      <c r="H233" s="3" t="s">
        <v>356</v>
      </c>
      <c r="I233" t="s">
        <v>178</v>
      </c>
    </row>
    <row r="234" spans="1:9" hidden="1">
      <c r="A234" s="39"/>
      <c r="B234" s="52"/>
      <c r="C234" t="s">
        <v>355</v>
      </c>
      <c r="D234" t="s">
        <v>203</v>
      </c>
      <c r="F234"/>
      <c r="H234" s="3" t="s">
        <v>356</v>
      </c>
      <c r="I234" t="s">
        <v>178</v>
      </c>
    </row>
    <row r="235" spans="1:9" hidden="1">
      <c r="A235" s="39"/>
      <c r="B235" s="52"/>
      <c r="C235" s="127" t="s">
        <v>982</v>
      </c>
      <c r="D235" t="s">
        <v>203</v>
      </c>
      <c r="F235"/>
      <c r="H235" s="3" t="s">
        <v>344</v>
      </c>
      <c r="I235" t="s">
        <v>267</v>
      </c>
    </row>
    <row r="236" spans="1:9" hidden="1">
      <c r="A236" s="39"/>
      <c r="B236" s="52"/>
      <c r="C236" t="s">
        <v>1003</v>
      </c>
      <c r="D236" t="s">
        <v>203</v>
      </c>
      <c r="F236"/>
      <c r="H236" s="3" t="s">
        <v>344</v>
      </c>
      <c r="I236" t="s">
        <v>267</v>
      </c>
    </row>
    <row r="237" spans="1:9" hidden="1">
      <c r="A237" s="39"/>
      <c r="B237" s="52"/>
      <c r="C237" t="s">
        <v>983</v>
      </c>
      <c r="D237" t="s">
        <v>203</v>
      </c>
      <c r="F237"/>
      <c r="H237" s="3" t="s">
        <v>984</v>
      </c>
      <c r="I237" t="s">
        <v>185</v>
      </c>
    </row>
    <row r="238" spans="1:9" hidden="1">
      <c r="A238" s="39"/>
      <c r="B238" s="52"/>
      <c r="C238" t="s">
        <v>1004</v>
      </c>
      <c r="D238" t="s">
        <v>203</v>
      </c>
      <c r="F238"/>
      <c r="H238" s="3" t="s">
        <v>984</v>
      </c>
      <c r="I238" t="s">
        <v>185</v>
      </c>
    </row>
    <row r="239" spans="1:9" hidden="1">
      <c r="A239" s="39"/>
      <c r="B239" s="52"/>
      <c r="C239" s="76" t="s">
        <v>985</v>
      </c>
      <c r="D239" t="s">
        <v>279</v>
      </c>
      <c r="F239"/>
      <c r="H239" s="3"/>
      <c r="I239"/>
    </row>
    <row r="240" spans="1:9" hidden="1">
      <c r="A240" s="39"/>
      <c r="B240" s="52"/>
      <c r="C240" s="76" t="s">
        <v>1005</v>
      </c>
      <c r="D240" t="s">
        <v>279</v>
      </c>
      <c r="F240"/>
      <c r="H240" s="3"/>
      <c r="I240"/>
    </row>
    <row r="241" spans="1:12" hidden="1">
      <c r="A241" s="39"/>
      <c r="B241" s="52"/>
      <c r="C241" t="s">
        <v>987</v>
      </c>
      <c r="D241" t="s">
        <v>203</v>
      </c>
      <c r="F241"/>
      <c r="H241" s="3" t="s">
        <v>356</v>
      </c>
      <c r="I241" t="s">
        <v>185</v>
      </c>
    </row>
    <row r="242" spans="1:12" hidden="1">
      <c r="A242" s="39"/>
      <c r="B242" s="52"/>
      <c r="C242" t="s">
        <v>1006</v>
      </c>
      <c r="D242" t="s">
        <v>203</v>
      </c>
      <c r="F242"/>
      <c r="H242" s="3" t="s">
        <v>356</v>
      </c>
      <c r="I242" t="s">
        <v>185</v>
      </c>
    </row>
    <row r="243" spans="1:12" hidden="1">
      <c r="A243" s="39"/>
      <c r="B243" s="52"/>
      <c r="C243" t="s">
        <v>988</v>
      </c>
      <c r="D243" t="s">
        <v>203</v>
      </c>
      <c r="F243"/>
      <c r="H243" s="3" t="s">
        <v>344</v>
      </c>
      <c r="I243" t="s">
        <v>187</v>
      </c>
    </row>
    <row r="244" spans="1:12" hidden="1">
      <c r="A244" s="39"/>
      <c r="B244" s="52"/>
      <c r="C244" t="s">
        <v>1007</v>
      </c>
      <c r="D244" t="s">
        <v>203</v>
      </c>
      <c r="F244"/>
      <c r="H244" s="3" t="s">
        <v>344</v>
      </c>
      <c r="I244" t="s">
        <v>187</v>
      </c>
    </row>
    <row r="245" spans="1:12" hidden="1">
      <c r="A245" s="39"/>
      <c r="B245" s="52"/>
      <c r="C245" s="76" t="s">
        <v>989</v>
      </c>
      <c r="D245" t="s">
        <v>279</v>
      </c>
      <c r="F245"/>
      <c r="H245" s="3"/>
      <c r="I245"/>
    </row>
    <row r="246" spans="1:12" hidden="1">
      <c r="A246" s="39"/>
      <c r="B246" s="52"/>
      <c r="C246" s="76" t="s">
        <v>1008</v>
      </c>
      <c r="D246" t="s">
        <v>279</v>
      </c>
      <c r="F246"/>
      <c r="H246" s="3"/>
      <c r="I246"/>
    </row>
    <row r="247" spans="1:12" hidden="1">
      <c r="A247" s="123"/>
      <c r="B247" s="106"/>
      <c r="C247" s="227" t="s">
        <v>357</v>
      </c>
      <c r="D247" s="227" t="s">
        <v>176</v>
      </c>
      <c r="E247" s="227"/>
      <c r="F247" s="258">
        <v>2</v>
      </c>
      <c r="G247" s="252">
        <v>108.983</v>
      </c>
      <c r="H247" s="254" t="s">
        <v>358</v>
      </c>
      <c r="I247" s="227" t="s">
        <v>178</v>
      </c>
      <c r="J247" s="108" t="s">
        <v>179</v>
      </c>
      <c r="K247" s="108" t="s">
        <v>180</v>
      </c>
      <c r="L247" s="108" t="s">
        <v>179</v>
      </c>
    </row>
    <row r="248" spans="1:12" hidden="1">
      <c r="A248" s="123"/>
      <c r="B248" s="106"/>
      <c r="C248" s="227" t="s">
        <v>359</v>
      </c>
      <c r="D248" s="227" t="s">
        <v>176</v>
      </c>
      <c r="E248" s="227"/>
      <c r="F248" s="258">
        <v>2</v>
      </c>
      <c r="G248" s="252">
        <v>107.95099999999999</v>
      </c>
      <c r="H248" s="254" t="s">
        <v>360</v>
      </c>
      <c r="I248" s="227" t="s">
        <v>185</v>
      </c>
      <c r="J248" s="108" t="s">
        <v>179</v>
      </c>
      <c r="K248" s="108" t="s">
        <v>180</v>
      </c>
      <c r="L248" s="108" t="s">
        <v>179</v>
      </c>
    </row>
    <row r="249" spans="1:12" hidden="1">
      <c r="A249" s="123"/>
      <c r="B249" s="106"/>
      <c r="C249" s="227" t="s">
        <v>678</v>
      </c>
      <c r="D249" s="227" t="s">
        <v>203</v>
      </c>
      <c r="E249" s="227"/>
      <c r="F249" s="227"/>
      <c r="G249" s="252"/>
      <c r="H249" s="254" t="s">
        <v>362</v>
      </c>
      <c r="I249" s="227" t="s">
        <v>178</v>
      </c>
      <c r="J249" s="108"/>
      <c r="K249" s="108"/>
      <c r="L249" s="108"/>
    </row>
    <row r="250" spans="1:12" hidden="1">
      <c r="A250" s="123"/>
      <c r="B250" s="106"/>
      <c r="C250" s="227" t="s">
        <v>680</v>
      </c>
      <c r="D250" s="227" t="s">
        <v>203</v>
      </c>
      <c r="E250" s="227"/>
      <c r="F250" s="227"/>
      <c r="G250" s="252"/>
      <c r="H250" s="254" t="s">
        <v>364</v>
      </c>
      <c r="I250" s="227" t="s">
        <v>178</v>
      </c>
      <c r="J250" s="108"/>
      <c r="K250" s="108"/>
      <c r="L250" s="108"/>
    </row>
    <row r="251" spans="1:12" hidden="1">
      <c r="A251" s="123"/>
      <c r="B251" s="106"/>
      <c r="C251" s="227" t="s">
        <v>682</v>
      </c>
      <c r="D251" s="227" t="s">
        <v>203</v>
      </c>
      <c r="E251" s="227"/>
      <c r="F251" s="227"/>
      <c r="G251" s="252"/>
      <c r="H251" s="254" t="s">
        <v>366</v>
      </c>
      <c r="I251" s="227" t="s">
        <v>185</v>
      </c>
      <c r="J251" s="108"/>
      <c r="K251" s="108"/>
      <c r="L251" s="108"/>
    </row>
    <row r="252" spans="1:12" hidden="1">
      <c r="A252" s="123"/>
      <c r="B252" s="106"/>
      <c r="C252" s="227" t="s">
        <v>684</v>
      </c>
      <c r="D252" s="227" t="s">
        <v>203</v>
      </c>
      <c r="E252" s="227"/>
      <c r="F252" s="227"/>
      <c r="G252" s="252"/>
      <c r="H252" s="254" t="s">
        <v>368</v>
      </c>
      <c r="I252" s="227" t="s">
        <v>185</v>
      </c>
      <c r="J252" s="108"/>
      <c r="K252" s="108"/>
      <c r="L252" s="108"/>
    </row>
    <row r="253" spans="1:12" hidden="1">
      <c r="A253" s="123"/>
      <c r="B253" s="106"/>
      <c r="C253" s="227" t="s">
        <v>369</v>
      </c>
      <c r="D253" s="227" t="s">
        <v>176</v>
      </c>
      <c r="E253" s="227"/>
      <c r="F253" s="258">
        <v>2</v>
      </c>
      <c r="G253" s="252">
        <v>103.82</v>
      </c>
      <c r="H253" s="254" t="s">
        <v>370</v>
      </c>
      <c r="I253" s="227" t="s">
        <v>185</v>
      </c>
      <c r="J253" s="108" t="s">
        <v>179</v>
      </c>
      <c r="K253" s="108" t="s">
        <v>180</v>
      </c>
      <c r="L253" s="108" t="s">
        <v>179</v>
      </c>
    </row>
    <row r="254" spans="1:12" hidden="1">
      <c r="A254" s="123"/>
      <c r="B254" s="106"/>
      <c r="C254" s="227" t="s">
        <v>371</v>
      </c>
      <c r="D254" s="227" t="s">
        <v>176</v>
      </c>
      <c r="E254" s="227"/>
      <c r="F254" s="258">
        <v>1</v>
      </c>
      <c r="G254" s="252">
        <v>74.339200000000005</v>
      </c>
      <c r="H254" s="254" t="s">
        <v>366</v>
      </c>
      <c r="I254" s="227" t="s">
        <v>185</v>
      </c>
      <c r="J254" s="108" t="s">
        <v>179</v>
      </c>
      <c r="K254" s="108" t="s">
        <v>180</v>
      </c>
      <c r="L254" s="108" t="s">
        <v>179</v>
      </c>
    </row>
    <row r="255" spans="1:12" hidden="1">
      <c r="A255" s="123"/>
      <c r="B255" s="106"/>
      <c r="C255" s="227" t="s">
        <v>685</v>
      </c>
      <c r="D255" s="227" t="s">
        <v>203</v>
      </c>
      <c r="E255" s="227"/>
      <c r="F255" s="227"/>
      <c r="G255" s="252"/>
      <c r="H255" s="254" t="s">
        <v>373</v>
      </c>
      <c r="I255" s="227" t="s">
        <v>185</v>
      </c>
      <c r="J255" s="108"/>
      <c r="K255" s="108"/>
      <c r="L255" s="108"/>
    </row>
    <row r="256" spans="1:12" hidden="1">
      <c r="A256" s="123"/>
      <c r="B256" s="106"/>
      <c r="C256" s="227" t="s">
        <v>686</v>
      </c>
      <c r="D256" s="227" t="s">
        <v>203</v>
      </c>
      <c r="E256" s="227"/>
      <c r="F256" s="227"/>
      <c r="G256" s="252"/>
      <c r="H256" s="254" t="s">
        <v>375</v>
      </c>
      <c r="I256" s="227" t="s">
        <v>185</v>
      </c>
      <c r="J256" s="108"/>
      <c r="K256" s="108"/>
      <c r="L256" s="108"/>
    </row>
    <row r="257" spans="1:13" hidden="1">
      <c r="A257" s="39"/>
      <c r="B257" s="52"/>
      <c r="C257" t="s">
        <v>1009</v>
      </c>
      <c r="D257" t="s">
        <v>203</v>
      </c>
      <c r="F257"/>
      <c r="H257" s="3" t="s">
        <v>1010</v>
      </c>
      <c r="I257" t="s">
        <v>269</v>
      </c>
    </row>
    <row r="258" spans="1:13" hidden="1">
      <c r="A258" s="39"/>
      <c r="B258" s="52"/>
      <c r="C258" t="s">
        <v>986</v>
      </c>
      <c r="D258" t="s">
        <v>203</v>
      </c>
      <c r="F258"/>
      <c r="H258" s="3" t="s">
        <v>344</v>
      </c>
      <c r="I258" t="s">
        <v>185</v>
      </c>
    </row>
    <row r="259" spans="1:13" hidden="1">
      <c r="A259" s="39"/>
      <c r="B259" s="52"/>
      <c r="C259" t="s">
        <v>1011</v>
      </c>
      <c r="D259" t="s">
        <v>203</v>
      </c>
      <c r="F259"/>
      <c r="H259" s="3" t="s">
        <v>344</v>
      </c>
      <c r="I259" t="s">
        <v>185</v>
      </c>
    </row>
    <row r="260" spans="1:13" hidden="1">
      <c r="A260" s="39"/>
      <c r="B260" s="52"/>
      <c r="C260" t="s">
        <v>687</v>
      </c>
      <c r="D260" t="s">
        <v>203</v>
      </c>
      <c r="F260"/>
      <c r="H260" s="3" t="s">
        <v>1012</v>
      </c>
      <c r="I260" t="s">
        <v>185</v>
      </c>
    </row>
    <row r="261" spans="1:13" hidden="1">
      <c r="A261" s="52"/>
      <c r="B261" s="52"/>
      <c r="C261" t="s">
        <v>990</v>
      </c>
      <c r="D261" t="s">
        <v>203</v>
      </c>
      <c r="F261"/>
      <c r="H261" s="3" t="s">
        <v>356</v>
      </c>
      <c r="I261" t="s">
        <v>187</v>
      </c>
    </row>
    <row r="262" spans="1:13" hidden="1">
      <c r="A262" s="52"/>
      <c r="B262" s="52"/>
      <c r="C262" t="s">
        <v>1013</v>
      </c>
      <c r="D262" t="s">
        <v>203</v>
      </c>
      <c r="F262"/>
      <c r="H262" s="3" t="s">
        <v>356</v>
      </c>
      <c r="I262" t="s">
        <v>187</v>
      </c>
    </row>
    <row r="263" spans="1:13" hidden="1">
      <c r="A263" s="109"/>
      <c r="B263" s="109"/>
      <c r="C263" s="111" t="s">
        <v>1014</v>
      </c>
      <c r="D263" s="111" t="s">
        <v>203</v>
      </c>
      <c r="E263" s="111"/>
      <c r="F263" s="111"/>
      <c r="G263" s="112"/>
      <c r="H263" s="126" t="s">
        <v>1015</v>
      </c>
      <c r="I263" s="111" t="s">
        <v>187</v>
      </c>
      <c r="J263" s="113"/>
      <c r="K263" s="113"/>
      <c r="L263" s="113"/>
    </row>
    <row r="264" spans="1:13" hidden="1">
      <c r="K264" s="15" t="s">
        <v>1016</v>
      </c>
    </row>
    <row r="265" spans="1:13" s="15" customFormat="1" hidden="1">
      <c r="A265" s="262" t="s">
        <v>9</v>
      </c>
      <c r="B265" s="263" t="s">
        <v>1017</v>
      </c>
      <c r="C265" s="264" t="s">
        <v>421</v>
      </c>
      <c r="D265" s="75" t="s">
        <v>203</v>
      </c>
      <c r="E265" s="40"/>
      <c r="F265" s="40"/>
      <c r="G265" s="68"/>
      <c r="H265" s="74" t="s">
        <v>331</v>
      </c>
      <c r="I265" s="40" t="s">
        <v>183</v>
      </c>
      <c r="J265" s="69"/>
      <c r="K265" s="69" t="s">
        <v>180</v>
      </c>
      <c r="L265" s="163"/>
      <c r="M265" s="15" t="s">
        <v>1018</v>
      </c>
    </row>
    <row r="266" spans="1:13" hidden="1">
      <c r="A266" s="52"/>
      <c r="B266" s="260"/>
      <c r="C266" s="265" t="s">
        <v>459</v>
      </c>
      <c r="D266" s="76" t="s">
        <v>279</v>
      </c>
      <c r="L266" s="164"/>
    </row>
    <row r="267" spans="1:13" hidden="1">
      <c r="A267" s="52"/>
      <c r="B267" s="260"/>
      <c r="C267" s="265" t="s">
        <v>460</v>
      </c>
      <c r="D267" s="76" t="s">
        <v>279</v>
      </c>
      <c r="L267" s="164"/>
    </row>
    <row r="268" spans="1:13" hidden="1">
      <c r="A268" s="52"/>
      <c r="B268" s="260"/>
      <c r="C268" s="265" t="s">
        <v>461</v>
      </c>
      <c r="D268" s="76" t="s">
        <v>279</v>
      </c>
      <c r="L268" s="164"/>
    </row>
    <row r="269" spans="1:13" hidden="1">
      <c r="A269" s="52"/>
      <c r="B269" s="260"/>
      <c r="C269" s="265" t="s">
        <v>462</v>
      </c>
      <c r="D269" s="76" t="s">
        <v>279</v>
      </c>
      <c r="L269" s="164"/>
    </row>
    <row r="270" spans="1:13" hidden="1">
      <c r="A270" s="51"/>
      <c r="B270" s="261"/>
      <c r="C270" s="266" t="s">
        <v>463</v>
      </c>
      <c r="D270" s="96" t="s">
        <v>279</v>
      </c>
      <c r="E270" s="41"/>
      <c r="F270" s="77"/>
      <c r="G270" s="71"/>
      <c r="H270" s="72"/>
      <c r="I270" s="72"/>
      <c r="J270" s="72"/>
      <c r="K270" s="72"/>
      <c r="L270" s="167"/>
    </row>
    <row r="271" spans="1:13" hidden="1"/>
    <row r="272" spans="1:13" s="40" customFormat="1" hidden="1">
      <c r="A272" s="73" t="s">
        <v>9</v>
      </c>
      <c r="B272" s="50" t="s">
        <v>17</v>
      </c>
      <c r="C272" s="13" t="s">
        <v>390</v>
      </c>
      <c r="D272" s="40" t="s">
        <v>176</v>
      </c>
      <c r="F272" s="40">
        <f>0.2/0.05+1</f>
        <v>5</v>
      </c>
      <c r="G272" s="68">
        <v>199.61199999999999</v>
      </c>
      <c r="H272" s="74" t="s">
        <v>391</v>
      </c>
      <c r="I272" s="40" t="s">
        <v>205</v>
      </c>
      <c r="J272" s="69" t="s">
        <v>179</v>
      </c>
      <c r="K272" s="69" t="s">
        <v>180</v>
      </c>
      <c r="L272" s="69" t="s">
        <v>179</v>
      </c>
      <c r="M272" s="40" t="s">
        <v>1019</v>
      </c>
    </row>
    <row r="273" spans="1:12" hidden="1">
      <c r="A273" s="52"/>
      <c r="B273" s="52"/>
      <c r="C273" s="34" t="s">
        <v>392</v>
      </c>
      <c r="D273" t="s">
        <v>176</v>
      </c>
      <c r="F273">
        <f t="shared" ref="F273:F278" si="0">0.2/0.05+1</f>
        <v>5</v>
      </c>
      <c r="G273" s="48">
        <v>199.101</v>
      </c>
      <c r="H273" s="3" t="s">
        <v>391</v>
      </c>
      <c r="I273" t="s">
        <v>246</v>
      </c>
      <c r="J273" s="15" t="s">
        <v>179</v>
      </c>
      <c r="K273" s="15" t="s">
        <v>180</v>
      </c>
      <c r="L273" s="15" t="s">
        <v>179</v>
      </c>
    </row>
    <row r="274" spans="1:12" hidden="1">
      <c r="A274" s="52"/>
      <c r="B274" s="52"/>
      <c r="C274" s="34" t="s">
        <v>393</v>
      </c>
      <c r="D274" t="s">
        <v>176</v>
      </c>
      <c r="F274">
        <f t="shared" si="0"/>
        <v>5</v>
      </c>
      <c r="G274" s="48">
        <v>199.09</v>
      </c>
      <c r="H274" s="3" t="s">
        <v>391</v>
      </c>
      <c r="I274" t="s">
        <v>394</v>
      </c>
      <c r="J274" s="15" t="s">
        <v>179</v>
      </c>
      <c r="K274" s="15" t="s">
        <v>180</v>
      </c>
      <c r="L274" s="15" t="s">
        <v>179</v>
      </c>
    </row>
    <row r="275" spans="1:12" hidden="1">
      <c r="A275" s="52"/>
      <c r="B275" s="52"/>
      <c r="C275" s="34" t="s">
        <v>395</v>
      </c>
      <c r="D275" t="s">
        <v>176</v>
      </c>
      <c r="F275">
        <f t="shared" si="0"/>
        <v>5</v>
      </c>
      <c r="G275" s="48">
        <v>197.84700000000001</v>
      </c>
      <c r="H275" s="3" t="s">
        <v>391</v>
      </c>
      <c r="I275" t="s">
        <v>183</v>
      </c>
      <c r="J275" s="15" t="s">
        <v>179</v>
      </c>
      <c r="K275" s="15" t="s">
        <v>180</v>
      </c>
      <c r="L275" s="15" t="s">
        <v>179</v>
      </c>
    </row>
    <row r="276" spans="1:12" hidden="1">
      <c r="A276" s="52"/>
      <c r="B276" s="52"/>
      <c r="C276" s="34" t="s">
        <v>396</v>
      </c>
      <c r="D276" t="s">
        <v>176</v>
      </c>
      <c r="F276">
        <f t="shared" si="0"/>
        <v>5</v>
      </c>
      <c r="G276" s="48">
        <v>198.30500000000001</v>
      </c>
      <c r="H276" s="3" t="s">
        <v>391</v>
      </c>
      <c r="I276" t="s">
        <v>397</v>
      </c>
      <c r="J276" s="15" t="s">
        <v>179</v>
      </c>
      <c r="K276" s="15" t="s">
        <v>180</v>
      </c>
      <c r="L276" s="15" t="s">
        <v>179</v>
      </c>
    </row>
    <row r="277" spans="1:12" hidden="1">
      <c r="A277" s="52"/>
      <c r="B277" s="52"/>
      <c r="C277" s="34" t="s">
        <v>398</v>
      </c>
      <c r="D277" t="s">
        <v>176</v>
      </c>
      <c r="F277">
        <f t="shared" si="0"/>
        <v>5</v>
      </c>
      <c r="G277" s="48">
        <v>198.05600000000001</v>
      </c>
      <c r="H277" s="3" t="s">
        <v>391</v>
      </c>
      <c r="I277" t="s">
        <v>267</v>
      </c>
      <c r="J277" s="15" t="s">
        <v>179</v>
      </c>
      <c r="K277" s="15" t="s">
        <v>180</v>
      </c>
      <c r="L277" s="15" t="s">
        <v>179</v>
      </c>
    </row>
    <row r="278" spans="1:12" hidden="1">
      <c r="A278" s="52"/>
      <c r="B278" s="52"/>
      <c r="C278" s="34" t="s">
        <v>399</v>
      </c>
      <c r="D278" t="s">
        <v>176</v>
      </c>
      <c r="F278">
        <f t="shared" si="0"/>
        <v>5</v>
      </c>
      <c r="G278" s="48">
        <v>198.887</v>
      </c>
      <c r="H278" s="3" t="s">
        <v>391</v>
      </c>
      <c r="I278" t="s">
        <v>210</v>
      </c>
      <c r="J278" s="15" t="s">
        <v>179</v>
      </c>
      <c r="K278" s="15" t="s">
        <v>180</v>
      </c>
      <c r="L278" s="15" t="s">
        <v>179</v>
      </c>
    </row>
    <row r="279" spans="1:12" hidden="1">
      <c r="A279" s="52"/>
      <c r="B279" s="52"/>
      <c r="C279" s="34" t="s">
        <v>400</v>
      </c>
      <c r="D279" t="s">
        <v>203</v>
      </c>
      <c r="F279"/>
      <c r="H279" s="3" t="s">
        <v>401</v>
      </c>
      <c r="I279" t="s">
        <v>205</v>
      </c>
      <c r="K279" s="15" t="s">
        <v>180</v>
      </c>
    </row>
    <row r="280" spans="1:12" hidden="1">
      <c r="A280" s="52"/>
      <c r="B280" s="52"/>
      <c r="C280" s="34" t="s">
        <v>402</v>
      </c>
      <c r="D280" t="s">
        <v>203</v>
      </c>
      <c r="F280"/>
      <c r="H280" s="3" t="s">
        <v>403</v>
      </c>
      <c r="I280" t="s">
        <v>205</v>
      </c>
      <c r="K280" s="15" t="s">
        <v>180</v>
      </c>
    </row>
    <row r="281" spans="1:12" s="15" customFormat="1" hidden="1">
      <c r="A281" s="52"/>
      <c r="B281" s="52"/>
      <c r="C281" s="34" t="s">
        <v>404</v>
      </c>
      <c r="D281" t="s">
        <v>203</v>
      </c>
      <c r="E281"/>
      <c r="F281"/>
      <c r="G281" s="48"/>
      <c r="H281" s="3" t="s">
        <v>331</v>
      </c>
      <c r="I281" t="s">
        <v>205</v>
      </c>
      <c r="K281" s="15" t="s">
        <v>180</v>
      </c>
    </row>
    <row r="282" spans="1:12" s="15" customFormat="1" hidden="1">
      <c r="A282" s="52"/>
      <c r="B282" s="52"/>
      <c r="C282" s="34" t="s">
        <v>405</v>
      </c>
      <c r="D282" t="s">
        <v>203</v>
      </c>
      <c r="E282"/>
      <c r="F282"/>
      <c r="G282" s="48"/>
      <c r="H282" s="3" t="s">
        <v>406</v>
      </c>
      <c r="I282" t="s">
        <v>205</v>
      </c>
      <c r="K282" s="15" t="s">
        <v>180</v>
      </c>
    </row>
    <row r="283" spans="1:12" s="15" customFormat="1" hidden="1">
      <c r="A283" s="52"/>
      <c r="B283" s="52"/>
      <c r="C283" s="34" t="s">
        <v>407</v>
      </c>
      <c r="D283" t="s">
        <v>203</v>
      </c>
      <c r="E283"/>
      <c r="F283"/>
      <c r="G283" s="48"/>
      <c r="H283" s="3" t="s">
        <v>408</v>
      </c>
      <c r="I283" t="s">
        <v>205</v>
      </c>
      <c r="K283" s="15" t="s">
        <v>180</v>
      </c>
    </row>
    <row r="284" spans="1:12" s="15" customFormat="1" hidden="1">
      <c r="A284" s="52"/>
      <c r="B284" s="52"/>
      <c r="C284" s="34" t="s">
        <v>409</v>
      </c>
      <c r="D284" t="s">
        <v>203</v>
      </c>
      <c r="E284"/>
      <c r="F284"/>
      <c r="G284" s="48"/>
      <c r="H284" s="3" t="s">
        <v>401</v>
      </c>
      <c r="I284" t="s">
        <v>246</v>
      </c>
      <c r="K284" s="15" t="s">
        <v>180</v>
      </c>
    </row>
    <row r="285" spans="1:12" s="15" customFormat="1" hidden="1">
      <c r="A285" s="52"/>
      <c r="B285" s="52"/>
      <c r="C285" s="34" t="s">
        <v>410</v>
      </c>
      <c r="D285" t="s">
        <v>203</v>
      </c>
      <c r="E285"/>
      <c r="F285"/>
      <c r="G285" s="48"/>
      <c r="H285" s="3" t="s">
        <v>403</v>
      </c>
      <c r="I285" t="s">
        <v>246</v>
      </c>
      <c r="K285" s="15" t="s">
        <v>180</v>
      </c>
    </row>
    <row r="286" spans="1:12" s="15" customFormat="1" hidden="1">
      <c r="A286" s="52"/>
      <c r="B286" s="52"/>
      <c r="C286" s="34" t="s">
        <v>411</v>
      </c>
      <c r="D286" t="s">
        <v>203</v>
      </c>
      <c r="E286"/>
      <c r="F286"/>
      <c r="G286" s="48"/>
      <c r="H286" s="3" t="s">
        <v>331</v>
      </c>
      <c r="I286" t="s">
        <v>246</v>
      </c>
      <c r="K286" s="15" t="s">
        <v>180</v>
      </c>
    </row>
    <row r="287" spans="1:12" s="15" customFormat="1" hidden="1">
      <c r="A287" s="52"/>
      <c r="B287" s="52"/>
      <c r="C287" s="34" t="s">
        <v>412</v>
      </c>
      <c r="D287" t="s">
        <v>203</v>
      </c>
      <c r="E287"/>
      <c r="F287"/>
      <c r="G287" s="48"/>
      <c r="H287" s="3" t="s">
        <v>406</v>
      </c>
      <c r="I287" t="s">
        <v>246</v>
      </c>
      <c r="K287" s="15" t="s">
        <v>180</v>
      </c>
    </row>
    <row r="288" spans="1:12" s="15" customFormat="1" hidden="1">
      <c r="A288" s="52"/>
      <c r="B288" s="52"/>
      <c r="C288" s="34" t="s">
        <v>413</v>
      </c>
      <c r="D288" t="s">
        <v>203</v>
      </c>
      <c r="E288"/>
      <c r="F288"/>
      <c r="G288" s="48"/>
      <c r="H288" s="3" t="s">
        <v>408</v>
      </c>
      <c r="I288" t="s">
        <v>246</v>
      </c>
      <c r="K288" s="15" t="s">
        <v>180</v>
      </c>
    </row>
    <row r="289" spans="1:11" s="15" customFormat="1" hidden="1">
      <c r="A289" s="52"/>
      <c r="B289" s="52"/>
      <c r="C289" s="34" t="s">
        <v>414</v>
      </c>
      <c r="D289" t="s">
        <v>203</v>
      </c>
      <c r="E289"/>
      <c r="F289"/>
      <c r="G289" s="48"/>
      <c r="H289" s="3" t="s">
        <v>401</v>
      </c>
      <c r="I289" t="s">
        <v>394</v>
      </c>
      <c r="K289" s="15" t="s">
        <v>180</v>
      </c>
    </row>
    <row r="290" spans="1:11" s="15" customFormat="1" hidden="1">
      <c r="A290" s="52"/>
      <c r="B290" s="52"/>
      <c r="C290" s="34" t="s">
        <v>415</v>
      </c>
      <c r="D290" t="s">
        <v>203</v>
      </c>
      <c r="E290"/>
      <c r="F290"/>
      <c r="G290" s="48"/>
      <c r="H290" s="3" t="s">
        <v>403</v>
      </c>
      <c r="I290" t="s">
        <v>394</v>
      </c>
      <c r="K290" s="15" t="s">
        <v>180</v>
      </c>
    </row>
    <row r="291" spans="1:11" s="15" customFormat="1" hidden="1">
      <c r="A291" s="52"/>
      <c r="B291" s="52"/>
      <c r="C291" s="34" t="s">
        <v>416</v>
      </c>
      <c r="D291" t="s">
        <v>203</v>
      </c>
      <c r="E291"/>
      <c r="F291"/>
      <c r="G291" s="48"/>
      <c r="H291" s="3" t="s">
        <v>331</v>
      </c>
      <c r="I291" t="s">
        <v>394</v>
      </c>
      <c r="K291" s="15" t="s">
        <v>180</v>
      </c>
    </row>
    <row r="292" spans="1:11" s="15" customFormat="1" hidden="1">
      <c r="A292" s="52"/>
      <c r="B292" s="52"/>
      <c r="C292" s="34" t="s">
        <v>417</v>
      </c>
      <c r="D292" t="s">
        <v>203</v>
      </c>
      <c r="E292"/>
      <c r="F292"/>
      <c r="G292" s="48"/>
      <c r="H292" s="3" t="s">
        <v>406</v>
      </c>
      <c r="I292" t="s">
        <v>394</v>
      </c>
      <c r="K292" s="15" t="s">
        <v>180</v>
      </c>
    </row>
    <row r="293" spans="1:11" s="15" customFormat="1" hidden="1">
      <c r="A293" s="52"/>
      <c r="B293" s="52"/>
      <c r="C293" s="34" t="s">
        <v>418</v>
      </c>
      <c r="D293" t="s">
        <v>203</v>
      </c>
      <c r="E293"/>
      <c r="F293"/>
      <c r="G293" s="48"/>
      <c r="H293" s="3" t="s">
        <v>408</v>
      </c>
      <c r="I293" t="s">
        <v>394</v>
      </c>
      <c r="K293" s="15" t="s">
        <v>180</v>
      </c>
    </row>
    <row r="294" spans="1:11" s="15" customFormat="1" hidden="1">
      <c r="A294" s="52"/>
      <c r="B294" s="52"/>
      <c r="C294" s="34" t="s">
        <v>419</v>
      </c>
      <c r="D294" t="s">
        <v>203</v>
      </c>
      <c r="E294"/>
      <c r="F294"/>
      <c r="G294" s="48"/>
      <c r="H294" s="3" t="s">
        <v>401</v>
      </c>
      <c r="I294" t="s">
        <v>183</v>
      </c>
      <c r="K294" s="15" t="s">
        <v>180</v>
      </c>
    </row>
    <row r="295" spans="1:11" s="15" customFormat="1" hidden="1">
      <c r="A295" s="52"/>
      <c r="B295" s="52"/>
      <c r="C295" s="34" t="s">
        <v>420</v>
      </c>
      <c r="D295" t="s">
        <v>203</v>
      </c>
      <c r="E295"/>
      <c r="F295"/>
      <c r="G295" s="48"/>
      <c r="H295" s="3" t="s">
        <v>403</v>
      </c>
      <c r="I295" t="s">
        <v>183</v>
      </c>
      <c r="K295" s="15" t="s">
        <v>180</v>
      </c>
    </row>
    <row r="296" spans="1:11" s="15" customFormat="1" hidden="1">
      <c r="A296" s="52"/>
      <c r="B296" s="52"/>
      <c r="C296" s="34" t="s">
        <v>421</v>
      </c>
      <c r="D296" t="s">
        <v>203</v>
      </c>
      <c r="E296"/>
      <c r="F296"/>
      <c r="G296" s="48"/>
      <c r="H296" s="3" t="s">
        <v>331</v>
      </c>
      <c r="I296" t="s">
        <v>183</v>
      </c>
      <c r="K296" s="15" t="s">
        <v>180</v>
      </c>
    </row>
    <row r="297" spans="1:11" s="15" customFormat="1" hidden="1">
      <c r="A297" s="52"/>
      <c r="B297" s="52"/>
      <c r="C297" s="34" t="s">
        <v>422</v>
      </c>
      <c r="D297" t="s">
        <v>203</v>
      </c>
      <c r="E297"/>
      <c r="F297"/>
      <c r="G297" s="48"/>
      <c r="H297" s="3" t="s">
        <v>406</v>
      </c>
      <c r="I297" t="s">
        <v>183</v>
      </c>
      <c r="K297" s="15" t="s">
        <v>180</v>
      </c>
    </row>
    <row r="298" spans="1:11" s="15" customFormat="1" hidden="1">
      <c r="A298" s="52"/>
      <c r="B298" s="52"/>
      <c r="C298" s="34" t="s">
        <v>423</v>
      </c>
      <c r="D298" t="s">
        <v>203</v>
      </c>
      <c r="E298"/>
      <c r="F298"/>
      <c r="G298" s="48"/>
      <c r="H298" s="3" t="s">
        <v>408</v>
      </c>
      <c r="I298" t="s">
        <v>183</v>
      </c>
      <c r="K298" s="15" t="s">
        <v>180</v>
      </c>
    </row>
    <row r="299" spans="1:11" s="15" customFormat="1" hidden="1">
      <c r="A299" s="52"/>
      <c r="B299" s="52"/>
      <c r="C299" s="34" t="s">
        <v>424</v>
      </c>
      <c r="D299" t="s">
        <v>203</v>
      </c>
      <c r="E299"/>
      <c r="F299"/>
      <c r="G299" s="48"/>
      <c r="H299" s="3" t="s">
        <v>401</v>
      </c>
      <c r="I299" t="s">
        <v>397</v>
      </c>
      <c r="K299" s="15" t="s">
        <v>180</v>
      </c>
    </row>
    <row r="300" spans="1:11" s="15" customFormat="1" hidden="1">
      <c r="A300" s="52"/>
      <c r="B300" s="52"/>
      <c r="C300" s="34" t="s">
        <v>425</v>
      </c>
      <c r="D300" t="s">
        <v>203</v>
      </c>
      <c r="E300"/>
      <c r="F300"/>
      <c r="G300" s="48"/>
      <c r="H300" s="3" t="s">
        <v>403</v>
      </c>
      <c r="I300" t="s">
        <v>397</v>
      </c>
      <c r="K300" s="15" t="s">
        <v>180</v>
      </c>
    </row>
    <row r="301" spans="1:11" s="15" customFormat="1" hidden="1">
      <c r="A301" s="52"/>
      <c r="B301" s="52"/>
      <c r="C301" s="34" t="s">
        <v>426</v>
      </c>
      <c r="D301" t="s">
        <v>203</v>
      </c>
      <c r="E301"/>
      <c r="F301"/>
      <c r="G301" s="48"/>
      <c r="H301" s="3" t="s">
        <v>331</v>
      </c>
      <c r="I301" t="s">
        <v>397</v>
      </c>
      <c r="K301" s="15" t="s">
        <v>180</v>
      </c>
    </row>
    <row r="302" spans="1:11" s="15" customFormat="1" hidden="1">
      <c r="A302" s="52"/>
      <c r="B302" s="52"/>
      <c r="C302" s="34" t="s">
        <v>427</v>
      </c>
      <c r="D302" t="s">
        <v>203</v>
      </c>
      <c r="E302"/>
      <c r="F302"/>
      <c r="G302" s="48"/>
      <c r="H302" s="3" t="s">
        <v>406</v>
      </c>
      <c r="I302" t="s">
        <v>397</v>
      </c>
      <c r="K302" s="15" t="s">
        <v>180</v>
      </c>
    </row>
    <row r="303" spans="1:11" s="15" customFormat="1" hidden="1">
      <c r="A303" s="52"/>
      <c r="B303" s="52"/>
      <c r="C303" s="34" t="s">
        <v>428</v>
      </c>
      <c r="D303" t="s">
        <v>203</v>
      </c>
      <c r="E303"/>
      <c r="F303"/>
      <c r="G303" s="48"/>
      <c r="H303" s="3" t="s">
        <v>408</v>
      </c>
      <c r="I303" t="s">
        <v>397</v>
      </c>
      <c r="K303" s="15" t="s">
        <v>180</v>
      </c>
    </row>
    <row r="304" spans="1:11" s="15" customFormat="1" hidden="1">
      <c r="A304" s="52"/>
      <c r="B304" s="52"/>
      <c r="C304" s="34" t="s">
        <v>429</v>
      </c>
      <c r="D304" t="s">
        <v>203</v>
      </c>
      <c r="E304"/>
      <c r="F304"/>
      <c r="G304" s="48"/>
      <c r="H304" s="3" t="s">
        <v>401</v>
      </c>
      <c r="I304" t="s">
        <v>267</v>
      </c>
      <c r="K304" s="15" t="s">
        <v>180</v>
      </c>
    </row>
    <row r="305" spans="1:11" s="15" customFormat="1" hidden="1">
      <c r="A305" s="52"/>
      <c r="B305" s="52"/>
      <c r="C305" s="34" t="s">
        <v>430</v>
      </c>
      <c r="D305" t="s">
        <v>203</v>
      </c>
      <c r="E305"/>
      <c r="F305"/>
      <c r="G305" s="48"/>
      <c r="H305" s="3" t="s">
        <v>403</v>
      </c>
      <c r="I305" t="s">
        <v>267</v>
      </c>
      <c r="K305" s="15" t="s">
        <v>180</v>
      </c>
    </row>
    <row r="306" spans="1:11" s="15" customFormat="1" hidden="1">
      <c r="A306" s="52"/>
      <c r="B306" s="52"/>
      <c r="C306" s="34" t="s">
        <v>431</v>
      </c>
      <c r="D306" t="s">
        <v>203</v>
      </c>
      <c r="E306"/>
      <c r="F306"/>
      <c r="G306" s="48"/>
      <c r="H306" s="3" t="s">
        <v>331</v>
      </c>
      <c r="I306" t="s">
        <v>267</v>
      </c>
      <c r="K306" s="15" t="s">
        <v>180</v>
      </c>
    </row>
    <row r="307" spans="1:11" s="15" customFormat="1" hidden="1">
      <c r="A307" s="52"/>
      <c r="B307" s="52"/>
      <c r="C307" s="34" t="s">
        <v>432</v>
      </c>
      <c r="D307" t="s">
        <v>203</v>
      </c>
      <c r="E307"/>
      <c r="F307"/>
      <c r="G307" s="48"/>
      <c r="H307" s="3" t="s">
        <v>406</v>
      </c>
      <c r="I307" t="s">
        <v>267</v>
      </c>
      <c r="K307" s="15" t="s">
        <v>180</v>
      </c>
    </row>
    <row r="308" spans="1:11" s="15" customFormat="1" hidden="1">
      <c r="A308" s="52"/>
      <c r="B308" s="52"/>
      <c r="C308" s="34" t="s">
        <v>433</v>
      </c>
      <c r="D308" t="s">
        <v>203</v>
      </c>
      <c r="E308"/>
      <c r="F308"/>
      <c r="G308" s="48"/>
      <c r="H308" s="3" t="s">
        <v>408</v>
      </c>
      <c r="I308" t="s">
        <v>267</v>
      </c>
      <c r="K308" s="15" t="s">
        <v>180</v>
      </c>
    </row>
    <row r="309" spans="1:11" s="15" customFormat="1" hidden="1">
      <c r="A309" s="52"/>
      <c r="B309" s="52"/>
      <c r="C309" s="34" t="s">
        <v>434</v>
      </c>
      <c r="D309" t="s">
        <v>203</v>
      </c>
      <c r="E309"/>
      <c r="F309"/>
      <c r="G309" s="48"/>
      <c r="H309" s="3" t="s">
        <v>401</v>
      </c>
      <c r="I309" t="s">
        <v>210</v>
      </c>
      <c r="K309" s="15" t="s">
        <v>180</v>
      </c>
    </row>
    <row r="310" spans="1:11" s="15" customFormat="1" hidden="1">
      <c r="A310" s="52"/>
      <c r="B310" s="52"/>
      <c r="C310" s="34" t="s">
        <v>435</v>
      </c>
      <c r="D310" t="s">
        <v>203</v>
      </c>
      <c r="E310"/>
      <c r="F310"/>
      <c r="G310" s="48"/>
      <c r="H310" s="3" t="s">
        <v>403</v>
      </c>
      <c r="I310" t="s">
        <v>210</v>
      </c>
      <c r="K310" s="15" t="s">
        <v>180</v>
      </c>
    </row>
    <row r="311" spans="1:11" s="15" customFormat="1" hidden="1">
      <c r="A311" s="52"/>
      <c r="B311" s="52"/>
      <c r="C311" s="34" t="s">
        <v>436</v>
      </c>
      <c r="D311" t="s">
        <v>203</v>
      </c>
      <c r="E311"/>
      <c r="F311"/>
      <c r="G311" s="48"/>
      <c r="H311" s="3" t="s">
        <v>331</v>
      </c>
      <c r="I311" t="s">
        <v>210</v>
      </c>
      <c r="K311" s="15" t="s">
        <v>180</v>
      </c>
    </row>
    <row r="312" spans="1:11" s="15" customFormat="1" hidden="1">
      <c r="A312" s="52"/>
      <c r="B312" s="52"/>
      <c r="C312" s="34" t="s">
        <v>437</v>
      </c>
      <c r="D312" t="s">
        <v>203</v>
      </c>
      <c r="E312"/>
      <c r="F312"/>
      <c r="G312" s="48"/>
      <c r="H312" s="3" t="s">
        <v>406</v>
      </c>
      <c r="I312" t="s">
        <v>210</v>
      </c>
      <c r="K312" s="15" t="s">
        <v>180</v>
      </c>
    </row>
    <row r="313" spans="1:11" s="15" customFormat="1" hidden="1">
      <c r="A313" s="52"/>
      <c r="B313" s="52"/>
      <c r="C313" s="34" t="s">
        <v>438</v>
      </c>
      <c r="D313" t="s">
        <v>203</v>
      </c>
      <c r="E313"/>
      <c r="F313"/>
      <c r="G313" s="48"/>
      <c r="H313" s="3" t="s">
        <v>408</v>
      </c>
      <c r="I313" t="s">
        <v>210</v>
      </c>
      <c r="K313" s="15" t="s">
        <v>180</v>
      </c>
    </row>
    <row r="314" spans="1:11" s="15" customFormat="1" hidden="1">
      <c r="A314" s="52"/>
      <c r="B314" s="52"/>
      <c r="C314" s="34" t="s">
        <v>439</v>
      </c>
      <c r="D314" t="s">
        <v>279</v>
      </c>
      <c r="E314"/>
      <c r="F314"/>
      <c r="G314" s="48"/>
      <c r="H314" s="3"/>
      <c r="I314"/>
    </row>
    <row r="315" spans="1:11" s="15" customFormat="1" hidden="1">
      <c r="A315" s="52"/>
      <c r="B315" s="52"/>
      <c r="C315" s="34" t="s">
        <v>440</v>
      </c>
      <c r="D315" t="s">
        <v>279</v>
      </c>
      <c r="E315"/>
      <c r="F315"/>
      <c r="G315" s="48"/>
      <c r="H315" s="3"/>
      <c r="I315"/>
    </row>
    <row r="316" spans="1:11" s="15" customFormat="1" hidden="1">
      <c r="A316" s="52"/>
      <c r="B316" s="52"/>
      <c r="C316" s="34" t="s">
        <v>441</v>
      </c>
      <c r="D316" t="s">
        <v>279</v>
      </c>
      <c r="E316"/>
      <c r="F316"/>
      <c r="G316" s="48"/>
      <c r="H316" s="3"/>
      <c r="I316"/>
    </row>
    <row r="317" spans="1:11" s="15" customFormat="1" hidden="1">
      <c r="A317" s="52"/>
      <c r="B317" s="52"/>
      <c r="C317" s="34" t="s">
        <v>442</v>
      </c>
      <c r="D317" t="s">
        <v>279</v>
      </c>
      <c r="E317"/>
      <c r="F317"/>
      <c r="G317" s="48"/>
      <c r="H317" s="3"/>
      <c r="I317"/>
    </row>
    <row r="318" spans="1:11" s="15" customFormat="1" hidden="1">
      <c r="A318" s="52"/>
      <c r="B318" s="52"/>
      <c r="C318" s="34" t="s">
        <v>443</v>
      </c>
      <c r="D318" t="s">
        <v>279</v>
      </c>
      <c r="E318"/>
      <c r="F318"/>
      <c r="G318" s="48"/>
      <c r="H318" s="3"/>
      <c r="I318"/>
    </row>
    <row r="319" spans="1:11" s="15" customFormat="1" hidden="1">
      <c r="A319" s="52"/>
      <c r="B319" s="52"/>
      <c r="C319" s="34" t="s">
        <v>444</v>
      </c>
      <c r="D319" t="s">
        <v>279</v>
      </c>
      <c r="E319"/>
      <c r="F319"/>
      <c r="G319" s="48"/>
      <c r="H319" s="3"/>
      <c r="I319"/>
    </row>
    <row r="320" spans="1:11" s="15" customFormat="1" hidden="1">
      <c r="A320" s="52"/>
      <c r="B320" s="52"/>
      <c r="C320" s="34" t="s">
        <v>445</v>
      </c>
      <c r="D320" t="s">
        <v>279</v>
      </c>
      <c r="E320"/>
      <c r="F320"/>
      <c r="G320" s="48"/>
      <c r="H320" s="3"/>
      <c r="I320"/>
    </row>
    <row r="321" spans="1:9" s="15" customFormat="1" hidden="1">
      <c r="A321" s="52"/>
      <c r="B321" s="52"/>
      <c r="C321" s="34" t="s">
        <v>446</v>
      </c>
      <c r="D321" t="s">
        <v>279</v>
      </c>
      <c r="E321"/>
      <c r="F321"/>
      <c r="G321" s="48"/>
      <c r="H321" s="3"/>
      <c r="I321"/>
    </row>
    <row r="322" spans="1:9" s="15" customFormat="1" hidden="1">
      <c r="A322" s="52"/>
      <c r="B322" s="52"/>
      <c r="C322" s="34" t="s">
        <v>447</v>
      </c>
      <c r="D322" t="s">
        <v>279</v>
      </c>
      <c r="E322"/>
      <c r="F322"/>
      <c r="G322" s="48"/>
      <c r="H322" s="3"/>
      <c r="I322"/>
    </row>
    <row r="323" spans="1:9" s="15" customFormat="1" hidden="1">
      <c r="A323" s="52"/>
      <c r="B323" s="52"/>
      <c r="C323" s="34" t="s">
        <v>448</v>
      </c>
      <c r="D323" t="s">
        <v>279</v>
      </c>
      <c r="E323"/>
      <c r="F323"/>
      <c r="G323" s="48"/>
      <c r="H323" s="3"/>
      <c r="I323"/>
    </row>
    <row r="324" spans="1:9" s="15" customFormat="1" hidden="1">
      <c r="A324" s="52"/>
      <c r="B324" s="52"/>
      <c r="C324" s="34" t="s">
        <v>449</v>
      </c>
      <c r="D324" t="s">
        <v>279</v>
      </c>
      <c r="E324"/>
      <c r="F324"/>
      <c r="G324" s="48"/>
      <c r="H324" s="3"/>
      <c r="I324"/>
    </row>
    <row r="325" spans="1:9" s="15" customFormat="1" hidden="1">
      <c r="A325" s="52"/>
      <c r="B325" s="52"/>
      <c r="C325" s="34" t="s">
        <v>450</v>
      </c>
      <c r="D325" t="s">
        <v>279</v>
      </c>
      <c r="E325"/>
      <c r="F325"/>
      <c r="G325" s="48"/>
      <c r="H325" s="3"/>
      <c r="I325"/>
    </row>
    <row r="326" spans="1:9" s="15" customFormat="1" hidden="1">
      <c r="A326" s="52"/>
      <c r="B326" s="52"/>
      <c r="C326" s="34" t="s">
        <v>451</v>
      </c>
      <c r="D326" t="s">
        <v>279</v>
      </c>
      <c r="E326"/>
      <c r="F326"/>
      <c r="G326" s="48"/>
      <c r="H326" s="3"/>
      <c r="I326"/>
    </row>
    <row r="327" spans="1:9" s="15" customFormat="1" hidden="1">
      <c r="A327" s="52"/>
      <c r="B327" s="52"/>
      <c r="C327" s="34" t="s">
        <v>452</v>
      </c>
      <c r="D327" t="s">
        <v>279</v>
      </c>
      <c r="E327"/>
      <c r="F327"/>
      <c r="G327" s="48"/>
      <c r="H327" s="3"/>
      <c r="I327"/>
    </row>
    <row r="328" spans="1:9" s="15" customFormat="1" hidden="1">
      <c r="A328" s="52"/>
      <c r="B328" s="52"/>
      <c r="C328" s="34" t="s">
        <v>453</v>
      </c>
      <c r="D328" t="s">
        <v>279</v>
      </c>
      <c r="E328"/>
      <c r="F328"/>
      <c r="G328" s="48"/>
      <c r="H328" s="3"/>
      <c r="I328"/>
    </row>
    <row r="329" spans="1:9" s="15" customFormat="1" hidden="1">
      <c r="A329" s="52"/>
      <c r="B329" s="52"/>
      <c r="C329" s="34" t="s">
        <v>454</v>
      </c>
      <c r="D329" t="s">
        <v>279</v>
      </c>
      <c r="E329"/>
      <c r="F329"/>
      <c r="G329" s="48"/>
      <c r="H329" s="3"/>
      <c r="I329"/>
    </row>
    <row r="330" spans="1:9" s="15" customFormat="1" hidden="1">
      <c r="A330" s="52"/>
      <c r="B330" s="52"/>
      <c r="C330" s="34" t="s">
        <v>455</v>
      </c>
      <c r="D330" t="s">
        <v>279</v>
      </c>
      <c r="E330"/>
      <c r="F330"/>
      <c r="G330" s="48"/>
      <c r="H330" s="3"/>
      <c r="I330"/>
    </row>
    <row r="331" spans="1:9" s="15" customFormat="1" hidden="1">
      <c r="A331" s="52"/>
      <c r="B331" s="52"/>
      <c r="C331" s="34" t="s">
        <v>456</v>
      </c>
      <c r="D331" t="s">
        <v>279</v>
      </c>
      <c r="E331"/>
      <c r="F331"/>
      <c r="G331" s="48"/>
      <c r="H331" s="3"/>
      <c r="I331"/>
    </row>
    <row r="332" spans="1:9" s="15" customFormat="1" hidden="1">
      <c r="A332" s="52"/>
      <c r="B332" s="52"/>
      <c r="C332" s="34" t="s">
        <v>457</v>
      </c>
      <c r="D332" t="s">
        <v>279</v>
      </c>
      <c r="E332"/>
      <c r="F332"/>
      <c r="G332" s="48"/>
      <c r="H332" s="3"/>
      <c r="I332"/>
    </row>
    <row r="333" spans="1:9" s="15" customFormat="1" hidden="1">
      <c r="A333" s="52"/>
      <c r="B333" s="52"/>
      <c r="C333" s="34" t="s">
        <v>458</v>
      </c>
      <c r="D333" t="s">
        <v>279</v>
      </c>
      <c r="E333"/>
      <c r="F333"/>
      <c r="G333" s="48"/>
      <c r="H333" s="3"/>
      <c r="I333"/>
    </row>
    <row r="334" spans="1:9" s="15" customFormat="1" hidden="1">
      <c r="A334" s="52"/>
      <c r="B334" s="52"/>
      <c r="C334" s="34" t="s">
        <v>459</v>
      </c>
      <c r="D334" t="s">
        <v>279</v>
      </c>
      <c r="E334"/>
      <c r="F334"/>
      <c r="G334" s="48"/>
      <c r="H334" s="3"/>
      <c r="I334"/>
    </row>
    <row r="335" spans="1:9" s="15" customFormat="1" hidden="1">
      <c r="A335" s="52"/>
      <c r="B335" s="52"/>
      <c r="C335" s="34" t="s">
        <v>460</v>
      </c>
      <c r="D335" t="s">
        <v>279</v>
      </c>
      <c r="E335"/>
      <c r="F335"/>
      <c r="G335" s="48"/>
      <c r="H335" s="3"/>
      <c r="I335"/>
    </row>
    <row r="336" spans="1:9" s="15" customFormat="1" hidden="1">
      <c r="A336" s="52"/>
      <c r="B336" s="52"/>
      <c r="C336" s="34" t="s">
        <v>461</v>
      </c>
      <c r="D336" t="s">
        <v>279</v>
      </c>
      <c r="E336"/>
      <c r="F336"/>
      <c r="G336" s="48"/>
      <c r="H336" s="3"/>
      <c r="I336"/>
    </row>
    <row r="337" spans="1:9" s="15" customFormat="1" hidden="1">
      <c r="A337" s="52"/>
      <c r="B337" s="52"/>
      <c r="C337" s="34" t="s">
        <v>462</v>
      </c>
      <c r="D337" t="s">
        <v>279</v>
      </c>
      <c r="E337"/>
      <c r="F337"/>
      <c r="G337" s="48"/>
      <c r="H337" s="3"/>
      <c r="I337"/>
    </row>
    <row r="338" spans="1:9" s="15" customFormat="1" hidden="1">
      <c r="A338" s="52"/>
      <c r="B338" s="52"/>
      <c r="C338" s="34" t="s">
        <v>463</v>
      </c>
      <c r="D338" t="s">
        <v>279</v>
      </c>
      <c r="E338"/>
      <c r="F338"/>
      <c r="G338" s="48"/>
      <c r="H338" s="3"/>
      <c r="I338"/>
    </row>
    <row r="339" spans="1:9" s="15" customFormat="1" hidden="1">
      <c r="A339" s="52"/>
      <c r="B339" s="52"/>
      <c r="C339" s="34" t="s">
        <v>464</v>
      </c>
      <c r="D339" t="s">
        <v>279</v>
      </c>
      <c r="E339"/>
      <c r="F339"/>
      <c r="G339" s="48"/>
      <c r="H339" s="3"/>
      <c r="I339"/>
    </row>
    <row r="340" spans="1:9" s="15" customFormat="1" hidden="1">
      <c r="A340" s="52"/>
      <c r="B340" s="52"/>
      <c r="C340" s="34" t="s">
        <v>465</v>
      </c>
      <c r="D340" t="s">
        <v>279</v>
      </c>
      <c r="E340"/>
      <c r="F340"/>
      <c r="G340" s="48"/>
      <c r="H340" s="3"/>
      <c r="I340"/>
    </row>
    <row r="341" spans="1:9" s="15" customFormat="1" hidden="1">
      <c r="A341" s="52"/>
      <c r="B341" s="52"/>
      <c r="C341" s="34" t="s">
        <v>466</v>
      </c>
      <c r="D341" t="s">
        <v>279</v>
      </c>
      <c r="E341"/>
      <c r="F341"/>
      <c r="G341" s="48"/>
      <c r="H341" s="3"/>
      <c r="I341"/>
    </row>
    <row r="342" spans="1:9" s="15" customFormat="1" hidden="1">
      <c r="A342" s="52"/>
      <c r="B342" s="52"/>
      <c r="C342" s="34" t="s">
        <v>467</v>
      </c>
      <c r="D342" t="s">
        <v>279</v>
      </c>
      <c r="E342"/>
      <c r="F342"/>
      <c r="G342" s="48"/>
      <c r="H342" s="3"/>
      <c r="I342"/>
    </row>
    <row r="343" spans="1:9" s="15" customFormat="1" hidden="1">
      <c r="A343" s="52"/>
      <c r="B343" s="52"/>
      <c r="C343" s="34" t="s">
        <v>468</v>
      </c>
      <c r="D343" t="s">
        <v>279</v>
      </c>
      <c r="E343"/>
      <c r="F343"/>
      <c r="G343" s="48"/>
      <c r="H343" s="3"/>
      <c r="I343"/>
    </row>
    <row r="344" spans="1:9" s="15" customFormat="1" hidden="1">
      <c r="A344" s="52"/>
      <c r="B344" s="52"/>
      <c r="C344" s="34" t="s">
        <v>469</v>
      </c>
      <c r="D344" t="s">
        <v>279</v>
      </c>
      <c r="E344"/>
      <c r="F344"/>
      <c r="G344" s="48"/>
      <c r="H344" s="3"/>
      <c r="I344"/>
    </row>
    <row r="345" spans="1:9" hidden="1">
      <c r="A345" s="52"/>
      <c r="B345" s="52"/>
      <c r="C345" s="34" t="s">
        <v>470</v>
      </c>
      <c r="D345" t="s">
        <v>279</v>
      </c>
      <c r="F345"/>
      <c r="H345" s="3"/>
      <c r="I345"/>
    </row>
    <row r="346" spans="1:9" hidden="1">
      <c r="A346" s="52"/>
      <c r="B346" s="52"/>
      <c r="C346" s="34" t="s">
        <v>471</v>
      </c>
      <c r="D346" t="s">
        <v>279</v>
      </c>
      <c r="F346"/>
      <c r="H346" s="3"/>
      <c r="I346"/>
    </row>
    <row r="347" spans="1:9" hidden="1">
      <c r="A347" s="52"/>
      <c r="B347" s="52"/>
      <c r="C347" s="34" t="s">
        <v>472</v>
      </c>
      <c r="D347" t="s">
        <v>279</v>
      </c>
      <c r="F347"/>
      <c r="H347" s="3"/>
      <c r="I347"/>
    </row>
    <row r="348" spans="1:9" hidden="1">
      <c r="A348" s="52"/>
      <c r="B348" s="52"/>
      <c r="C348" s="34" t="s">
        <v>473</v>
      </c>
      <c r="D348" t="s">
        <v>279</v>
      </c>
      <c r="F348"/>
      <c r="H348" s="3"/>
      <c r="I348"/>
    </row>
    <row r="349" spans="1:9" hidden="1">
      <c r="A349" s="52"/>
      <c r="B349" s="52"/>
      <c r="C349" s="34" t="s">
        <v>474</v>
      </c>
      <c r="D349" t="s">
        <v>279</v>
      </c>
      <c r="F349"/>
      <c r="H349" s="3"/>
      <c r="I349"/>
    </row>
    <row r="350" spans="1:9" hidden="1">
      <c r="A350" s="52"/>
      <c r="B350" s="52"/>
      <c r="C350" s="34" t="s">
        <v>475</v>
      </c>
      <c r="D350" t="s">
        <v>279</v>
      </c>
      <c r="F350"/>
      <c r="H350" s="3"/>
      <c r="I350"/>
    </row>
    <row r="351" spans="1:9" hidden="1">
      <c r="A351" s="52"/>
      <c r="B351" s="52"/>
      <c r="C351" s="34" t="s">
        <v>476</v>
      </c>
      <c r="D351" t="s">
        <v>279</v>
      </c>
      <c r="F351"/>
      <c r="H351" s="3"/>
      <c r="I351"/>
    </row>
    <row r="352" spans="1:9" hidden="1">
      <c r="A352" s="52"/>
      <c r="B352" s="52"/>
      <c r="C352" s="34" t="s">
        <v>477</v>
      </c>
      <c r="D352" t="s">
        <v>279</v>
      </c>
      <c r="F352"/>
      <c r="H352" s="3"/>
      <c r="I352"/>
    </row>
    <row r="353" spans="1:13" hidden="1">
      <c r="A353" s="52"/>
      <c r="B353" s="52"/>
      <c r="C353" s="34" t="s">
        <v>478</v>
      </c>
      <c r="D353" t="s">
        <v>279</v>
      </c>
      <c r="F353"/>
      <c r="H353" s="3"/>
      <c r="I353"/>
    </row>
    <row r="354" spans="1:13" hidden="1">
      <c r="A354" s="52"/>
      <c r="B354" s="52"/>
      <c r="C354" s="34" t="s">
        <v>479</v>
      </c>
      <c r="D354" t="s">
        <v>279</v>
      </c>
      <c r="F354"/>
      <c r="H354" s="3"/>
      <c r="I354"/>
    </row>
    <row r="355" spans="1:13" hidden="1">
      <c r="A355" s="52"/>
      <c r="B355" s="52"/>
      <c r="C355" s="34" t="s">
        <v>480</v>
      </c>
      <c r="D355" t="s">
        <v>279</v>
      </c>
      <c r="F355"/>
      <c r="H355" s="3"/>
      <c r="I355"/>
    </row>
    <row r="356" spans="1:13" hidden="1">
      <c r="A356" s="52"/>
      <c r="B356" s="52"/>
      <c r="C356" s="34" t="s">
        <v>481</v>
      </c>
      <c r="D356" t="s">
        <v>279</v>
      </c>
      <c r="F356"/>
      <c r="H356" s="3"/>
      <c r="I356"/>
    </row>
    <row r="357" spans="1:13" hidden="1">
      <c r="A357" s="52"/>
      <c r="B357" s="52"/>
      <c r="C357" s="34" t="s">
        <v>482</v>
      </c>
      <c r="D357" t="s">
        <v>279</v>
      </c>
      <c r="F357"/>
      <c r="H357" s="3"/>
      <c r="I357"/>
    </row>
    <row r="358" spans="1:13" hidden="1">
      <c r="A358" s="52"/>
      <c r="B358" s="52"/>
      <c r="C358" s="34" t="s">
        <v>483</v>
      </c>
      <c r="D358" t="s">
        <v>279</v>
      </c>
      <c r="F358"/>
      <c r="H358" s="3"/>
      <c r="I358"/>
    </row>
    <row r="359" spans="1:13" hidden="1">
      <c r="A359" s="106"/>
      <c r="B359" s="106"/>
      <c r="C359" s="120" t="s">
        <v>484</v>
      </c>
      <c r="D359" s="227" t="s">
        <v>176</v>
      </c>
      <c r="E359" s="227"/>
      <c r="F359" s="227">
        <v>1</v>
      </c>
      <c r="G359" s="252">
        <v>79.1875</v>
      </c>
      <c r="H359" s="254" t="s">
        <v>256</v>
      </c>
      <c r="I359" s="227" t="s">
        <v>178</v>
      </c>
      <c r="J359" s="108" t="s">
        <v>179</v>
      </c>
      <c r="K359" s="108" t="s">
        <v>180</v>
      </c>
      <c r="L359" s="108" t="s">
        <v>179</v>
      </c>
    </row>
    <row r="360" spans="1:13" hidden="1">
      <c r="A360" s="106"/>
      <c r="B360" s="106"/>
      <c r="C360" s="120" t="s">
        <v>485</v>
      </c>
      <c r="D360" s="227" t="s">
        <v>203</v>
      </c>
      <c r="E360" s="227"/>
      <c r="F360" s="227"/>
      <c r="G360" s="252"/>
      <c r="H360" s="254" t="s">
        <v>256</v>
      </c>
      <c r="I360" s="227" t="s">
        <v>178</v>
      </c>
      <c r="J360" s="108"/>
      <c r="K360" s="108" t="s">
        <v>180</v>
      </c>
      <c r="L360" s="108"/>
    </row>
    <row r="361" spans="1:13" hidden="1">
      <c r="A361" s="106"/>
      <c r="B361" s="106"/>
      <c r="C361" s="120" t="s">
        <v>486</v>
      </c>
      <c r="D361" s="227" t="s">
        <v>176</v>
      </c>
      <c r="E361" s="227"/>
      <c r="F361" s="227">
        <v>1</v>
      </c>
      <c r="G361" s="252">
        <v>78.494699999999995</v>
      </c>
      <c r="H361" s="254">
        <v>0.85</v>
      </c>
      <c r="I361" s="227" t="s">
        <v>256</v>
      </c>
      <c r="J361" s="108" t="s">
        <v>179</v>
      </c>
      <c r="K361" s="108" t="s">
        <v>180</v>
      </c>
      <c r="L361" s="108" t="s">
        <v>179</v>
      </c>
    </row>
    <row r="362" spans="1:13" hidden="1">
      <c r="A362" s="106"/>
      <c r="B362" s="106"/>
      <c r="C362" s="120" t="s">
        <v>487</v>
      </c>
      <c r="D362" s="227" t="s">
        <v>203</v>
      </c>
      <c r="E362" s="227"/>
      <c r="F362" s="227"/>
      <c r="G362" s="252"/>
      <c r="H362" s="254">
        <v>0.85</v>
      </c>
      <c r="I362" s="227" t="s">
        <v>256</v>
      </c>
      <c r="J362" s="108"/>
      <c r="K362" s="108" t="s">
        <v>180</v>
      </c>
      <c r="L362" s="108"/>
    </row>
    <row r="363" spans="1:13" hidden="1">
      <c r="A363" s="106"/>
      <c r="B363" s="106"/>
      <c r="C363" s="120" t="s">
        <v>488</v>
      </c>
      <c r="D363" s="227" t="s">
        <v>193</v>
      </c>
      <c r="E363" s="227"/>
      <c r="F363" s="227">
        <v>1</v>
      </c>
      <c r="G363" s="252">
        <v>159.625</v>
      </c>
      <c r="H363" s="254">
        <v>0</v>
      </c>
      <c r="I363" s="227" t="s">
        <v>256</v>
      </c>
      <c r="J363" s="108"/>
      <c r="K363" s="108" t="s">
        <v>180</v>
      </c>
      <c r="L363" s="108"/>
    </row>
    <row r="364" spans="1:13" s="41" customFormat="1" hidden="1">
      <c r="A364" s="109"/>
      <c r="B364" s="109"/>
      <c r="C364" s="121" t="s">
        <v>1020</v>
      </c>
      <c r="D364" s="111"/>
      <c r="E364" s="111"/>
      <c r="F364" s="122"/>
      <c r="G364" s="112"/>
      <c r="H364" s="126"/>
      <c r="I364" s="111"/>
      <c r="J364" s="113"/>
      <c r="K364" s="113"/>
      <c r="L364" s="113"/>
    </row>
    <row r="366" spans="1:13">
      <c r="A366" s="268" t="s">
        <v>18</v>
      </c>
      <c r="B366" s="268" t="s">
        <v>19</v>
      </c>
      <c r="C366" s="106" t="s">
        <v>1021</v>
      </c>
      <c r="D366" s="106" t="s">
        <v>286</v>
      </c>
      <c r="E366" s="106"/>
      <c r="F366" s="106"/>
      <c r="G366" s="106"/>
      <c r="H366" s="267" t="s">
        <v>1022</v>
      </c>
      <c r="I366" s="106" t="s">
        <v>269</v>
      </c>
      <c r="J366" s="106"/>
      <c r="K366" s="106" t="s">
        <v>180</v>
      </c>
      <c r="L366" s="106"/>
      <c r="M366" s="106" t="s">
        <v>1023</v>
      </c>
    </row>
    <row r="367" spans="1:13">
      <c r="A367" s="106"/>
      <c r="B367" s="106"/>
      <c r="C367" s="106" t="s">
        <v>1024</v>
      </c>
      <c r="D367" s="106" t="s">
        <v>176</v>
      </c>
      <c r="E367" s="106"/>
      <c r="F367" s="106"/>
      <c r="G367" s="106"/>
      <c r="H367" s="267" t="s">
        <v>1025</v>
      </c>
      <c r="I367" s="106" t="s">
        <v>269</v>
      </c>
      <c r="J367" s="106"/>
      <c r="K367" s="106" t="s">
        <v>180</v>
      </c>
      <c r="L367" s="106"/>
      <c r="M367" s="106" t="s">
        <v>1023</v>
      </c>
    </row>
    <row r="368" spans="1:13">
      <c r="A368" s="106"/>
      <c r="B368" s="106"/>
      <c r="C368" s="106" t="s">
        <v>1026</v>
      </c>
      <c r="D368" s="106" t="s">
        <v>286</v>
      </c>
      <c r="E368" s="106"/>
      <c r="F368" s="106"/>
      <c r="G368" s="106"/>
      <c r="H368" s="267" t="s">
        <v>1025</v>
      </c>
      <c r="I368" s="106" t="s">
        <v>269</v>
      </c>
      <c r="J368" s="106"/>
      <c r="K368" s="106" t="s">
        <v>180</v>
      </c>
      <c r="L368" s="106"/>
      <c r="M368" s="40" t="s">
        <v>1027</v>
      </c>
    </row>
    <row r="369" spans="1:13">
      <c r="A369" s="106"/>
      <c r="B369" s="106"/>
      <c r="C369" s="106" t="s">
        <v>1028</v>
      </c>
      <c r="D369" s="106" t="s">
        <v>286</v>
      </c>
      <c r="E369" s="106"/>
      <c r="F369" s="106"/>
      <c r="G369" s="106"/>
      <c r="H369" s="267" t="s">
        <v>1022</v>
      </c>
      <c r="I369" s="106" t="s">
        <v>185</v>
      </c>
      <c r="J369" s="106"/>
      <c r="K369" s="106" t="s">
        <v>180</v>
      </c>
      <c r="L369" s="106"/>
      <c r="M369" s="106" t="s">
        <v>1023</v>
      </c>
    </row>
    <row r="370" spans="1:13">
      <c r="A370" s="106"/>
      <c r="B370" s="106"/>
      <c r="C370" s="106" t="s">
        <v>1029</v>
      </c>
      <c r="D370" s="106" t="s">
        <v>176</v>
      </c>
      <c r="E370" s="106"/>
      <c r="F370" s="106"/>
      <c r="G370" s="106"/>
      <c r="H370" s="267" t="s">
        <v>1025</v>
      </c>
      <c r="I370" s="106" t="s">
        <v>185</v>
      </c>
      <c r="J370" s="106"/>
      <c r="K370" s="106" t="s">
        <v>180</v>
      </c>
      <c r="L370" s="106"/>
      <c r="M370" s="106" t="s">
        <v>1023</v>
      </c>
    </row>
    <row r="371" spans="1:13">
      <c r="A371" s="106"/>
      <c r="B371" s="106"/>
      <c r="C371" s="106" t="s">
        <v>773</v>
      </c>
      <c r="D371" s="106" t="s">
        <v>286</v>
      </c>
      <c r="E371" s="106"/>
      <c r="F371" s="106"/>
      <c r="G371" s="106"/>
      <c r="H371" s="267" t="s">
        <v>1025</v>
      </c>
      <c r="I371" s="106" t="s">
        <v>185</v>
      </c>
      <c r="J371" s="106"/>
      <c r="K371" s="106" t="s">
        <v>180</v>
      </c>
      <c r="L371" s="106"/>
      <c r="M371" s="40" t="s">
        <v>1027</v>
      </c>
    </row>
    <row r="373" spans="1:13">
      <c r="A373" s="151" t="s">
        <v>18</v>
      </c>
      <c r="B373" s="50" t="s">
        <v>20</v>
      </c>
      <c r="C373" s="13" t="s">
        <v>1030</v>
      </c>
      <c r="D373" s="40" t="s">
        <v>176</v>
      </c>
      <c r="E373" s="40"/>
      <c r="F373" s="40">
        <v>1</v>
      </c>
      <c r="G373" s="68">
        <v>73.101399999999998</v>
      </c>
      <c r="H373" s="74" t="s">
        <v>1031</v>
      </c>
      <c r="I373" s="40" t="s">
        <v>178</v>
      </c>
      <c r="J373" s="69" t="s">
        <v>179</v>
      </c>
      <c r="K373" s="69" t="s">
        <v>180</v>
      </c>
      <c r="L373" s="163" t="s">
        <v>179</v>
      </c>
      <c r="M373" t="s">
        <v>888</v>
      </c>
    </row>
    <row r="374" spans="1:13">
      <c r="A374" s="52"/>
      <c r="B374" s="52"/>
      <c r="C374" s="34" t="s">
        <v>1032</v>
      </c>
      <c r="D374" t="s">
        <v>203</v>
      </c>
      <c r="F374"/>
      <c r="H374" s="3" t="s">
        <v>1031</v>
      </c>
      <c r="I374" t="s">
        <v>178</v>
      </c>
      <c r="K374" s="15" t="s">
        <v>180</v>
      </c>
      <c r="L374" s="164"/>
      <c r="M374" s="40" t="s">
        <v>888</v>
      </c>
    </row>
    <row r="375" spans="1:13">
      <c r="A375" s="52"/>
      <c r="B375" s="52"/>
      <c r="C375" s="34" t="s">
        <v>1033</v>
      </c>
      <c r="D375" t="s">
        <v>176</v>
      </c>
      <c r="F375">
        <v>1</v>
      </c>
      <c r="G375" s="48">
        <v>71.224900000000005</v>
      </c>
      <c r="H375" s="3" t="s">
        <v>1034</v>
      </c>
      <c r="I375" t="s">
        <v>269</v>
      </c>
      <c r="J375" s="15" t="s">
        <v>179</v>
      </c>
      <c r="K375" s="15" t="s">
        <v>180</v>
      </c>
      <c r="L375" s="164" t="s">
        <v>179</v>
      </c>
      <c r="M375" s="40" t="s">
        <v>888</v>
      </c>
    </row>
    <row r="376" spans="1:13">
      <c r="A376" s="52"/>
      <c r="B376" s="52"/>
      <c r="C376" s="34" t="s">
        <v>1035</v>
      </c>
      <c r="D376" t="s">
        <v>203</v>
      </c>
      <c r="F376"/>
      <c r="H376" s="3" t="s">
        <v>1034</v>
      </c>
      <c r="I376" t="s">
        <v>269</v>
      </c>
      <c r="K376" s="15" t="s">
        <v>180</v>
      </c>
      <c r="L376" s="164"/>
      <c r="M376" s="40" t="s">
        <v>888</v>
      </c>
    </row>
    <row r="377" spans="1:13">
      <c r="A377" s="52"/>
      <c r="B377" s="52"/>
      <c r="C377" s="34" t="s">
        <v>1036</v>
      </c>
      <c r="D377" t="s">
        <v>176</v>
      </c>
      <c r="F377">
        <v>1</v>
      </c>
      <c r="G377" s="48">
        <v>72.438599999999994</v>
      </c>
      <c r="H377" s="3" t="s">
        <v>1037</v>
      </c>
      <c r="I377" t="s">
        <v>394</v>
      </c>
      <c r="J377" s="15" t="s">
        <v>179</v>
      </c>
      <c r="K377" s="15" t="s">
        <v>180</v>
      </c>
      <c r="L377" s="164" t="s">
        <v>179</v>
      </c>
      <c r="M377" s="40" t="s">
        <v>888</v>
      </c>
    </row>
    <row r="378" spans="1:13">
      <c r="A378" s="52"/>
      <c r="B378" s="52"/>
      <c r="C378" s="34" t="s">
        <v>1038</v>
      </c>
      <c r="D378" t="s">
        <v>203</v>
      </c>
      <c r="F378"/>
      <c r="H378" s="3" t="s">
        <v>1037</v>
      </c>
      <c r="I378" t="s">
        <v>394</v>
      </c>
      <c r="K378" s="15" t="s">
        <v>180</v>
      </c>
      <c r="L378" s="164"/>
      <c r="M378" s="40" t="s">
        <v>888</v>
      </c>
    </row>
    <row r="379" spans="1:13">
      <c r="A379" s="52"/>
      <c r="B379" s="52"/>
      <c r="C379" s="34" t="s">
        <v>1039</v>
      </c>
      <c r="D379" t="s">
        <v>279</v>
      </c>
      <c r="F379"/>
      <c r="H379" s="3"/>
      <c r="I379"/>
      <c r="L379" s="164"/>
      <c r="M379" t="s">
        <v>888</v>
      </c>
    </row>
    <row r="380" spans="1:13">
      <c r="A380" s="52"/>
      <c r="B380" s="52"/>
      <c r="C380" s="34" t="s">
        <v>1040</v>
      </c>
      <c r="D380" t="s">
        <v>176</v>
      </c>
      <c r="F380">
        <v>1</v>
      </c>
      <c r="G380" s="48">
        <v>71.872900000000001</v>
      </c>
      <c r="H380" s="3" t="s">
        <v>1037</v>
      </c>
      <c r="I380" t="s">
        <v>269</v>
      </c>
      <c r="J380" s="15" t="s">
        <v>179</v>
      </c>
      <c r="K380" s="15" t="s">
        <v>180</v>
      </c>
      <c r="L380" s="164" t="s">
        <v>179</v>
      </c>
      <c r="M380" s="40" t="s">
        <v>888</v>
      </c>
    </row>
    <row r="381" spans="1:13">
      <c r="A381" s="52"/>
      <c r="B381" s="52"/>
      <c r="C381" s="34" t="s">
        <v>1041</v>
      </c>
      <c r="D381" t="s">
        <v>203</v>
      </c>
      <c r="F381"/>
      <c r="H381" s="3" t="s">
        <v>1037</v>
      </c>
      <c r="I381" t="s">
        <v>269</v>
      </c>
      <c r="K381" s="15" t="s">
        <v>180</v>
      </c>
      <c r="L381" s="164"/>
      <c r="M381" s="40" t="s">
        <v>888</v>
      </c>
    </row>
    <row r="382" spans="1:13">
      <c r="A382" s="52"/>
      <c r="B382" s="52"/>
      <c r="C382" s="34" t="s">
        <v>1042</v>
      </c>
      <c r="D382" t="s">
        <v>279</v>
      </c>
      <c r="F382"/>
      <c r="H382" s="3"/>
      <c r="I382"/>
      <c r="L382" s="164"/>
      <c r="M382" s="40" t="s">
        <v>1043</v>
      </c>
    </row>
    <row r="383" spans="1:13">
      <c r="A383" s="51"/>
      <c r="B383" s="51"/>
      <c r="C383" s="266" t="s">
        <v>1026</v>
      </c>
      <c r="D383" s="41" t="s">
        <v>286</v>
      </c>
      <c r="E383" s="41"/>
      <c r="F383" s="41"/>
      <c r="G383" s="71"/>
      <c r="H383" s="77" t="s">
        <v>1025</v>
      </c>
      <c r="I383" s="41" t="s">
        <v>269</v>
      </c>
      <c r="J383" s="72"/>
      <c r="K383" s="72" t="s">
        <v>180</v>
      </c>
      <c r="L383" s="167"/>
      <c r="M383" s="15" t="s">
        <v>1044</v>
      </c>
    </row>
    <row r="385" spans="1:13">
      <c r="A385" s="151" t="s">
        <v>18</v>
      </c>
      <c r="B385" s="50" t="s">
        <v>21</v>
      </c>
      <c r="C385" s="13" t="s">
        <v>1045</v>
      </c>
      <c r="D385" s="40" t="s">
        <v>176</v>
      </c>
      <c r="E385" s="40"/>
      <c r="F385" s="40">
        <v>1</v>
      </c>
      <c r="G385" s="68">
        <v>73.101399999999998</v>
      </c>
      <c r="H385" s="74" t="s">
        <v>1046</v>
      </c>
      <c r="I385" s="40" t="s">
        <v>178</v>
      </c>
      <c r="J385" s="69" t="s">
        <v>179</v>
      </c>
      <c r="K385" s="69" t="s">
        <v>180</v>
      </c>
      <c r="L385" s="163" t="s">
        <v>179</v>
      </c>
    </row>
    <row r="386" spans="1:13">
      <c r="A386" s="52"/>
      <c r="B386" s="52"/>
      <c r="C386" s="34" t="s">
        <v>1047</v>
      </c>
      <c r="D386" t="s">
        <v>203</v>
      </c>
      <c r="F386"/>
      <c r="H386" s="3" t="s">
        <v>1046</v>
      </c>
      <c r="I386" t="s">
        <v>178</v>
      </c>
      <c r="K386" s="15" t="s">
        <v>180</v>
      </c>
      <c r="L386" s="164"/>
    </row>
    <row r="387" spans="1:13">
      <c r="A387" s="52"/>
      <c r="B387" s="52"/>
      <c r="C387" s="34" t="s">
        <v>1048</v>
      </c>
      <c r="D387" t="s">
        <v>203</v>
      </c>
      <c r="F387"/>
      <c r="H387" s="3" t="s">
        <v>1046</v>
      </c>
      <c r="I387" t="s">
        <v>178</v>
      </c>
      <c r="K387" s="15" t="s">
        <v>180</v>
      </c>
      <c r="L387" s="164"/>
    </row>
    <row r="388" spans="1:13">
      <c r="A388" s="52"/>
      <c r="B388" s="52"/>
      <c r="C388" s="34" t="s">
        <v>1049</v>
      </c>
      <c r="D388" t="s">
        <v>176</v>
      </c>
      <c r="F388">
        <v>1</v>
      </c>
      <c r="G388" s="48">
        <v>71.224900000000005</v>
      </c>
      <c r="H388" s="3" t="s">
        <v>1050</v>
      </c>
      <c r="I388" t="s">
        <v>185</v>
      </c>
      <c r="J388" s="15" t="s">
        <v>179</v>
      </c>
      <c r="K388" s="15" t="s">
        <v>180</v>
      </c>
      <c r="L388" s="164" t="s">
        <v>179</v>
      </c>
    </row>
    <row r="389" spans="1:13">
      <c r="A389" s="52"/>
      <c r="B389" s="52"/>
      <c r="C389" s="34" t="s">
        <v>1051</v>
      </c>
      <c r="D389" t="s">
        <v>203</v>
      </c>
      <c r="F389"/>
      <c r="H389" s="3" t="s">
        <v>1050</v>
      </c>
      <c r="I389" t="s">
        <v>185</v>
      </c>
      <c r="K389" s="15" t="s">
        <v>180</v>
      </c>
      <c r="L389" s="164"/>
    </row>
    <row r="390" spans="1:13">
      <c r="A390" s="52"/>
      <c r="B390" s="52"/>
      <c r="C390" s="34" t="s">
        <v>776</v>
      </c>
      <c r="D390" t="s">
        <v>203</v>
      </c>
      <c r="F390"/>
      <c r="H390" s="3" t="s">
        <v>1050</v>
      </c>
      <c r="I390" t="s">
        <v>185</v>
      </c>
      <c r="K390" s="15" t="s">
        <v>180</v>
      </c>
      <c r="L390" s="164"/>
    </row>
    <row r="391" spans="1:13">
      <c r="A391" s="52"/>
      <c r="B391" s="52"/>
      <c r="C391" s="34" t="s">
        <v>1052</v>
      </c>
      <c r="D391" t="s">
        <v>176</v>
      </c>
      <c r="F391">
        <v>1</v>
      </c>
      <c r="G391" s="48">
        <v>72.438599999999994</v>
      </c>
      <c r="H391" s="3" t="s">
        <v>1053</v>
      </c>
      <c r="I391" t="s">
        <v>267</v>
      </c>
      <c r="J391" s="15" t="s">
        <v>179</v>
      </c>
      <c r="K391" s="15" t="s">
        <v>180</v>
      </c>
      <c r="L391" s="164" t="s">
        <v>179</v>
      </c>
    </row>
    <row r="392" spans="1:13">
      <c r="A392" s="52"/>
      <c r="B392" s="52"/>
      <c r="C392" s="34" t="s">
        <v>1054</v>
      </c>
      <c r="D392" t="s">
        <v>203</v>
      </c>
      <c r="F392"/>
      <c r="H392" s="3" t="s">
        <v>1053</v>
      </c>
      <c r="I392" t="s">
        <v>267</v>
      </c>
      <c r="K392" s="15" t="s">
        <v>180</v>
      </c>
      <c r="L392" s="164"/>
    </row>
    <row r="393" spans="1:13">
      <c r="A393" s="52"/>
      <c r="B393" s="52"/>
      <c r="C393" s="34" t="s">
        <v>779</v>
      </c>
      <c r="D393" t="s">
        <v>203</v>
      </c>
      <c r="F393"/>
      <c r="H393" s="3" t="s">
        <v>1053</v>
      </c>
      <c r="I393" t="s">
        <v>267</v>
      </c>
      <c r="K393" s="15" t="s">
        <v>180</v>
      </c>
      <c r="L393" s="164"/>
    </row>
    <row r="394" spans="1:13">
      <c r="A394" s="52"/>
      <c r="B394" s="52"/>
      <c r="C394" s="34" t="s">
        <v>1055</v>
      </c>
      <c r="D394" t="s">
        <v>279</v>
      </c>
      <c r="F394"/>
      <c r="H394" s="3"/>
      <c r="I394"/>
      <c r="L394" s="164"/>
    </row>
    <row r="395" spans="1:13">
      <c r="A395" s="52"/>
      <c r="B395" s="52"/>
      <c r="C395" s="34" t="s">
        <v>1056</v>
      </c>
      <c r="D395" t="s">
        <v>176</v>
      </c>
      <c r="F395">
        <v>1</v>
      </c>
      <c r="G395" s="48">
        <v>71.872900000000001</v>
      </c>
      <c r="H395" s="3" t="s">
        <v>1053</v>
      </c>
      <c r="I395" t="s">
        <v>185</v>
      </c>
      <c r="J395" s="15" t="s">
        <v>179</v>
      </c>
      <c r="K395" s="15" t="s">
        <v>180</v>
      </c>
      <c r="L395" s="164" t="s">
        <v>179</v>
      </c>
    </row>
    <row r="396" spans="1:13">
      <c r="A396" s="52"/>
      <c r="B396" s="52"/>
      <c r="C396" s="34" t="s">
        <v>1057</v>
      </c>
      <c r="D396" t="s">
        <v>203</v>
      </c>
      <c r="F396"/>
      <c r="H396" s="3" t="s">
        <v>1053</v>
      </c>
      <c r="I396" t="s">
        <v>185</v>
      </c>
      <c r="K396" s="15" t="s">
        <v>180</v>
      </c>
      <c r="L396" s="164"/>
    </row>
    <row r="397" spans="1:13">
      <c r="A397" s="52"/>
      <c r="B397" s="52"/>
      <c r="C397" s="34" t="s">
        <v>1058</v>
      </c>
      <c r="D397" t="s">
        <v>203</v>
      </c>
      <c r="F397"/>
      <c r="H397" s="3" t="s">
        <v>1053</v>
      </c>
      <c r="I397" t="s">
        <v>185</v>
      </c>
      <c r="K397" s="15" t="s">
        <v>180</v>
      </c>
      <c r="L397" s="164"/>
    </row>
    <row r="398" spans="1:13">
      <c r="A398" s="52"/>
      <c r="B398" s="52"/>
      <c r="C398" s="34" t="s">
        <v>1059</v>
      </c>
      <c r="D398" t="s">
        <v>279</v>
      </c>
      <c r="F398"/>
      <c r="H398" s="3"/>
      <c r="I398"/>
      <c r="L398" s="164"/>
      <c r="M398" s="40" t="s">
        <v>1043</v>
      </c>
    </row>
    <row r="399" spans="1:13">
      <c r="A399" s="51"/>
      <c r="B399" s="51"/>
      <c r="C399" s="266" t="s">
        <v>773</v>
      </c>
      <c r="D399" s="41" t="s">
        <v>286</v>
      </c>
      <c r="E399" s="41"/>
      <c r="F399" s="41"/>
      <c r="G399" s="71"/>
      <c r="H399" s="77" t="s">
        <v>1025</v>
      </c>
      <c r="I399" s="41" t="s">
        <v>185</v>
      </c>
      <c r="J399" s="72"/>
      <c r="K399" s="72" t="s">
        <v>180</v>
      </c>
      <c r="L399" s="167"/>
      <c r="M399" s="15" t="s">
        <v>1044</v>
      </c>
    </row>
    <row r="401" spans="1:13">
      <c r="A401" s="151" t="s">
        <v>18</v>
      </c>
      <c r="B401" s="50" t="s">
        <v>22</v>
      </c>
      <c r="C401" s="13" t="s">
        <v>1060</v>
      </c>
      <c r="D401" s="40" t="s">
        <v>176</v>
      </c>
      <c r="E401" s="40"/>
      <c r="F401" s="40">
        <v>1</v>
      </c>
      <c r="G401" s="68">
        <v>73.277100000000004</v>
      </c>
      <c r="H401" s="74" t="s">
        <v>1061</v>
      </c>
      <c r="I401" s="40" t="s">
        <v>178</v>
      </c>
      <c r="J401" s="69" t="s">
        <v>179</v>
      </c>
      <c r="K401" s="69" t="s">
        <v>180</v>
      </c>
      <c r="L401" s="69" t="s">
        <v>179</v>
      </c>
    </row>
    <row r="402" spans="1:13">
      <c r="A402" s="39"/>
      <c r="B402" s="52"/>
      <c r="C402" s="34" t="s">
        <v>1062</v>
      </c>
      <c r="D402" t="s">
        <v>203</v>
      </c>
      <c r="F402"/>
      <c r="H402" s="3" t="s">
        <v>1061</v>
      </c>
      <c r="I402" t="s">
        <v>178</v>
      </c>
      <c r="K402" s="15" t="s">
        <v>180</v>
      </c>
      <c r="M402" t="s">
        <v>1063</v>
      </c>
    </row>
    <row r="403" spans="1:13">
      <c r="A403" s="39"/>
      <c r="B403" s="52"/>
      <c r="C403" s="34" t="s">
        <v>1064</v>
      </c>
      <c r="D403" t="s">
        <v>203</v>
      </c>
      <c r="F403"/>
      <c r="H403" s="3" t="s">
        <v>1061</v>
      </c>
      <c r="I403" t="s">
        <v>178</v>
      </c>
      <c r="K403" s="15" t="s">
        <v>180</v>
      </c>
      <c r="M403" t="s">
        <v>1063</v>
      </c>
    </row>
    <row r="404" spans="1:13">
      <c r="A404" s="39"/>
      <c r="B404" s="52"/>
      <c r="C404" s="34" t="s">
        <v>1065</v>
      </c>
      <c r="D404" t="s">
        <v>176</v>
      </c>
      <c r="F404">
        <v>1</v>
      </c>
      <c r="G404" s="48">
        <v>71.831599999999995</v>
      </c>
      <c r="H404" s="3" t="s">
        <v>1053</v>
      </c>
      <c r="I404" t="s">
        <v>187</v>
      </c>
      <c r="J404" s="15" t="s">
        <v>179</v>
      </c>
      <c r="K404" s="15" t="s">
        <v>180</v>
      </c>
      <c r="L404" s="15" t="s">
        <v>179</v>
      </c>
    </row>
    <row r="405" spans="1:13">
      <c r="A405" s="39"/>
      <c r="B405" s="52"/>
      <c r="C405" s="34" t="s">
        <v>1066</v>
      </c>
      <c r="D405" t="s">
        <v>203</v>
      </c>
      <c r="F405"/>
      <c r="H405" s="3" t="s">
        <v>1053</v>
      </c>
      <c r="I405" t="s">
        <v>187</v>
      </c>
      <c r="K405" s="15" t="s">
        <v>180</v>
      </c>
    </row>
    <row r="406" spans="1:13">
      <c r="A406" s="39"/>
      <c r="B406" s="52"/>
      <c r="C406" s="34" t="s">
        <v>1067</v>
      </c>
      <c r="D406" t="s">
        <v>203</v>
      </c>
      <c r="F406"/>
      <c r="H406" s="3" t="s">
        <v>1053</v>
      </c>
      <c r="I406" t="s">
        <v>187</v>
      </c>
      <c r="K406" s="15" t="s">
        <v>180</v>
      </c>
    </row>
    <row r="407" spans="1:13">
      <c r="A407" s="39"/>
      <c r="B407" s="52"/>
      <c r="C407" s="34" t="s">
        <v>1068</v>
      </c>
      <c r="D407" t="s">
        <v>176</v>
      </c>
      <c r="F407">
        <v>1</v>
      </c>
      <c r="G407" s="48">
        <v>71.896799999999999</v>
      </c>
      <c r="H407" s="3" t="s">
        <v>1069</v>
      </c>
      <c r="I407" t="s">
        <v>185</v>
      </c>
      <c r="J407" s="15" t="s">
        <v>179</v>
      </c>
      <c r="K407" s="15" t="s">
        <v>180</v>
      </c>
      <c r="L407" s="15" t="s">
        <v>179</v>
      </c>
    </row>
    <row r="408" spans="1:13">
      <c r="A408" s="39"/>
      <c r="B408" s="52"/>
      <c r="C408" s="34" t="s">
        <v>1070</v>
      </c>
      <c r="D408" t="s">
        <v>203</v>
      </c>
      <c r="F408"/>
      <c r="H408" s="3" t="s">
        <v>1069</v>
      </c>
      <c r="I408" t="s">
        <v>185</v>
      </c>
      <c r="K408" s="15" t="s">
        <v>180</v>
      </c>
    </row>
    <row r="409" spans="1:13">
      <c r="A409" s="39"/>
      <c r="B409" s="52"/>
      <c r="C409" s="34" t="s">
        <v>1071</v>
      </c>
      <c r="D409" t="s">
        <v>203</v>
      </c>
      <c r="F409"/>
      <c r="H409" s="3" t="s">
        <v>1069</v>
      </c>
      <c r="I409" t="s">
        <v>185</v>
      </c>
      <c r="K409" s="15" t="s">
        <v>180</v>
      </c>
    </row>
    <row r="410" spans="1:13">
      <c r="A410" s="39"/>
      <c r="B410" s="52"/>
      <c r="C410" s="34" t="s">
        <v>1072</v>
      </c>
      <c r="D410" t="s">
        <v>279</v>
      </c>
      <c r="F410"/>
      <c r="H410" s="3"/>
      <c r="I410"/>
    </row>
    <row r="411" spans="1:13">
      <c r="A411" s="39"/>
      <c r="B411" s="52"/>
      <c r="C411" s="34" t="s">
        <v>1073</v>
      </c>
      <c r="D411" t="s">
        <v>176</v>
      </c>
      <c r="F411">
        <v>1</v>
      </c>
      <c r="G411" s="48">
        <v>71.729200000000006</v>
      </c>
      <c r="H411" s="3" t="s">
        <v>1069</v>
      </c>
      <c r="I411" t="s">
        <v>187</v>
      </c>
      <c r="J411" s="15" t="s">
        <v>179</v>
      </c>
      <c r="K411" s="15" t="s">
        <v>180</v>
      </c>
      <c r="L411" s="15" t="s">
        <v>179</v>
      </c>
    </row>
    <row r="412" spans="1:13">
      <c r="A412" s="39"/>
      <c r="B412" s="52"/>
      <c r="C412" s="34" t="s">
        <v>1074</v>
      </c>
      <c r="D412" t="s">
        <v>203</v>
      </c>
      <c r="F412"/>
      <c r="H412" s="3" t="s">
        <v>1069</v>
      </c>
      <c r="I412" t="s">
        <v>187</v>
      </c>
      <c r="K412" s="15" t="s">
        <v>180</v>
      </c>
    </row>
    <row r="413" spans="1:13">
      <c r="A413" s="95"/>
      <c r="B413" s="51"/>
      <c r="C413" s="35" t="s">
        <v>1075</v>
      </c>
      <c r="D413" s="41" t="s">
        <v>203</v>
      </c>
      <c r="E413" s="41"/>
      <c r="F413" s="41"/>
      <c r="G413" s="71"/>
      <c r="H413" s="77" t="s">
        <v>1069</v>
      </c>
      <c r="I413" s="41" t="s">
        <v>187</v>
      </c>
      <c r="J413" s="72"/>
      <c r="K413" s="72" t="s">
        <v>180</v>
      </c>
      <c r="L413" s="72"/>
    </row>
    <row r="415" spans="1:13">
      <c r="A415" s="152" t="s">
        <v>23</v>
      </c>
      <c r="B415" s="114" t="s">
        <v>23</v>
      </c>
      <c r="C415" s="117" t="s">
        <v>175</v>
      </c>
      <c r="D415" s="116" t="s">
        <v>176</v>
      </c>
      <c r="E415" s="117"/>
      <c r="F415" s="116">
        <f>(1/0.05)+1</f>
        <v>21</v>
      </c>
      <c r="G415" s="118">
        <v>1547.91</v>
      </c>
      <c r="H415" s="119" t="s">
        <v>177</v>
      </c>
      <c r="I415" s="119" t="s">
        <v>178</v>
      </c>
      <c r="J415" s="119" t="s">
        <v>179</v>
      </c>
      <c r="K415" s="119" t="s">
        <v>180</v>
      </c>
      <c r="L415" s="119" t="s">
        <v>179</v>
      </c>
    </row>
    <row r="416" spans="1:13">
      <c r="A416" s="123"/>
      <c r="B416" s="106"/>
      <c r="C416" s="227" t="s">
        <v>181</v>
      </c>
      <c r="D416" s="258" t="s">
        <v>176</v>
      </c>
      <c r="E416" s="227"/>
      <c r="F416" s="258">
        <f>1/0.1+1</f>
        <v>11</v>
      </c>
      <c r="G416" s="252">
        <v>921.77099999999996</v>
      </c>
      <c r="H416" s="108" t="s">
        <v>182</v>
      </c>
      <c r="I416" s="108" t="s">
        <v>183</v>
      </c>
      <c r="J416" s="108" t="s">
        <v>179</v>
      </c>
      <c r="K416" s="108" t="s">
        <v>180</v>
      </c>
      <c r="L416" s="108" t="s">
        <v>179</v>
      </c>
    </row>
    <row r="417" spans="1:13">
      <c r="A417" s="123"/>
      <c r="B417" s="106"/>
      <c r="C417" s="227" t="s">
        <v>184</v>
      </c>
      <c r="D417" s="258" t="s">
        <v>176</v>
      </c>
      <c r="E417" s="227"/>
      <c r="F417" s="258"/>
      <c r="G417" s="252"/>
      <c r="H417" s="108" t="s">
        <v>182</v>
      </c>
      <c r="I417" s="108" t="s">
        <v>269</v>
      </c>
      <c r="J417" s="108" t="s">
        <v>179</v>
      </c>
      <c r="K417" s="108" t="s">
        <v>180</v>
      </c>
      <c r="L417" s="108" t="s">
        <v>179</v>
      </c>
      <c r="M417" s="15" t="s">
        <v>58</v>
      </c>
    </row>
    <row r="418" spans="1:13">
      <c r="A418" s="123"/>
      <c r="B418" s="106"/>
      <c r="C418" s="227" t="s">
        <v>186</v>
      </c>
      <c r="D418" s="258" t="s">
        <v>176</v>
      </c>
      <c r="E418" s="227"/>
      <c r="F418" s="258">
        <f>1/0.1+1</f>
        <v>11</v>
      </c>
      <c r="G418" s="252">
        <v>982.66600000000005</v>
      </c>
      <c r="H418" s="108" t="s">
        <v>182</v>
      </c>
      <c r="I418" s="108" t="s">
        <v>185</v>
      </c>
      <c r="J418" s="108" t="s">
        <v>179</v>
      </c>
      <c r="K418" s="108" t="s">
        <v>180</v>
      </c>
      <c r="L418" s="108" t="s">
        <v>179</v>
      </c>
    </row>
    <row r="419" spans="1:13">
      <c r="A419" s="125"/>
      <c r="B419" s="109"/>
      <c r="C419" s="111" t="s">
        <v>1076</v>
      </c>
      <c r="D419" s="122" t="s">
        <v>176</v>
      </c>
      <c r="E419" s="111"/>
      <c r="F419" s="122">
        <f>1/0.1+1</f>
        <v>11</v>
      </c>
      <c r="G419" s="112">
        <v>1086.02</v>
      </c>
      <c r="H419" s="113" t="s">
        <v>182</v>
      </c>
      <c r="I419" s="113" t="s">
        <v>187</v>
      </c>
      <c r="J419" s="113" t="s">
        <v>179</v>
      </c>
      <c r="K419" s="113" t="s">
        <v>180</v>
      </c>
      <c r="L419" s="113" t="s">
        <v>179</v>
      </c>
    </row>
    <row r="421" spans="1:13">
      <c r="A421" s="114" t="s">
        <v>9</v>
      </c>
      <c r="B421" s="114" t="s">
        <v>166</v>
      </c>
      <c r="C421" s="115" t="s">
        <v>201</v>
      </c>
      <c r="D421" s="116" t="s">
        <v>176</v>
      </c>
      <c r="E421" s="117"/>
      <c r="F421" s="116">
        <v>1</v>
      </c>
      <c r="G421" s="118">
        <v>103.48699999999999</v>
      </c>
      <c r="H421" s="119" t="s">
        <v>187</v>
      </c>
      <c r="I421" s="119" t="s">
        <v>180</v>
      </c>
      <c r="J421" s="119" t="s">
        <v>179</v>
      </c>
      <c r="K421" s="119" t="s">
        <v>180</v>
      </c>
      <c r="L421" s="119" t="s">
        <v>179</v>
      </c>
      <c r="M421" s="108" t="s">
        <v>1077</v>
      </c>
    </row>
    <row r="422" spans="1:13">
      <c r="A422" s="106"/>
      <c r="B422" s="106"/>
      <c r="C422" s="120" t="s">
        <v>202</v>
      </c>
      <c r="D422" s="258" t="s">
        <v>203</v>
      </c>
      <c r="E422" s="227"/>
      <c r="F422" s="258"/>
      <c r="G422" s="252"/>
      <c r="H422" s="108" t="s">
        <v>187</v>
      </c>
      <c r="I422" s="108" t="s">
        <v>180</v>
      </c>
      <c r="J422" s="108"/>
      <c r="K422" s="108" t="s">
        <v>180</v>
      </c>
      <c r="L422" s="108"/>
    </row>
    <row r="423" spans="1:13">
      <c r="A423" s="106"/>
      <c r="B423" s="106"/>
      <c r="C423" s="120" t="s">
        <v>204</v>
      </c>
      <c r="D423" s="258" t="s">
        <v>176</v>
      </c>
      <c r="E423" s="227"/>
      <c r="F423" s="258">
        <v>1</v>
      </c>
      <c r="G423" s="252">
        <v>92.689899999999994</v>
      </c>
      <c r="H423" s="108" t="s">
        <v>187</v>
      </c>
      <c r="I423" s="108" t="s">
        <v>205</v>
      </c>
      <c r="J423" s="108" t="s">
        <v>179</v>
      </c>
      <c r="K423" s="108" t="s">
        <v>180</v>
      </c>
      <c r="L423" s="108" t="s">
        <v>179</v>
      </c>
    </row>
    <row r="424" spans="1:13">
      <c r="A424" s="106"/>
      <c r="B424" s="106"/>
      <c r="C424" s="120" t="s">
        <v>206</v>
      </c>
      <c r="D424" s="258" t="s">
        <v>203</v>
      </c>
      <c r="E424" s="227"/>
      <c r="F424" s="258"/>
      <c r="G424" s="252"/>
      <c r="H424" s="108" t="s">
        <v>187</v>
      </c>
      <c r="I424" s="108" t="s">
        <v>205</v>
      </c>
      <c r="J424" s="108"/>
      <c r="K424" s="108" t="s">
        <v>180</v>
      </c>
      <c r="L424" s="108"/>
    </row>
    <row r="425" spans="1:13">
      <c r="A425" s="106"/>
      <c r="B425" s="106"/>
      <c r="C425" s="120" t="s">
        <v>207</v>
      </c>
      <c r="D425" s="258" t="s">
        <v>176</v>
      </c>
      <c r="E425" s="227"/>
      <c r="F425" s="258">
        <v>1</v>
      </c>
      <c r="G425" s="252">
        <v>98.132099999999994</v>
      </c>
      <c r="H425" s="108" t="s">
        <v>187</v>
      </c>
      <c r="I425" s="108" t="s">
        <v>183</v>
      </c>
      <c r="J425" s="108" t="s">
        <v>179</v>
      </c>
      <c r="K425" s="108" t="s">
        <v>180</v>
      </c>
      <c r="L425" s="108" t="s">
        <v>179</v>
      </c>
    </row>
    <row r="426" spans="1:13">
      <c r="A426" s="106"/>
      <c r="B426" s="106"/>
      <c r="C426" s="120" t="s">
        <v>208</v>
      </c>
      <c r="D426" s="258" t="s">
        <v>203</v>
      </c>
      <c r="E426" s="227"/>
      <c r="F426" s="258"/>
      <c r="G426" s="252"/>
      <c r="H426" s="108" t="s">
        <v>187</v>
      </c>
      <c r="I426" s="108" t="s">
        <v>183</v>
      </c>
      <c r="J426" s="108"/>
      <c r="K426" s="108" t="s">
        <v>180</v>
      </c>
      <c r="L426" s="108"/>
    </row>
    <row r="427" spans="1:13">
      <c r="A427" s="106"/>
      <c r="B427" s="106"/>
      <c r="C427" s="120" t="s">
        <v>209</v>
      </c>
      <c r="D427" s="258" t="s">
        <v>176</v>
      </c>
      <c r="E427" s="227"/>
      <c r="F427" s="258">
        <v>1</v>
      </c>
      <c r="G427" s="252">
        <v>100.773</v>
      </c>
      <c r="H427" s="108" t="s">
        <v>187</v>
      </c>
      <c r="I427" s="108" t="s">
        <v>210</v>
      </c>
      <c r="J427" s="108" t="s">
        <v>179</v>
      </c>
      <c r="K427" s="108" t="s">
        <v>180</v>
      </c>
      <c r="L427" s="108" t="s">
        <v>179</v>
      </c>
    </row>
    <row r="428" spans="1:13">
      <c r="A428" s="106"/>
      <c r="B428" s="106"/>
      <c r="C428" s="120" t="s">
        <v>211</v>
      </c>
      <c r="D428" s="258" t="s">
        <v>203</v>
      </c>
      <c r="E428" s="227"/>
      <c r="F428" s="258"/>
      <c r="G428" s="252"/>
      <c r="H428" s="108" t="s">
        <v>187</v>
      </c>
      <c r="I428" s="108" t="s">
        <v>210</v>
      </c>
      <c r="J428" s="108"/>
      <c r="K428" s="108" t="s">
        <v>180</v>
      </c>
      <c r="L428" s="108"/>
    </row>
    <row r="429" spans="1:13">
      <c r="A429" s="106"/>
      <c r="B429" s="106"/>
      <c r="C429" s="120" t="s">
        <v>212</v>
      </c>
      <c r="D429" s="258" t="s">
        <v>176</v>
      </c>
      <c r="E429" s="227"/>
      <c r="F429" s="258">
        <v>1</v>
      </c>
      <c r="G429" s="252">
        <v>75.372</v>
      </c>
      <c r="H429" s="108" t="s">
        <v>187</v>
      </c>
      <c r="I429" s="108" t="s">
        <v>178</v>
      </c>
      <c r="J429" s="108" t="s">
        <v>179</v>
      </c>
      <c r="K429" s="108" t="s">
        <v>180</v>
      </c>
      <c r="L429" s="108" t="s">
        <v>179</v>
      </c>
    </row>
    <row r="430" spans="1:13">
      <c r="A430" s="106"/>
      <c r="B430" s="106"/>
      <c r="C430" s="120" t="s">
        <v>213</v>
      </c>
      <c r="D430" s="258" t="s">
        <v>203</v>
      </c>
      <c r="E430" s="227"/>
      <c r="F430" s="258"/>
      <c r="G430" s="252"/>
      <c r="H430" s="108" t="s">
        <v>187</v>
      </c>
      <c r="I430" s="108" t="s">
        <v>178</v>
      </c>
      <c r="J430" s="108"/>
      <c r="K430" s="108" t="s">
        <v>180</v>
      </c>
      <c r="L430" s="108"/>
    </row>
    <row r="431" spans="1:13">
      <c r="A431" s="106"/>
      <c r="B431" s="106"/>
      <c r="C431" s="120" t="s">
        <v>214</v>
      </c>
      <c r="D431" s="258" t="s">
        <v>176</v>
      </c>
      <c r="E431" s="227"/>
      <c r="F431" s="258">
        <v>1</v>
      </c>
      <c r="G431" s="252">
        <v>85.988699999999994</v>
      </c>
      <c r="H431" s="108" t="s">
        <v>187</v>
      </c>
      <c r="I431" s="108" t="s">
        <v>180</v>
      </c>
      <c r="J431" s="108" t="s">
        <v>179</v>
      </c>
      <c r="K431" s="108" t="s">
        <v>180</v>
      </c>
      <c r="L431" s="108" t="s">
        <v>179</v>
      </c>
    </row>
    <row r="432" spans="1:13">
      <c r="A432" s="109"/>
      <c r="B432" s="109"/>
      <c r="C432" s="121" t="s">
        <v>215</v>
      </c>
      <c r="D432" s="122" t="s">
        <v>203</v>
      </c>
      <c r="E432" s="111"/>
      <c r="F432" s="122"/>
      <c r="G432" s="112"/>
      <c r="H432" s="113" t="s">
        <v>187</v>
      </c>
      <c r="I432" s="113" t="s">
        <v>180</v>
      </c>
      <c r="J432" s="113"/>
      <c r="K432" s="113" t="s">
        <v>180</v>
      </c>
      <c r="L432" s="11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6E42-2692-484B-9E4F-FCB7CB747F10}">
  <dimension ref="A1:B52"/>
  <sheetViews>
    <sheetView topLeftCell="A46" workbookViewId="0">
      <selection activeCell="A47" sqref="A47"/>
    </sheetView>
  </sheetViews>
  <sheetFormatPr defaultRowHeight="14.45"/>
  <cols>
    <col min="1" max="1" width="34.85546875" bestFit="1" customWidth="1"/>
  </cols>
  <sheetData>
    <row r="1" spans="1:2">
      <c r="A1" s="4" t="s">
        <v>10</v>
      </c>
    </row>
    <row r="2" spans="1:2">
      <c r="A2" t="s">
        <v>1078</v>
      </c>
    </row>
    <row r="3" spans="1:2">
      <c r="A3" t="s">
        <v>197</v>
      </c>
    </row>
    <row r="5" spans="1:2">
      <c r="A5" s="4" t="s">
        <v>166</v>
      </c>
    </row>
    <row r="7" spans="1:2">
      <c r="A7" s="4" t="s">
        <v>167</v>
      </c>
    </row>
    <row r="9" spans="1:2">
      <c r="A9" t="s">
        <v>1079</v>
      </c>
      <c r="B9" t="s">
        <v>1080</v>
      </c>
    </row>
    <row r="10" spans="1:2">
      <c r="A10" t="s">
        <v>257</v>
      </c>
      <c r="B10" t="s">
        <v>1080</v>
      </c>
    </row>
    <row r="11" spans="1:2">
      <c r="A11" t="s">
        <v>252</v>
      </c>
      <c r="B11" t="s">
        <v>1080</v>
      </c>
    </row>
    <row r="12" spans="1:2">
      <c r="A12" t="s">
        <v>213</v>
      </c>
      <c r="B12" t="s">
        <v>1080</v>
      </c>
    </row>
    <row r="15" spans="1:2">
      <c r="A15" s="4" t="s">
        <v>1081</v>
      </c>
    </row>
    <row r="17" spans="1:2">
      <c r="A17" s="76" t="s">
        <v>1082</v>
      </c>
      <c r="B17" t="s">
        <v>1080</v>
      </c>
    </row>
    <row r="18" spans="1:2">
      <c r="A18" s="76" t="s">
        <v>1083</v>
      </c>
      <c r="B18" t="s">
        <v>1080</v>
      </c>
    </row>
    <row r="19" spans="1:2">
      <c r="A19" s="76" t="s">
        <v>1084</v>
      </c>
      <c r="B19" t="s">
        <v>1080</v>
      </c>
    </row>
    <row r="20" spans="1:2">
      <c r="A20" s="76" t="s">
        <v>1085</v>
      </c>
      <c r="B20" t="s">
        <v>1080</v>
      </c>
    </row>
    <row r="21" spans="1:2">
      <c r="A21" s="76" t="s">
        <v>1086</v>
      </c>
      <c r="B21" t="s">
        <v>1080</v>
      </c>
    </row>
    <row r="22" spans="1:2">
      <c r="A22" s="76" t="s">
        <v>1087</v>
      </c>
      <c r="B22" t="s">
        <v>1080</v>
      </c>
    </row>
    <row r="23" spans="1:2">
      <c r="A23" s="76" t="s">
        <v>1088</v>
      </c>
      <c r="B23" t="s">
        <v>1080</v>
      </c>
    </row>
    <row r="24" spans="1:2">
      <c r="A24" s="76" t="s">
        <v>1089</v>
      </c>
      <c r="B24" t="s">
        <v>1080</v>
      </c>
    </row>
    <row r="25" spans="1:2">
      <c r="A25" s="76" t="s">
        <v>1090</v>
      </c>
      <c r="B25" t="s">
        <v>1080</v>
      </c>
    </row>
    <row r="26" spans="1:2">
      <c r="A26" s="76" t="s">
        <v>1091</v>
      </c>
      <c r="B26" t="s">
        <v>1080</v>
      </c>
    </row>
    <row r="29" spans="1:2">
      <c r="A29" s="4" t="s">
        <v>1092</v>
      </c>
    </row>
    <row r="30" spans="1:2">
      <c r="A30" t="s">
        <v>1093</v>
      </c>
    </row>
    <row r="31" spans="1:2">
      <c r="A31" t="s">
        <v>1094</v>
      </c>
    </row>
    <row r="32" spans="1:2">
      <c r="A32" s="127" t="s">
        <v>1095</v>
      </c>
    </row>
    <row r="33" spans="1:2">
      <c r="A33" s="127" t="s">
        <v>1096</v>
      </c>
    </row>
    <row r="34" spans="1:2" s="200" customFormat="1">
      <c r="A34" s="127" t="s">
        <v>1097</v>
      </c>
    </row>
    <row r="35" spans="1:2">
      <c r="A35" t="s">
        <v>1098</v>
      </c>
      <c r="B35" t="s">
        <v>1080</v>
      </c>
    </row>
    <row r="36" spans="1:2">
      <c r="A36" t="s">
        <v>326</v>
      </c>
      <c r="B36" t="s">
        <v>1080</v>
      </c>
    </row>
    <row r="37" spans="1:2">
      <c r="A37" t="s">
        <v>1099</v>
      </c>
      <c r="B37" t="s">
        <v>1080</v>
      </c>
    </row>
    <row r="38" spans="1:2">
      <c r="A38" t="s">
        <v>334</v>
      </c>
      <c r="B38" t="s">
        <v>1080</v>
      </c>
    </row>
    <row r="41" spans="1:2">
      <c r="A41" s="4" t="s">
        <v>17</v>
      </c>
    </row>
    <row r="42" spans="1:2">
      <c r="A42" t="s">
        <v>485</v>
      </c>
    </row>
    <row r="43" spans="1:2">
      <c r="A43" t="s">
        <v>487</v>
      </c>
    </row>
    <row r="44" spans="1:2">
      <c r="A44" t="s">
        <v>488</v>
      </c>
    </row>
    <row r="48" spans="1:2">
      <c r="A48" s="4" t="s">
        <v>1100</v>
      </c>
    </row>
    <row r="49" spans="1:2">
      <c r="A49" t="s">
        <v>1101</v>
      </c>
    </row>
    <row r="50" spans="1:2">
      <c r="A50" s="34" t="s">
        <v>1102</v>
      </c>
      <c r="B50" t="s">
        <v>1080</v>
      </c>
    </row>
    <row r="51" spans="1:2">
      <c r="A51" s="34" t="s">
        <v>1103</v>
      </c>
      <c r="B51" t="s">
        <v>1080</v>
      </c>
    </row>
    <row r="52" spans="1:2">
      <c r="A52" s="34" t="s">
        <v>1104</v>
      </c>
      <c r="B52" t="s">
        <v>1080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4A6F-1359-4251-A253-F02819B84B27}">
  <dimension ref="A1:N433"/>
  <sheetViews>
    <sheetView workbookViewId="0">
      <selection activeCell="I28" sqref="I28"/>
    </sheetView>
  </sheetViews>
  <sheetFormatPr defaultRowHeight="14.45"/>
  <cols>
    <col min="1" max="1" width="21" bestFit="1" customWidth="1"/>
    <col min="2" max="2" width="28.85546875" bestFit="1" customWidth="1"/>
    <col min="3" max="3" width="33.5703125" style="3" bestFit="1" customWidth="1"/>
    <col min="5" max="5" width="30" bestFit="1" customWidth="1"/>
    <col min="6" max="6" width="39.7109375" bestFit="1" customWidth="1"/>
    <col min="7" max="7" width="0" hidden="1" customWidth="1"/>
    <col min="8" max="8" width="12.42578125" hidden="1" customWidth="1"/>
    <col min="9" max="9" width="66.28515625" bestFit="1" customWidth="1"/>
    <col min="11" max="11" width="0" hidden="1" customWidth="1"/>
    <col min="12" max="12" width="27.42578125" hidden="1" customWidth="1"/>
    <col min="13" max="13" width="21.85546875" hidden="1" customWidth="1"/>
    <col min="14" max="14" width="27.140625" hidden="1" customWidth="1"/>
    <col min="15" max="15" width="0" hidden="1" customWidth="1"/>
  </cols>
  <sheetData>
    <row r="1" spans="1:9">
      <c r="A1" s="63" t="s">
        <v>168</v>
      </c>
      <c r="B1" s="64" t="s">
        <v>0</v>
      </c>
      <c r="C1" s="64" t="s">
        <v>169</v>
      </c>
      <c r="E1" t="s">
        <v>1105</v>
      </c>
      <c r="F1" t="s">
        <v>1106</v>
      </c>
      <c r="I1" t="s">
        <v>1107</v>
      </c>
    </row>
    <row r="2" spans="1:9">
      <c r="A2" s="50" t="s">
        <v>9</v>
      </c>
      <c r="B2" s="50" t="s">
        <v>10</v>
      </c>
      <c r="C2" s="16" t="s">
        <v>192</v>
      </c>
      <c r="E2" t="s">
        <v>192</v>
      </c>
    </row>
    <row r="3" spans="1:9">
      <c r="A3" s="52"/>
      <c r="B3" s="52"/>
      <c r="C3" s="32" t="s">
        <v>194</v>
      </c>
      <c r="E3" t="s">
        <v>194</v>
      </c>
    </row>
    <row r="4" spans="1:9">
      <c r="A4" s="52"/>
      <c r="B4" s="52"/>
      <c r="C4" s="32" t="s">
        <v>195</v>
      </c>
      <c r="E4" t="s">
        <v>195</v>
      </c>
    </row>
    <row r="5" spans="1:9">
      <c r="A5" s="52"/>
      <c r="B5" s="52"/>
      <c r="C5" s="32" t="s">
        <v>196</v>
      </c>
      <c r="E5" t="s">
        <v>196</v>
      </c>
    </row>
    <row r="6" spans="1:9">
      <c r="A6" s="106"/>
      <c r="B6" s="106"/>
      <c r="C6" s="107" t="s">
        <v>197</v>
      </c>
      <c r="E6" s="224"/>
    </row>
    <row r="7" spans="1:9">
      <c r="A7" s="109"/>
      <c r="B7" s="109"/>
      <c r="C7" s="110" t="s">
        <v>198</v>
      </c>
      <c r="E7" s="224"/>
    </row>
    <row r="9" spans="1:9">
      <c r="A9" s="73" t="s">
        <v>9</v>
      </c>
      <c r="B9" s="50" t="s">
        <v>11</v>
      </c>
      <c r="C9" s="225" t="s">
        <v>861</v>
      </c>
    </row>
    <row r="10" spans="1:9">
      <c r="A10" s="39"/>
      <c r="B10" s="52"/>
      <c r="C10" t="s">
        <v>190</v>
      </c>
      <c r="E10" t="s">
        <v>190</v>
      </c>
    </row>
    <row r="11" spans="1:9">
      <c r="A11" s="39"/>
      <c r="B11" s="52"/>
      <c r="C11" s="127" t="s">
        <v>283</v>
      </c>
      <c r="E11" s="127" t="s">
        <v>770</v>
      </c>
    </row>
    <row r="12" spans="1:9">
      <c r="A12" s="39"/>
      <c r="B12" s="52"/>
      <c r="C12" t="s">
        <v>653</v>
      </c>
      <c r="E12" t="s">
        <v>653</v>
      </c>
      <c r="F12" s="200" t="s">
        <v>284</v>
      </c>
      <c r="G12" s="200"/>
      <c r="H12" s="200"/>
      <c r="I12" s="200" t="s">
        <v>1108</v>
      </c>
    </row>
    <row r="13" spans="1:9">
      <c r="A13" s="39"/>
      <c r="B13" s="52"/>
      <c r="C13" t="s">
        <v>864</v>
      </c>
      <c r="E13" t="s">
        <v>1109</v>
      </c>
    </row>
    <row r="14" spans="1:9">
      <c r="A14" s="39"/>
      <c r="B14" s="52"/>
      <c r="C14" s="127" t="s">
        <v>866</v>
      </c>
      <c r="E14" s="127" t="s">
        <v>866</v>
      </c>
    </row>
    <row r="15" spans="1:9">
      <c r="A15" s="39"/>
      <c r="B15" s="52"/>
      <c r="C15" t="s">
        <v>290</v>
      </c>
      <c r="E15" t="s">
        <v>290</v>
      </c>
    </row>
    <row r="16" spans="1:9">
      <c r="A16" s="39"/>
      <c r="B16" s="52"/>
      <c r="C16" s="127" t="s">
        <v>868</v>
      </c>
      <c r="E16" s="127" t="s">
        <v>868</v>
      </c>
    </row>
    <row r="17" spans="1:9">
      <c r="A17" s="39"/>
      <c r="B17" s="52"/>
      <c r="C17" s="127" t="s">
        <v>869</v>
      </c>
      <c r="E17" s="127" t="s">
        <v>869</v>
      </c>
    </row>
    <row r="18" spans="1:9">
      <c r="A18" s="39"/>
      <c r="B18" s="52"/>
      <c r="C18" t="s">
        <v>288</v>
      </c>
      <c r="E18" t="s">
        <v>288</v>
      </c>
    </row>
    <row r="19" spans="1:9">
      <c r="A19" s="39"/>
      <c r="B19" s="52"/>
      <c r="C19" t="s">
        <v>870</v>
      </c>
      <c r="E19" t="s">
        <v>870</v>
      </c>
    </row>
    <row r="20" spans="1:9">
      <c r="A20" s="39"/>
      <c r="B20" s="52"/>
      <c r="C20" t="s">
        <v>636</v>
      </c>
      <c r="E20" t="s">
        <v>636</v>
      </c>
    </row>
    <row r="21" spans="1:9">
      <c r="A21" s="39"/>
      <c r="B21" s="52"/>
      <c r="C21" t="s">
        <v>634</v>
      </c>
      <c r="E21" t="s">
        <v>634</v>
      </c>
    </row>
    <row r="22" spans="1:9">
      <c r="A22" s="52"/>
      <c r="B22" s="52"/>
      <c r="C22" s="200" t="s">
        <v>621</v>
      </c>
      <c r="I22" s="200" t="s">
        <v>1110</v>
      </c>
    </row>
    <row r="23" spans="1:9">
      <c r="A23" s="123"/>
      <c r="B23" s="106"/>
      <c r="C23" s="227" t="s">
        <v>873</v>
      </c>
      <c r="E23" s="224"/>
    </row>
    <row r="24" spans="1:9">
      <c r="A24" s="123"/>
      <c r="B24" s="106"/>
      <c r="C24" s="227" t="s">
        <v>875</v>
      </c>
      <c r="E24" s="224"/>
    </row>
    <row r="25" spans="1:9">
      <c r="A25" s="123"/>
      <c r="B25" s="106"/>
      <c r="C25" s="227" t="s">
        <v>877</v>
      </c>
      <c r="E25" s="224"/>
    </row>
    <row r="26" spans="1:9">
      <c r="A26" s="123"/>
      <c r="B26" s="106"/>
      <c r="C26" s="227" t="s">
        <v>879</v>
      </c>
      <c r="E26" s="224"/>
    </row>
    <row r="27" spans="1:9">
      <c r="A27" s="123"/>
      <c r="B27" s="106"/>
      <c r="C27" s="227" t="s">
        <v>881</v>
      </c>
      <c r="E27" s="224"/>
    </row>
    <row r="28" spans="1:9">
      <c r="A28" s="123"/>
      <c r="B28" s="106"/>
      <c r="C28" s="227" t="s">
        <v>883</v>
      </c>
      <c r="E28" s="224"/>
    </row>
    <row r="29" spans="1:9">
      <c r="A29" s="123"/>
      <c r="B29" s="106"/>
      <c r="C29" s="227" t="s">
        <v>884</v>
      </c>
      <c r="E29" s="224"/>
    </row>
    <row r="30" spans="1:9">
      <c r="A30" s="123"/>
      <c r="B30" s="106"/>
      <c r="C30" s="227" t="s">
        <v>885</v>
      </c>
      <c r="E30" s="224"/>
    </row>
    <row r="31" spans="1:9">
      <c r="A31" s="52"/>
      <c r="B31" s="39"/>
      <c r="C31" s="200" t="s">
        <v>1111</v>
      </c>
      <c r="F31" s="200"/>
      <c r="I31" s="200" t="s">
        <v>1112</v>
      </c>
    </row>
    <row r="32" spans="1:9">
      <c r="A32" s="125"/>
      <c r="B32" s="109"/>
      <c r="C32" s="111" t="s">
        <v>1113</v>
      </c>
      <c r="E32" s="200"/>
    </row>
    <row r="33" spans="1:9">
      <c r="A33" s="1"/>
      <c r="B33" s="1"/>
      <c r="C33"/>
    </row>
    <row r="34" spans="1:9">
      <c r="A34" s="1"/>
      <c r="B34" s="1"/>
      <c r="C34"/>
      <c r="E34" s="200"/>
    </row>
    <row r="35" spans="1:9">
      <c r="A35" s="1"/>
      <c r="B35" s="1"/>
      <c r="C35"/>
      <c r="E35" s="200"/>
    </row>
    <row r="36" spans="1:9">
      <c r="A36" s="1"/>
      <c r="B36" s="1"/>
      <c r="C36"/>
    </row>
    <row r="37" spans="1:9">
      <c r="A37" s="73" t="s">
        <v>9</v>
      </c>
      <c r="B37" s="151" t="s">
        <v>16</v>
      </c>
      <c r="C37" s="229" t="s">
        <v>383</v>
      </c>
    </row>
    <row r="38" spans="1:9">
      <c r="A38" s="39"/>
      <c r="B38" s="52"/>
      <c r="C38" s="76" t="s">
        <v>385</v>
      </c>
      <c r="E38" t="s">
        <v>385</v>
      </c>
    </row>
    <row r="39" spans="1:9">
      <c r="A39" s="39"/>
      <c r="B39" s="52"/>
      <c r="C39" s="76" t="s">
        <v>387</v>
      </c>
      <c r="E39" t="s">
        <v>387</v>
      </c>
      <c r="F39" s="200" t="s">
        <v>1114</v>
      </c>
      <c r="G39" s="200"/>
      <c r="H39" s="200"/>
      <c r="I39" s="200" t="s">
        <v>1023</v>
      </c>
    </row>
    <row r="40" spans="1:9">
      <c r="A40" s="95"/>
      <c r="B40" s="51"/>
      <c r="C40" s="96" t="s">
        <v>388</v>
      </c>
      <c r="E40" t="s">
        <v>388</v>
      </c>
    </row>
    <row r="41" spans="1:9">
      <c r="A41" s="87"/>
      <c r="B41" s="87"/>
      <c r="C41"/>
    </row>
    <row r="42" spans="1:9">
      <c r="A42" s="87"/>
      <c r="B42" s="87"/>
      <c r="C42"/>
      <c r="E42" s="200"/>
    </row>
    <row r="43" spans="1:9">
      <c r="A43" s="73" t="s">
        <v>9</v>
      </c>
      <c r="B43" s="73" t="s">
        <v>12</v>
      </c>
      <c r="C43" s="75" t="s">
        <v>887</v>
      </c>
      <c r="E43" t="s">
        <v>887</v>
      </c>
      <c r="F43" t="s">
        <v>889</v>
      </c>
    </row>
    <row r="44" spans="1:9">
      <c r="A44" s="52"/>
      <c r="B44" s="39"/>
      <c r="C44" s="76" t="s">
        <v>890</v>
      </c>
      <c r="E44" t="s">
        <v>890</v>
      </c>
      <c r="F44" t="s">
        <v>891</v>
      </c>
    </row>
    <row r="45" spans="1:9">
      <c r="A45" s="52"/>
      <c r="B45" s="39"/>
      <c r="C45" s="76" t="s">
        <v>892</v>
      </c>
      <c r="E45" t="s">
        <v>892</v>
      </c>
      <c r="F45" t="s">
        <v>893</v>
      </c>
    </row>
    <row r="46" spans="1:9">
      <c r="A46" s="52"/>
      <c r="B46" s="39"/>
      <c r="C46" s="76" t="s">
        <v>894</v>
      </c>
      <c r="E46" t="s">
        <v>894</v>
      </c>
    </row>
    <row r="47" spans="1:9">
      <c r="A47" s="52"/>
      <c r="B47" s="39"/>
      <c r="C47" s="76" t="s">
        <v>895</v>
      </c>
      <c r="E47" t="s">
        <v>895</v>
      </c>
    </row>
    <row r="48" spans="1:9">
      <c r="A48" s="52"/>
      <c r="B48" s="39"/>
      <c r="C48" s="76" t="s">
        <v>896</v>
      </c>
      <c r="E48" t="s">
        <v>896</v>
      </c>
      <c r="F48" t="s">
        <v>897</v>
      </c>
    </row>
    <row r="49" spans="1:14">
      <c r="A49" s="52"/>
      <c r="B49" s="39"/>
      <c r="C49" s="230" t="s">
        <v>898</v>
      </c>
    </row>
    <row r="50" spans="1:14">
      <c r="A50" s="52"/>
      <c r="B50" s="39"/>
      <c r="C50" s="76" t="s">
        <v>900</v>
      </c>
      <c r="E50" t="s">
        <v>900</v>
      </c>
    </row>
    <row r="51" spans="1:14">
      <c r="A51" s="52"/>
      <c r="B51" s="39"/>
      <c r="C51" s="76" t="s">
        <v>901</v>
      </c>
      <c r="E51" t="s">
        <v>901</v>
      </c>
      <c r="L51" s="226" t="s">
        <v>252</v>
      </c>
      <c r="M51" s="226" t="s">
        <v>322</v>
      </c>
      <c r="N51" s="226" t="s">
        <v>339</v>
      </c>
    </row>
    <row r="52" spans="1:14">
      <c r="A52" s="52"/>
      <c r="B52" s="39"/>
      <c r="C52" s="76" t="s">
        <v>902</v>
      </c>
      <c r="E52" t="s">
        <v>902</v>
      </c>
      <c r="L52" s="226" t="s">
        <v>253</v>
      </c>
      <c r="M52" s="226" t="s">
        <v>324</v>
      </c>
      <c r="N52" s="226" t="s">
        <v>341</v>
      </c>
    </row>
    <row r="53" spans="1:14">
      <c r="A53" s="39"/>
      <c r="B53" s="39"/>
      <c r="C53" s="76" t="s">
        <v>903</v>
      </c>
      <c r="E53" t="s">
        <v>903</v>
      </c>
      <c r="L53" s="226" t="s">
        <v>255</v>
      </c>
      <c r="M53" s="226" t="s">
        <v>326</v>
      </c>
      <c r="N53" s="226" t="s">
        <v>343</v>
      </c>
    </row>
    <row r="54" spans="1:14">
      <c r="A54" s="39"/>
      <c r="B54" s="39"/>
      <c r="C54" s="76" t="s">
        <v>904</v>
      </c>
      <c r="E54" t="s">
        <v>904</v>
      </c>
      <c r="L54" s="226" t="s">
        <v>257</v>
      </c>
      <c r="M54" s="226" t="s">
        <v>330</v>
      </c>
      <c r="N54" s="226" t="s">
        <v>345</v>
      </c>
    </row>
    <row r="55" spans="1:14">
      <c r="A55" s="52"/>
      <c r="B55" s="39"/>
      <c r="C55" s="230" t="s">
        <v>905</v>
      </c>
      <c r="L55" s="226" t="s">
        <v>260</v>
      </c>
      <c r="M55" s="226" t="s">
        <v>332</v>
      </c>
      <c r="N55" s="226" t="s">
        <v>347</v>
      </c>
    </row>
    <row r="56" spans="1:14">
      <c r="A56" s="52"/>
      <c r="B56" s="39"/>
      <c r="C56" s="76" t="s">
        <v>907</v>
      </c>
      <c r="E56" t="s">
        <v>907</v>
      </c>
      <c r="L56" s="226" t="s">
        <v>261</v>
      </c>
      <c r="M56" s="226" t="s">
        <v>334</v>
      </c>
      <c r="N56" s="226" t="s">
        <v>349</v>
      </c>
    </row>
    <row r="57" spans="1:14">
      <c r="A57" s="52"/>
      <c r="B57" s="39"/>
      <c r="C57" s="76" t="s">
        <v>908</v>
      </c>
      <c r="E57" t="s">
        <v>908</v>
      </c>
      <c r="L57" s="226" t="s">
        <v>262</v>
      </c>
      <c r="M57" s="226"/>
      <c r="N57" s="226" t="s">
        <v>351</v>
      </c>
    </row>
    <row r="58" spans="1:14">
      <c r="A58" s="52"/>
      <c r="B58" s="39"/>
      <c r="C58" s="76" t="s">
        <v>909</v>
      </c>
      <c r="E58" t="s">
        <v>909</v>
      </c>
      <c r="L58" s="226" t="s">
        <v>263</v>
      </c>
      <c r="M58" s="226"/>
      <c r="N58" s="226" t="s">
        <v>353</v>
      </c>
    </row>
    <row r="59" spans="1:14">
      <c r="A59" s="52"/>
      <c r="B59" s="39"/>
      <c r="C59" s="76" t="s">
        <v>910</v>
      </c>
      <c r="E59" t="s">
        <v>910</v>
      </c>
      <c r="L59" s="226" t="s">
        <v>266</v>
      </c>
      <c r="M59" s="226"/>
      <c r="N59" s="226" t="s">
        <v>355</v>
      </c>
    </row>
    <row r="60" spans="1:14">
      <c r="A60" s="52"/>
      <c r="B60" s="39"/>
      <c r="C60" s="76" t="s">
        <v>911</v>
      </c>
      <c r="E60" t="s">
        <v>911</v>
      </c>
      <c r="L60" s="226" t="s">
        <v>268</v>
      </c>
      <c r="M60" s="226"/>
      <c r="N60" s="226" t="s">
        <v>361</v>
      </c>
    </row>
    <row r="61" spans="1:14">
      <c r="A61" s="52"/>
      <c r="B61" s="39"/>
      <c r="C61" s="76" t="s">
        <v>912</v>
      </c>
      <c r="E61" t="s">
        <v>912</v>
      </c>
      <c r="L61" s="226" t="s">
        <v>270</v>
      </c>
      <c r="M61" s="226"/>
      <c r="N61" s="226" t="s">
        <v>363</v>
      </c>
    </row>
    <row r="62" spans="1:14">
      <c r="A62" s="52"/>
      <c r="B62" s="39"/>
      <c r="C62" s="76" t="s">
        <v>913</v>
      </c>
      <c r="E62" t="s">
        <v>913</v>
      </c>
      <c r="L62" s="226" t="s">
        <v>272</v>
      </c>
      <c r="M62" s="226"/>
      <c r="N62" s="226" t="s">
        <v>365</v>
      </c>
    </row>
    <row r="63" spans="1:14">
      <c r="A63" s="52"/>
      <c r="B63" s="39"/>
      <c r="C63" s="230" t="s">
        <v>915</v>
      </c>
      <c r="E63" s="230" t="s">
        <v>915</v>
      </c>
      <c r="L63" s="226" t="s">
        <v>274</v>
      </c>
      <c r="M63" s="226"/>
      <c r="N63" s="226" t="s">
        <v>367</v>
      </c>
    </row>
    <row r="64" spans="1:14">
      <c r="A64" s="52"/>
      <c r="B64" s="39"/>
      <c r="C64" s="76" t="s">
        <v>917</v>
      </c>
      <c r="E64" t="s">
        <v>917</v>
      </c>
      <c r="L64" s="226" t="s">
        <v>275</v>
      </c>
      <c r="M64" s="226"/>
      <c r="N64" s="226" t="s">
        <v>372</v>
      </c>
    </row>
    <row r="65" spans="1:14">
      <c r="A65" s="52"/>
      <c r="B65" s="39"/>
      <c r="C65" s="76" t="s">
        <v>918</v>
      </c>
      <c r="E65" t="s">
        <v>1115</v>
      </c>
      <c r="L65" s="226" t="s">
        <v>276</v>
      </c>
      <c r="M65" s="226"/>
      <c r="N65" s="226" t="s">
        <v>374</v>
      </c>
    </row>
    <row r="66" spans="1:14">
      <c r="A66" s="52"/>
      <c r="B66" s="39"/>
      <c r="C66" s="230" t="s">
        <v>919</v>
      </c>
      <c r="E66" s="230" t="s">
        <v>919</v>
      </c>
      <c r="L66" s="226" t="s">
        <v>277</v>
      </c>
      <c r="M66" s="226"/>
      <c r="N66" s="226" t="s">
        <v>376</v>
      </c>
    </row>
    <row r="67" spans="1:14">
      <c r="A67" s="52"/>
      <c r="B67" s="39"/>
      <c r="C67" s="76" t="s">
        <v>920</v>
      </c>
      <c r="E67" t="s">
        <v>920</v>
      </c>
      <c r="L67" s="226"/>
      <c r="M67" s="226"/>
      <c r="N67" s="226" t="s">
        <v>1116</v>
      </c>
    </row>
    <row r="68" spans="1:14">
      <c r="A68" s="52"/>
      <c r="B68" s="39"/>
      <c r="C68" s="76" t="s">
        <v>921</v>
      </c>
      <c r="E68" t="s">
        <v>1117</v>
      </c>
      <c r="L68" s="226"/>
      <c r="M68" s="226"/>
      <c r="N68" s="226" t="s">
        <v>379</v>
      </c>
    </row>
    <row r="69" spans="1:14">
      <c r="A69" s="52"/>
      <c r="B69" s="39"/>
      <c r="C69" s="230" t="s">
        <v>922</v>
      </c>
      <c r="E69" s="230" t="s">
        <v>922</v>
      </c>
      <c r="L69" s="226"/>
      <c r="M69" s="226"/>
      <c r="N69" s="226" t="s">
        <v>380</v>
      </c>
    </row>
    <row r="70" spans="1:14">
      <c r="A70" s="52"/>
      <c r="B70" s="39"/>
      <c r="C70" s="76" t="s">
        <v>923</v>
      </c>
      <c r="E70" t="s">
        <v>923</v>
      </c>
      <c r="L70" s="226"/>
      <c r="M70" s="226"/>
      <c r="N70" s="226" t="s">
        <v>381</v>
      </c>
    </row>
    <row r="71" spans="1:14">
      <c r="A71" s="52"/>
      <c r="B71" s="39"/>
      <c r="C71" s="76" t="s">
        <v>924</v>
      </c>
      <c r="E71" t="s">
        <v>924</v>
      </c>
      <c r="L71" s="226"/>
      <c r="M71" s="226"/>
      <c r="N71" s="226" t="s">
        <v>1118</v>
      </c>
    </row>
    <row r="72" spans="1:14">
      <c r="A72" s="52"/>
      <c r="B72" s="39"/>
      <c r="C72" s="76" t="s">
        <v>925</v>
      </c>
      <c r="E72" t="s">
        <v>925</v>
      </c>
    </row>
    <row r="73" spans="1:14">
      <c r="A73" s="52"/>
      <c r="B73" s="39"/>
      <c r="C73" s="76" t="s">
        <v>926</v>
      </c>
      <c r="E73" t="s">
        <v>926</v>
      </c>
    </row>
    <row r="74" spans="1:14">
      <c r="A74" s="52"/>
      <c r="B74" s="39"/>
      <c r="C74" s="230" t="s">
        <v>1119</v>
      </c>
      <c r="E74" s="226" t="s">
        <v>927</v>
      </c>
      <c r="F74" s="200"/>
      <c r="I74" s="228" t="s">
        <v>1120</v>
      </c>
    </row>
    <row r="75" spans="1:14">
      <c r="A75" s="106"/>
      <c r="B75" s="123"/>
      <c r="C75" s="124" t="s">
        <v>929</v>
      </c>
      <c r="E75" s="231"/>
    </row>
    <row r="76" spans="1:14">
      <c r="A76" s="109"/>
      <c r="B76" s="125"/>
      <c r="C76" s="154" t="s">
        <v>930</v>
      </c>
      <c r="E76" s="232"/>
    </row>
    <row r="77" spans="1:14">
      <c r="A77" s="1"/>
      <c r="B77" s="1"/>
      <c r="C77"/>
      <c r="E77" s="226" t="s">
        <v>928</v>
      </c>
      <c r="I77" s="228" t="s">
        <v>1121</v>
      </c>
    </row>
    <row r="79" spans="1:14">
      <c r="E79" s="200"/>
    </row>
    <row r="80" spans="1:14">
      <c r="E80" s="200"/>
    </row>
    <row r="85" spans="1:14">
      <c r="A85" s="73" t="s">
        <v>9</v>
      </c>
      <c r="B85" s="73" t="s">
        <v>13</v>
      </c>
      <c r="C85" s="75" t="s">
        <v>239</v>
      </c>
      <c r="E85" t="s">
        <v>239</v>
      </c>
      <c r="F85" t="s">
        <v>931</v>
      </c>
      <c r="L85" t="s">
        <v>252</v>
      </c>
      <c r="M85" t="s">
        <v>322</v>
      </c>
      <c r="N85" t="s">
        <v>339</v>
      </c>
    </row>
    <row r="86" spans="1:14">
      <c r="A86" s="52"/>
      <c r="B86" s="39"/>
      <c r="C86" s="76" t="s">
        <v>241</v>
      </c>
      <c r="E86" t="s">
        <v>241</v>
      </c>
      <c r="F86" t="s">
        <v>932</v>
      </c>
      <c r="L86" t="s">
        <v>253</v>
      </c>
      <c r="M86" t="s">
        <v>324</v>
      </c>
      <c r="N86" t="s">
        <v>341</v>
      </c>
    </row>
    <row r="87" spans="1:14">
      <c r="A87" s="52"/>
      <c r="B87" s="39"/>
      <c r="C87" s="76" t="s">
        <v>242</v>
      </c>
      <c r="E87" t="s">
        <v>242</v>
      </c>
      <c r="F87" t="s">
        <v>933</v>
      </c>
      <c r="L87" t="s">
        <v>255</v>
      </c>
      <c r="M87" t="s">
        <v>326</v>
      </c>
      <c r="N87" t="s">
        <v>343</v>
      </c>
    </row>
    <row r="88" spans="1:14">
      <c r="A88" s="52"/>
      <c r="B88" s="39"/>
      <c r="C88" s="76" t="s">
        <v>243</v>
      </c>
      <c r="E88" t="s">
        <v>243</v>
      </c>
      <c r="L88" t="s">
        <v>257</v>
      </c>
      <c r="M88" t="s">
        <v>330</v>
      </c>
      <c r="N88" t="s">
        <v>345</v>
      </c>
    </row>
    <row r="89" spans="1:14">
      <c r="A89" s="106"/>
      <c r="B89" s="123"/>
      <c r="C89" s="124" t="s">
        <v>245</v>
      </c>
      <c r="E89" s="224"/>
      <c r="M89" t="s">
        <v>332</v>
      </c>
      <c r="N89" t="s">
        <v>347</v>
      </c>
    </row>
    <row r="90" spans="1:14">
      <c r="A90" s="52"/>
      <c r="B90" s="39"/>
      <c r="C90" s="76" t="s">
        <v>247</v>
      </c>
      <c r="E90" t="s">
        <v>247</v>
      </c>
      <c r="M90" t="s">
        <v>334</v>
      </c>
      <c r="N90" t="s">
        <v>349</v>
      </c>
    </row>
    <row r="91" spans="1:14">
      <c r="A91" s="52"/>
      <c r="B91" s="39"/>
      <c r="C91" s="76" t="s">
        <v>249</v>
      </c>
      <c r="E91" t="s">
        <v>249</v>
      </c>
      <c r="F91" t="s">
        <v>934</v>
      </c>
      <c r="N91" t="s">
        <v>351</v>
      </c>
    </row>
    <row r="92" spans="1:14">
      <c r="A92" s="52"/>
      <c r="B92" s="39"/>
      <c r="C92" s="230" t="s">
        <v>935</v>
      </c>
      <c r="N92" t="s">
        <v>353</v>
      </c>
    </row>
    <row r="93" spans="1:14">
      <c r="A93" s="52"/>
      <c r="B93" s="39"/>
      <c r="C93" s="76" t="s">
        <v>637</v>
      </c>
      <c r="E93" t="s">
        <v>637</v>
      </c>
      <c r="N93" t="s">
        <v>355</v>
      </c>
    </row>
    <row r="94" spans="1:14">
      <c r="A94" s="106"/>
      <c r="B94" s="123"/>
      <c r="C94" s="124" t="s">
        <v>638</v>
      </c>
      <c r="E94" s="224"/>
      <c r="N94" t="s">
        <v>361</v>
      </c>
    </row>
    <row r="95" spans="1:14">
      <c r="A95" s="106"/>
      <c r="B95" s="123"/>
      <c r="C95" s="124" t="s">
        <v>639</v>
      </c>
      <c r="E95" s="224"/>
      <c r="N95" t="s">
        <v>363</v>
      </c>
    </row>
    <row r="96" spans="1:14">
      <c r="A96" s="106"/>
      <c r="B96" s="123"/>
      <c r="C96" s="124" t="s">
        <v>640</v>
      </c>
      <c r="E96" s="224"/>
      <c r="N96" t="s">
        <v>365</v>
      </c>
    </row>
    <row r="97" spans="1:14">
      <c r="A97" s="39"/>
      <c r="B97" s="39"/>
      <c r="C97" s="76" t="s">
        <v>641</v>
      </c>
      <c r="E97" t="s">
        <v>641</v>
      </c>
      <c r="F97" s="228" t="s">
        <v>266</v>
      </c>
      <c r="I97" s="228" t="s">
        <v>1122</v>
      </c>
      <c r="N97" t="s">
        <v>367</v>
      </c>
    </row>
    <row r="98" spans="1:14">
      <c r="A98" s="39"/>
      <c r="B98" s="39"/>
      <c r="C98" s="76" t="s">
        <v>642</v>
      </c>
      <c r="E98" t="s">
        <v>642</v>
      </c>
      <c r="N98" t="s">
        <v>372</v>
      </c>
    </row>
    <row r="99" spans="1:14">
      <c r="A99" s="106"/>
      <c r="B99" s="123"/>
      <c r="C99" s="124" t="s">
        <v>643</v>
      </c>
      <c r="E99" s="224"/>
      <c r="N99" t="s">
        <v>374</v>
      </c>
    </row>
    <row r="100" spans="1:14">
      <c r="A100" s="52"/>
      <c r="B100" s="39"/>
      <c r="C100" s="76" t="s">
        <v>644</v>
      </c>
      <c r="E100" t="s">
        <v>644</v>
      </c>
      <c r="N100" t="s">
        <v>376</v>
      </c>
    </row>
    <row r="101" spans="1:14">
      <c r="A101" s="52"/>
      <c r="B101" s="39"/>
      <c r="C101" s="230" t="s">
        <v>936</v>
      </c>
      <c r="N101" t="s">
        <v>1116</v>
      </c>
    </row>
    <row r="102" spans="1:14">
      <c r="A102" s="52"/>
      <c r="B102" s="39"/>
      <c r="C102" s="76" t="s">
        <v>645</v>
      </c>
      <c r="E102" t="s">
        <v>645</v>
      </c>
      <c r="F102" s="228" t="s">
        <v>274</v>
      </c>
      <c r="I102" s="228" t="s">
        <v>1122</v>
      </c>
      <c r="N102" t="s">
        <v>379</v>
      </c>
    </row>
    <row r="103" spans="1:14">
      <c r="A103" s="52"/>
      <c r="B103" s="39"/>
      <c r="C103" s="76" t="s">
        <v>646</v>
      </c>
      <c r="E103" t="s">
        <v>646</v>
      </c>
      <c r="N103" t="s">
        <v>380</v>
      </c>
    </row>
    <row r="104" spans="1:14">
      <c r="A104" s="106"/>
      <c r="B104" s="123"/>
      <c r="C104" s="124" t="s">
        <v>647</v>
      </c>
      <c r="E104" s="224"/>
      <c r="N104" t="s">
        <v>381</v>
      </c>
    </row>
    <row r="105" spans="1:14">
      <c r="A105" s="52"/>
      <c r="B105" s="39"/>
      <c r="C105" s="76" t="s">
        <v>648</v>
      </c>
      <c r="E105" t="s">
        <v>648</v>
      </c>
      <c r="N105" t="s">
        <v>1118</v>
      </c>
    </row>
    <row r="106" spans="1:14">
      <c r="A106" s="52"/>
      <c r="B106" s="39"/>
      <c r="C106" s="76" t="s">
        <v>649</v>
      </c>
      <c r="E106" t="s">
        <v>649</v>
      </c>
    </row>
    <row r="107" spans="1:14">
      <c r="A107" s="52"/>
      <c r="B107" s="39"/>
      <c r="C107" s="76" t="s">
        <v>278</v>
      </c>
      <c r="E107" t="s">
        <v>278</v>
      </c>
    </row>
    <row r="108" spans="1:14">
      <c r="A108" s="52"/>
      <c r="B108" s="39"/>
      <c r="C108" s="76" t="s">
        <v>650</v>
      </c>
      <c r="E108" t="s">
        <v>650</v>
      </c>
    </row>
    <row r="109" spans="1:14">
      <c r="A109" s="106"/>
      <c r="B109" s="123"/>
      <c r="C109" s="124" t="s">
        <v>651</v>
      </c>
      <c r="E109" s="224"/>
    </row>
    <row r="110" spans="1:14">
      <c r="A110" s="52"/>
      <c r="B110" s="39"/>
      <c r="C110" s="76" t="s">
        <v>652</v>
      </c>
      <c r="E110" t="s">
        <v>652</v>
      </c>
    </row>
    <row r="111" spans="1:14">
      <c r="A111" s="52"/>
      <c r="B111" s="39"/>
      <c r="C111" s="76" t="s">
        <v>937</v>
      </c>
      <c r="E111" t="s">
        <v>937</v>
      </c>
    </row>
    <row r="112" spans="1:14">
      <c r="A112" s="52"/>
      <c r="B112" s="39"/>
      <c r="C112" s="230" t="s">
        <v>938</v>
      </c>
      <c r="E112" s="230" t="s">
        <v>938</v>
      </c>
    </row>
    <row r="113" spans="1:9">
      <c r="A113" s="52"/>
      <c r="B113" s="39"/>
      <c r="C113" s="127" t="s">
        <v>285</v>
      </c>
      <c r="E113" t="s">
        <v>285</v>
      </c>
    </row>
    <row r="114" spans="1:9">
      <c r="A114" s="52"/>
      <c r="B114" s="39"/>
      <c r="C114" s="76" t="s">
        <v>939</v>
      </c>
      <c r="E114" t="s">
        <v>939</v>
      </c>
    </row>
    <row r="115" spans="1:9">
      <c r="A115" s="52"/>
      <c r="B115" s="39"/>
      <c r="C115" s="230" t="s">
        <v>940</v>
      </c>
      <c r="E115" s="230" t="s">
        <v>940</v>
      </c>
    </row>
    <row r="116" spans="1:9">
      <c r="A116" s="52"/>
      <c r="B116" s="39"/>
      <c r="C116" s="76" t="s">
        <v>303</v>
      </c>
      <c r="E116" t="s">
        <v>303</v>
      </c>
    </row>
    <row r="117" spans="1:9">
      <c r="A117" s="52"/>
      <c r="B117" s="39"/>
      <c r="C117" s="76" t="s">
        <v>941</v>
      </c>
      <c r="E117" t="s">
        <v>941</v>
      </c>
    </row>
    <row r="118" spans="1:9">
      <c r="A118" s="52"/>
      <c r="B118" s="39"/>
      <c r="C118" s="230" t="s">
        <v>942</v>
      </c>
      <c r="E118" s="230" t="s">
        <v>942</v>
      </c>
    </row>
    <row r="119" spans="1:9">
      <c r="A119" s="52"/>
      <c r="B119" s="39"/>
      <c r="C119" s="76" t="s">
        <v>301</v>
      </c>
      <c r="E119" t="s">
        <v>301</v>
      </c>
    </row>
    <row r="120" spans="1:9">
      <c r="A120" s="106"/>
      <c r="B120" s="123"/>
      <c r="C120" s="124" t="s">
        <v>943</v>
      </c>
      <c r="E120" s="224"/>
    </row>
    <row r="121" spans="1:9">
      <c r="A121" s="106"/>
      <c r="B121" s="123"/>
      <c r="C121" s="124" t="s">
        <v>944</v>
      </c>
      <c r="E121" s="224"/>
    </row>
    <row r="122" spans="1:9">
      <c r="A122" s="106"/>
      <c r="B122" s="123"/>
      <c r="C122" s="124" t="s">
        <v>945</v>
      </c>
      <c r="E122" s="224"/>
    </row>
    <row r="123" spans="1:9">
      <c r="A123" s="106"/>
      <c r="B123" s="123"/>
      <c r="C123" s="124" t="s">
        <v>946</v>
      </c>
      <c r="E123" s="224"/>
    </row>
    <row r="124" spans="1:9">
      <c r="A124" s="106"/>
      <c r="B124" s="123"/>
      <c r="C124" s="124" t="s">
        <v>947</v>
      </c>
      <c r="E124" s="224"/>
    </row>
    <row r="125" spans="1:9">
      <c r="A125" s="106"/>
      <c r="B125" s="123"/>
      <c r="C125" s="124" t="s">
        <v>948</v>
      </c>
      <c r="E125" s="224"/>
    </row>
    <row r="126" spans="1:9">
      <c r="A126" s="106"/>
      <c r="B126" s="123"/>
      <c r="C126" s="124" t="s">
        <v>949</v>
      </c>
      <c r="E126" s="224"/>
    </row>
    <row r="127" spans="1:9">
      <c r="A127" s="106"/>
      <c r="B127" s="123"/>
      <c r="C127" s="124" t="s">
        <v>950</v>
      </c>
      <c r="E127" s="224"/>
    </row>
    <row r="128" spans="1:9">
      <c r="A128" s="52"/>
      <c r="B128" s="39"/>
      <c r="C128" s="233" t="s">
        <v>1123</v>
      </c>
      <c r="I128" s="200" t="s">
        <v>1124</v>
      </c>
    </row>
    <row r="129" spans="1:12">
      <c r="A129" s="106"/>
      <c r="B129" s="123"/>
      <c r="C129" s="124" t="s">
        <v>1125</v>
      </c>
      <c r="E129" s="200"/>
      <c r="F129" s="200"/>
    </row>
    <row r="130" spans="1:12">
      <c r="A130" s="52"/>
      <c r="B130" s="39"/>
      <c r="C130" s="76" t="s">
        <v>315</v>
      </c>
      <c r="E130" t="s">
        <v>315</v>
      </c>
    </row>
    <row r="131" spans="1:12">
      <c r="A131" s="52"/>
      <c r="B131" s="39"/>
      <c r="C131" s="76" t="s">
        <v>316</v>
      </c>
      <c r="E131" t="s">
        <v>316</v>
      </c>
    </row>
    <row r="132" spans="1:12">
      <c r="A132" s="52"/>
      <c r="B132" s="39"/>
      <c r="C132" s="76" t="s">
        <v>317</v>
      </c>
      <c r="E132" t="s">
        <v>317</v>
      </c>
    </row>
    <row r="133" spans="1:12">
      <c r="A133" s="106"/>
      <c r="B133" s="123"/>
      <c r="C133" s="124" t="s">
        <v>318</v>
      </c>
      <c r="E133" s="224"/>
    </row>
    <row r="134" spans="1:12">
      <c r="A134" s="109"/>
      <c r="B134" s="125"/>
      <c r="C134" s="154" t="s">
        <v>951</v>
      </c>
      <c r="E134" s="232"/>
    </row>
    <row r="135" spans="1:12">
      <c r="E135" s="200"/>
    </row>
    <row r="136" spans="1:12">
      <c r="E136" s="200"/>
    </row>
    <row r="137" spans="1:12">
      <c r="E137" s="200"/>
    </row>
    <row r="138" spans="1:12">
      <c r="E138" s="200"/>
    </row>
    <row r="141" spans="1:12">
      <c r="A141" s="50" t="s">
        <v>9</v>
      </c>
      <c r="B141" s="50" t="s">
        <v>14</v>
      </c>
      <c r="C141" s="40" t="s">
        <v>504</v>
      </c>
      <c r="E141" t="s">
        <v>504</v>
      </c>
      <c r="F141" t="s">
        <v>1126</v>
      </c>
      <c r="L141" t="s">
        <v>213</v>
      </c>
    </row>
    <row r="142" spans="1:12">
      <c r="A142" s="52"/>
      <c r="B142" s="52"/>
      <c r="C142" t="s">
        <v>505</v>
      </c>
      <c r="E142" t="s">
        <v>505</v>
      </c>
      <c r="F142" t="s">
        <v>1127</v>
      </c>
      <c r="L142" t="s">
        <v>511</v>
      </c>
    </row>
    <row r="143" spans="1:12">
      <c r="A143" s="52"/>
      <c r="B143" s="52"/>
      <c r="C143" t="s">
        <v>506</v>
      </c>
      <c r="E143" t="s">
        <v>506</v>
      </c>
      <c r="F143" t="s">
        <v>1128</v>
      </c>
      <c r="L143" t="s">
        <v>516</v>
      </c>
    </row>
    <row r="144" spans="1:12">
      <c r="A144" s="106"/>
      <c r="B144" s="106"/>
      <c r="C144" s="227" t="s">
        <v>507</v>
      </c>
      <c r="E144" s="224"/>
      <c r="L144" t="s">
        <v>537</v>
      </c>
    </row>
    <row r="145" spans="1:12">
      <c r="A145" s="52"/>
      <c r="B145" s="52"/>
      <c r="C145" t="s">
        <v>508</v>
      </c>
      <c r="E145" t="s">
        <v>508</v>
      </c>
      <c r="F145" t="s">
        <v>1129</v>
      </c>
      <c r="L145" t="s">
        <v>539</v>
      </c>
    </row>
    <row r="146" spans="1:12">
      <c r="A146" s="106"/>
      <c r="B146" s="106"/>
      <c r="C146" s="227" t="s">
        <v>729</v>
      </c>
      <c r="E146" s="232"/>
      <c r="L146" t="s">
        <v>541</v>
      </c>
    </row>
    <row r="147" spans="1:12">
      <c r="A147" s="52"/>
      <c r="B147" s="52"/>
      <c r="C147" s="127" t="s">
        <v>952</v>
      </c>
      <c r="L147" t="s">
        <v>543</v>
      </c>
    </row>
    <row r="148" spans="1:12">
      <c r="A148" s="52"/>
      <c r="B148" s="52"/>
      <c r="C148" t="s">
        <v>730</v>
      </c>
      <c r="E148" t="s">
        <v>730</v>
      </c>
    </row>
    <row r="149" spans="1:12">
      <c r="A149" s="52"/>
      <c r="B149" s="52"/>
      <c r="C149" t="s">
        <v>734</v>
      </c>
      <c r="E149" t="s">
        <v>734</v>
      </c>
      <c r="F149" s="228" t="s">
        <v>519</v>
      </c>
      <c r="I149" s="228" t="s">
        <v>1130</v>
      </c>
    </row>
    <row r="150" spans="1:12">
      <c r="A150" s="106"/>
      <c r="B150" s="106"/>
      <c r="C150" s="227" t="s">
        <v>737</v>
      </c>
      <c r="E150" s="224"/>
    </row>
    <row r="151" spans="1:12">
      <c r="A151" s="106"/>
      <c r="B151" s="106"/>
      <c r="C151" s="227" t="s">
        <v>953</v>
      </c>
      <c r="E151" s="232"/>
    </row>
    <row r="152" spans="1:12">
      <c r="A152" s="52"/>
      <c r="B152" s="52"/>
      <c r="C152" t="s">
        <v>738</v>
      </c>
      <c r="E152" t="s">
        <v>738</v>
      </c>
      <c r="F152" s="228" t="s">
        <v>522</v>
      </c>
      <c r="I152" s="228" t="s">
        <v>1130</v>
      </c>
    </row>
    <row r="153" spans="1:12">
      <c r="A153" s="106"/>
      <c r="B153" s="106"/>
      <c r="C153" s="227" t="s">
        <v>741</v>
      </c>
      <c r="E153" s="224"/>
    </row>
    <row r="154" spans="1:12">
      <c r="A154" s="52"/>
      <c r="B154" s="52"/>
      <c r="C154" t="s">
        <v>742</v>
      </c>
      <c r="E154" t="s">
        <v>742</v>
      </c>
    </row>
    <row r="155" spans="1:12">
      <c r="A155" s="52"/>
      <c r="B155" s="52"/>
      <c r="C155" t="s">
        <v>524</v>
      </c>
      <c r="E155" t="s">
        <v>524</v>
      </c>
    </row>
    <row r="156" spans="1:12">
      <c r="A156" s="106"/>
      <c r="B156" s="106"/>
      <c r="C156" s="227" t="s">
        <v>745</v>
      </c>
      <c r="E156" s="224"/>
    </row>
    <row r="157" spans="1:12">
      <c r="A157" s="52"/>
      <c r="B157" s="52"/>
      <c r="C157" s="127" t="s">
        <v>954</v>
      </c>
      <c r="E157" t="s">
        <v>954</v>
      </c>
    </row>
    <row r="158" spans="1:12">
      <c r="A158" s="52"/>
      <c r="B158" s="52"/>
      <c r="C158" s="127" t="s">
        <v>955</v>
      </c>
    </row>
    <row r="159" spans="1:12">
      <c r="A159" s="52"/>
      <c r="B159" s="52"/>
      <c r="C159" s="127" t="s">
        <v>527</v>
      </c>
      <c r="E159" t="s">
        <v>527</v>
      </c>
    </row>
    <row r="160" spans="1:12">
      <c r="A160" s="106"/>
      <c r="B160" s="106"/>
      <c r="C160" s="227" t="s">
        <v>956</v>
      </c>
      <c r="E160" s="224"/>
    </row>
    <row r="161" spans="1:9">
      <c r="A161" s="106"/>
      <c r="B161" s="106"/>
      <c r="C161" s="227" t="s">
        <v>957</v>
      </c>
      <c r="E161" s="224"/>
    </row>
    <row r="162" spans="1:9">
      <c r="A162" s="106"/>
      <c r="B162" s="106"/>
      <c r="C162" s="227" t="s">
        <v>529</v>
      </c>
      <c r="E162" s="224"/>
    </row>
    <row r="163" spans="1:9">
      <c r="A163" s="106"/>
      <c r="B163" s="106"/>
      <c r="C163" s="227" t="s">
        <v>958</v>
      </c>
      <c r="E163" s="224"/>
    </row>
    <row r="164" spans="1:9">
      <c r="A164" s="106"/>
      <c r="B164" s="106"/>
      <c r="C164" s="227" t="s">
        <v>959</v>
      </c>
      <c r="E164" s="224"/>
    </row>
    <row r="165" spans="1:9">
      <c r="A165" s="106"/>
      <c r="B165" s="106"/>
      <c r="C165" s="227" t="s">
        <v>528</v>
      </c>
      <c r="E165" s="224"/>
    </row>
    <row r="166" spans="1:9">
      <c r="A166" s="52"/>
      <c r="B166" s="52"/>
      <c r="C166" t="s">
        <v>530</v>
      </c>
      <c r="E166" t="s">
        <v>530</v>
      </c>
    </row>
    <row r="167" spans="1:9">
      <c r="A167" s="52"/>
      <c r="B167" s="52"/>
      <c r="C167" s="228" t="s">
        <v>531</v>
      </c>
      <c r="I167" s="228" t="s">
        <v>1131</v>
      </c>
    </row>
    <row r="168" spans="1:9">
      <c r="A168" s="52"/>
      <c r="B168" s="52"/>
      <c r="C168" s="228" t="s">
        <v>532</v>
      </c>
      <c r="I168" s="228" t="s">
        <v>1131</v>
      </c>
    </row>
    <row r="169" spans="1:9">
      <c r="A169" s="106"/>
      <c r="B169" s="106"/>
      <c r="C169" s="227" t="s">
        <v>960</v>
      </c>
      <c r="E169" s="232"/>
    </row>
    <row r="170" spans="1:9">
      <c r="A170" s="106"/>
      <c r="B170" s="106"/>
      <c r="C170" s="227" t="s">
        <v>961</v>
      </c>
      <c r="E170" s="232"/>
    </row>
    <row r="171" spans="1:9">
      <c r="A171" s="106"/>
      <c r="B171" s="106"/>
      <c r="C171" s="227" t="s">
        <v>962</v>
      </c>
      <c r="E171" s="232"/>
    </row>
    <row r="172" spans="1:9">
      <c r="A172" s="106"/>
      <c r="B172" s="106"/>
      <c r="C172" s="227" t="s">
        <v>963</v>
      </c>
      <c r="E172" s="232"/>
    </row>
    <row r="173" spans="1:9">
      <c r="A173" s="106"/>
      <c r="B173" s="106"/>
      <c r="C173" s="227" t="s">
        <v>964</v>
      </c>
      <c r="E173" s="232"/>
    </row>
    <row r="174" spans="1:9">
      <c r="A174" s="106"/>
      <c r="B174" s="106"/>
      <c r="C174" s="234" t="s">
        <v>965</v>
      </c>
      <c r="E174" s="232"/>
    </row>
    <row r="175" spans="1:9">
      <c r="A175" s="106"/>
      <c r="B175" s="106"/>
      <c r="C175" s="227" t="s">
        <v>966</v>
      </c>
      <c r="E175" s="232"/>
    </row>
    <row r="176" spans="1:9">
      <c r="A176" s="106"/>
      <c r="B176" s="106"/>
      <c r="C176" s="227" t="s">
        <v>967</v>
      </c>
      <c r="E176" s="232"/>
    </row>
    <row r="177" spans="1:13">
      <c r="A177" s="52"/>
      <c r="B177" s="52"/>
      <c r="C177" t="s">
        <v>1132</v>
      </c>
      <c r="E177" s="228" t="s">
        <v>545</v>
      </c>
      <c r="I177" s="228" t="s">
        <v>1133</v>
      </c>
    </row>
    <row r="178" spans="1:13">
      <c r="A178" s="109"/>
      <c r="B178" s="109"/>
      <c r="C178" s="155" t="s">
        <v>1134</v>
      </c>
      <c r="E178" s="228" t="s">
        <v>546</v>
      </c>
      <c r="I178" s="228" t="s">
        <v>1135</v>
      </c>
    </row>
    <row r="179" spans="1:13">
      <c r="E179" s="200"/>
    </row>
    <row r="180" spans="1:13">
      <c r="E180" s="200"/>
    </row>
    <row r="181" spans="1:13">
      <c r="A181" s="73" t="s">
        <v>9</v>
      </c>
      <c r="B181" s="50" t="s">
        <v>15</v>
      </c>
      <c r="C181" s="40" t="s">
        <v>320</v>
      </c>
      <c r="E181" t="s">
        <v>653</v>
      </c>
      <c r="L181" t="s">
        <v>339</v>
      </c>
      <c r="M181" t="s">
        <v>974</v>
      </c>
    </row>
    <row r="182" spans="1:13">
      <c r="A182" s="123"/>
      <c r="B182" s="106"/>
      <c r="C182" s="227" t="s">
        <v>659</v>
      </c>
      <c r="E182" s="200" t="s">
        <v>659</v>
      </c>
      <c r="F182" s="200" t="s">
        <v>322</v>
      </c>
      <c r="I182" s="200" t="s">
        <v>1136</v>
      </c>
      <c r="L182" t="s">
        <v>341</v>
      </c>
      <c r="M182" t="s">
        <v>664</v>
      </c>
    </row>
    <row r="183" spans="1:13">
      <c r="A183" s="123"/>
      <c r="B183" s="106"/>
      <c r="C183" s="227" t="s">
        <v>660</v>
      </c>
      <c r="E183" s="200" t="s">
        <v>660</v>
      </c>
      <c r="F183" s="200" t="s">
        <v>324</v>
      </c>
      <c r="I183" s="200" t="s">
        <v>1136</v>
      </c>
      <c r="L183" t="s">
        <v>670</v>
      </c>
      <c r="M183" t="s">
        <v>977</v>
      </c>
    </row>
    <row r="184" spans="1:13">
      <c r="A184" s="39"/>
      <c r="B184" s="52"/>
      <c r="C184" t="s">
        <v>991</v>
      </c>
      <c r="E184" t="s">
        <v>991</v>
      </c>
      <c r="M184" t="s">
        <v>661</v>
      </c>
    </row>
    <row r="185" spans="1:13">
      <c r="A185" s="39"/>
      <c r="B185" s="52"/>
      <c r="C185" s="127" t="s">
        <v>661</v>
      </c>
      <c r="E185" t="s">
        <v>661</v>
      </c>
    </row>
    <row r="186" spans="1:13">
      <c r="A186" s="39"/>
      <c r="B186" s="52"/>
      <c r="C186" s="127" t="s">
        <v>973</v>
      </c>
      <c r="E186" t="s">
        <v>973</v>
      </c>
      <c r="L186" t="s">
        <v>1137</v>
      </c>
    </row>
    <row r="187" spans="1:13">
      <c r="A187" s="39"/>
      <c r="B187" s="52"/>
      <c r="C187" t="s">
        <v>993</v>
      </c>
      <c r="E187" t="s">
        <v>993</v>
      </c>
      <c r="L187" t="s">
        <v>1116</v>
      </c>
    </row>
    <row r="188" spans="1:13">
      <c r="A188" s="123"/>
      <c r="B188" s="106"/>
      <c r="C188" s="227" t="s">
        <v>328</v>
      </c>
      <c r="E188" s="232"/>
      <c r="L188" t="s">
        <v>1138</v>
      </c>
    </row>
    <row r="189" spans="1:13">
      <c r="A189" s="123"/>
      <c r="B189" s="106"/>
      <c r="C189" s="227" t="s">
        <v>662</v>
      </c>
      <c r="E189" s="232"/>
      <c r="L189" t="s">
        <v>379</v>
      </c>
    </row>
    <row r="190" spans="1:13">
      <c r="A190" s="123"/>
      <c r="B190" s="106"/>
      <c r="C190" s="227" t="s">
        <v>663</v>
      </c>
      <c r="E190" s="232"/>
      <c r="L190" t="s">
        <v>690</v>
      </c>
    </row>
    <row r="191" spans="1:13">
      <c r="A191" s="39"/>
      <c r="B191" s="52"/>
      <c r="C191" s="127" t="s">
        <v>974</v>
      </c>
      <c r="E191" t="s">
        <v>974</v>
      </c>
      <c r="L191" t="s">
        <v>380</v>
      </c>
    </row>
    <row r="192" spans="1:13">
      <c r="A192" s="39"/>
      <c r="B192" s="52"/>
      <c r="C192" s="127" t="s">
        <v>664</v>
      </c>
      <c r="E192" t="s">
        <v>664</v>
      </c>
      <c r="L192" t="s">
        <v>691</v>
      </c>
    </row>
    <row r="193" spans="1:12">
      <c r="A193" s="39"/>
      <c r="B193" s="52"/>
      <c r="C193" s="127" t="s">
        <v>976</v>
      </c>
      <c r="E193" t="s">
        <v>976</v>
      </c>
      <c r="L193" t="s">
        <v>381</v>
      </c>
    </row>
    <row r="194" spans="1:12">
      <c r="A194" s="39"/>
      <c r="B194" s="52"/>
      <c r="C194" s="127" t="s">
        <v>978</v>
      </c>
      <c r="E194" t="s">
        <v>978</v>
      </c>
      <c r="F194" s="228" t="s">
        <v>977</v>
      </c>
      <c r="I194" s="228" t="s">
        <v>1139</v>
      </c>
      <c r="L194" t="s">
        <v>692</v>
      </c>
    </row>
    <row r="195" spans="1:12">
      <c r="A195" s="39"/>
      <c r="B195" s="52"/>
      <c r="C195" s="127" t="s">
        <v>980</v>
      </c>
      <c r="E195" t="s">
        <v>980</v>
      </c>
      <c r="L195" t="s">
        <v>1118</v>
      </c>
    </row>
    <row r="196" spans="1:12">
      <c r="A196" s="39"/>
      <c r="B196" s="52"/>
      <c r="C196" s="127" t="s">
        <v>979</v>
      </c>
      <c r="E196" t="s">
        <v>979</v>
      </c>
      <c r="L196" t="s">
        <v>1140</v>
      </c>
    </row>
    <row r="197" spans="1:12">
      <c r="A197" s="123"/>
      <c r="B197" s="106"/>
      <c r="C197" s="235" t="s">
        <v>335</v>
      </c>
      <c r="D197" s="228"/>
      <c r="E197" s="228" t="s">
        <v>335</v>
      </c>
      <c r="I197" s="228" t="s">
        <v>1141</v>
      </c>
    </row>
    <row r="198" spans="1:12">
      <c r="A198" s="39"/>
      <c r="B198" s="52"/>
      <c r="C198" s="228" t="s">
        <v>995</v>
      </c>
      <c r="D198" s="228"/>
      <c r="E198" s="228"/>
      <c r="I198" s="228" t="s">
        <v>1142</v>
      </c>
    </row>
    <row r="199" spans="1:12">
      <c r="A199" s="123"/>
      <c r="B199" s="106"/>
      <c r="C199" s="227" t="s">
        <v>668</v>
      </c>
      <c r="E199" s="232"/>
    </row>
    <row r="200" spans="1:12">
      <c r="A200" s="39"/>
      <c r="B200" s="52"/>
      <c r="C200" t="s">
        <v>997</v>
      </c>
      <c r="E200" t="s">
        <v>997</v>
      </c>
    </row>
    <row r="201" spans="1:12">
      <c r="A201" s="39"/>
      <c r="B201" s="52"/>
      <c r="C201" t="s">
        <v>672</v>
      </c>
      <c r="E201" t="s">
        <v>672</v>
      </c>
    </row>
    <row r="202" spans="1:12">
      <c r="A202" s="39"/>
      <c r="B202" s="52"/>
      <c r="C202" t="s">
        <v>343</v>
      </c>
      <c r="E202" t="s">
        <v>343</v>
      </c>
    </row>
    <row r="203" spans="1:12">
      <c r="A203" s="39"/>
      <c r="B203" s="52"/>
      <c r="C203" t="s">
        <v>674</v>
      </c>
      <c r="E203" t="s">
        <v>674</v>
      </c>
    </row>
    <row r="204" spans="1:12">
      <c r="A204" s="39"/>
      <c r="B204" s="52"/>
      <c r="C204" t="s">
        <v>345</v>
      </c>
      <c r="E204" t="s">
        <v>345</v>
      </c>
    </row>
    <row r="205" spans="1:12">
      <c r="A205" s="39"/>
      <c r="B205" s="52"/>
      <c r="C205" t="s">
        <v>999</v>
      </c>
      <c r="E205" t="s">
        <v>999</v>
      </c>
    </row>
    <row r="206" spans="1:12">
      <c r="A206" s="39"/>
      <c r="B206" s="52"/>
      <c r="C206" t="s">
        <v>347</v>
      </c>
      <c r="E206" t="s">
        <v>347</v>
      </c>
    </row>
    <row r="207" spans="1:12">
      <c r="A207" s="39"/>
      <c r="B207" s="52"/>
      <c r="C207" t="s">
        <v>1000</v>
      </c>
      <c r="E207" t="s">
        <v>1000</v>
      </c>
    </row>
    <row r="208" spans="1:12">
      <c r="A208" s="39"/>
      <c r="B208" s="52"/>
      <c r="C208" t="s">
        <v>349</v>
      </c>
      <c r="E208" t="s">
        <v>349</v>
      </c>
    </row>
    <row r="209" spans="1:5">
      <c r="A209" s="39"/>
      <c r="B209" s="52"/>
      <c r="C209" t="s">
        <v>1001</v>
      </c>
      <c r="E209" t="s">
        <v>1001</v>
      </c>
    </row>
    <row r="210" spans="1:5">
      <c r="A210" s="39"/>
      <c r="B210" s="52"/>
      <c r="C210" t="s">
        <v>351</v>
      </c>
      <c r="E210" t="s">
        <v>351</v>
      </c>
    </row>
    <row r="211" spans="1:5">
      <c r="A211" s="39"/>
      <c r="B211" s="52"/>
      <c r="C211" t="s">
        <v>1002</v>
      </c>
      <c r="E211" t="s">
        <v>1002</v>
      </c>
    </row>
    <row r="212" spans="1:5">
      <c r="A212" s="39"/>
      <c r="B212" s="52"/>
      <c r="C212" t="s">
        <v>353</v>
      </c>
      <c r="E212" t="s">
        <v>353</v>
      </c>
    </row>
    <row r="213" spans="1:5">
      <c r="A213" s="39"/>
      <c r="B213" s="52"/>
      <c r="C213" t="s">
        <v>981</v>
      </c>
      <c r="E213" t="s">
        <v>981</v>
      </c>
    </row>
    <row r="214" spans="1:5">
      <c r="A214" s="39"/>
      <c r="B214" s="52"/>
      <c r="C214" t="s">
        <v>355</v>
      </c>
      <c r="E214" t="s">
        <v>355</v>
      </c>
    </row>
    <row r="215" spans="1:5">
      <c r="A215" s="39"/>
      <c r="B215" s="52"/>
      <c r="C215" t="s">
        <v>982</v>
      </c>
      <c r="E215" t="s">
        <v>982</v>
      </c>
    </row>
    <row r="216" spans="1:5">
      <c r="A216" s="39"/>
      <c r="B216" s="52"/>
      <c r="C216" t="s">
        <v>1003</v>
      </c>
      <c r="E216" t="s">
        <v>1003</v>
      </c>
    </row>
    <row r="217" spans="1:5">
      <c r="A217" s="39"/>
      <c r="B217" s="52"/>
      <c r="C217" t="s">
        <v>983</v>
      </c>
      <c r="E217" t="s">
        <v>983</v>
      </c>
    </row>
    <row r="218" spans="1:5">
      <c r="A218" s="39"/>
      <c r="B218" s="52"/>
      <c r="C218" t="s">
        <v>1004</v>
      </c>
      <c r="E218" t="s">
        <v>1004</v>
      </c>
    </row>
    <row r="219" spans="1:5">
      <c r="A219" s="39"/>
      <c r="B219" s="52"/>
      <c r="C219" s="76" t="s">
        <v>985</v>
      </c>
      <c r="E219" t="s">
        <v>985</v>
      </c>
    </row>
    <row r="220" spans="1:5">
      <c r="A220" s="39"/>
      <c r="B220" s="52"/>
      <c r="C220" s="76" t="s">
        <v>1005</v>
      </c>
      <c r="E220" t="s">
        <v>1005</v>
      </c>
    </row>
    <row r="221" spans="1:5">
      <c r="A221" s="39"/>
      <c r="B221" s="52"/>
      <c r="C221" t="s">
        <v>987</v>
      </c>
      <c r="E221" t="s">
        <v>987</v>
      </c>
    </row>
    <row r="222" spans="1:5">
      <c r="A222" s="39"/>
      <c r="B222" s="52"/>
      <c r="C222" t="s">
        <v>1006</v>
      </c>
      <c r="E222" t="s">
        <v>1006</v>
      </c>
    </row>
    <row r="223" spans="1:5">
      <c r="A223" s="39"/>
      <c r="B223" s="52"/>
      <c r="C223" t="s">
        <v>988</v>
      </c>
      <c r="E223" t="s">
        <v>988</v>
      </c>
    </row>
    <row r="224" spans="1:5">
      <c r="A224" s="39"/>
      <c r="B224" s="52"/>
      <c r="C224" t="s">
        <v>1007</v>
      </c>
      <c r="E224" t="s">
        <v>1007</v>
      </c>
    </row>
    <row r="225" spans="1:5">
      <c r="A225" s="39"/>
      <c r="B225" s="52"/>
      <c r="C225" s="76" t="s">
        <v>989</v>
      </c>
      <c r="E225" t="s">
        <v>989</v>
      </c>
    </row>
    <row r="226" spans="1:5">
      <c r="A226" s="39"/>
      <c r="B226" s="52"/>
      <c r="C226" s="76" t="s">
        <v>1008</v>
      </c>
      <c r="E226" t="s">
        <v>1008</v>
      </c>
    </row>
    <row r="227" spans="1:5">
      <c r="A227" s="123"/>
      <c r="B227" s="106"/>
      <c r="C227" s="227" t="s">
        <v>357</v>
      </c>
      <c r="E227" s="232"/>
    </row>
    <row r="228" spans="1:5">
      <c r="A228" s="123"/>
      <c r="B228" s="106"/>
      <c r="C228" s="227" t="s">
        <v>359</v>
      </c>
      <c r="E228" s="232"/>
    </row>
    <row r="229" spans="1:5">
      <c r="A229" s="123"/>
      <c r="B229" s="106"/>
      <c r="C229" s="227" t="s">
        <v>678</v>
      </c>
      <c r="E229" s="224"/>
    </row>
    <row r="230" spans="1:5">
      <c r="A230" s="123"/>
      <c r="B230" s="106"/>
      <c r="C230" s="227" t="s">
        <v>680</v>
      </c>
      <c r="E230" s="224"/>
    </row>
    <row r="231" spans="1:5">
      <c r="A231" s="123"/>
      <c r="B231" s="106"/>
      <c r="C231" s="227" t="s">
        <v>682</v>
      </c>
      <c r="E231" s="224"/>
    </row>
    <row r="232" spans="1:5">
      <c r="A232" s="123"/>
      <c r="B232" s="106"/>
      <c r="C232" s="227" t="s">
        <v>684</v>
      </c>
      <c r="E232" s="224"/>
    </row>
    <row r="233" spans="1:5">
      <c r="A233" s="123"/>
      <c r="B233" s="106"/>
      <c r="C233" s="227" t="s">
        <v>369</v>
      </c>
      <c r="E233" s="232"/>
    </row>
    <row r="234" spans="1:5">
      <c r="A234" s="123"/>
      <c r="B234" s="106"/>
      <c r="C234" s="227" t="s">
        <v>371</v>
      </c>
      <c r="E234" s="232"/>
    </row>
    <row r="235" spans="1:5">
      <c r="A235" s="123"/>
      <c r="B235" s="106"/>
      <c r="C235" s="227" t="s">
        <v>685</v>
      </c>
      <c r="E235" s="224"/>
    </row>
    <row r="236" spans="1:5">
      <c r="A236" s="123"/>
      <c r="B236" s="106"/>
      <c r="C236" s="227" t="s">
        <v>686</v>
      </c>
      <c r="E236" s="224"/>
    </row>
    <row r="237" spans="1:5">
      <c r="A237" s="39"/>
      <c r="B237" s="52"/>
      <c r="C237" t="s">
        <v>1009</v>
      </c>
      <c r="E237" t="s">
        <v>1009</v>
      </c>
    </row>
    <row r="238" spans="1:5">
      <c r="A238" s="39"/>
      <c r="B238" s="52"/>
      <c r="C238" t="s">
        <v>986</v>
      </c>
      <c r="E238" t="s">
        <v>986</v>
      </c>
    </row>
    <row r="239" spans="1:5">
      <c r="A239" s="39"/>
      <c r="B239" s="52"/>
      <c r="C239" t="s">
        <v>1011</v>
      </c>
      <c r="E239" t="s">
        <v>1011</v>
      </c>
    </row>
    <row r="240" spans="1:5">
      <c r="A240" s="39"/>
      <c r="B240" s="52"/>
      <c r="C240" t="s">
        <v>687</v>
      </c>
      <c r="E240" t="s">
        <v>687</v>
      </c>
    </row>
    <row r="241" spans="1:9">
      <c r="A241" s="52"/>
      <c r="B241" s="52"/>
      <c r="C241" t="s">
        <v>990</v>
      </c>
      <c r="E241" t="s">
        <v>990</v>
      </c>
    </row>
    <row r="242" spans="1:9">
      <c r="A242" s="52"/>
      <c r="B242" s="52"/>
      <c r="C242" t="s">
        <v>1013</v>
      </c>
      <c r="E242" t="s">
        <v>1013</v>
      </c>
    </row>
    <row r="243" spans="1:9">
      <c r="A243" s="109"/>
      <c r="B243" s="109"/>
      <c r="C243" s="111" t="s">
        <v>1014</v>
      </c>
      <c r="E243" s="232"/>
    </row>
    <row r="244" spans="1:9">
      <c r="E244" s="200"/>
    </row>
    <row r="245" spans="1:9">
      <c r="E245" s="200"/>
    </row>
    <row r="246" spans="1:9">
      <c r="A246" s="251" t="s">
        <v>9</v>
      </c>
      <c r="B246" s="244" t="s">
        <v>1017</v>
      </c>
      <c r="C246" s="245" t="s">
        <v>421</v>
      </c>
      <c r="E246" s="236"/>
      <c r="I246" s="250" t="s">
        <v>1143</v>
      </c>
    </row>
    <row r="247" spans="1:9">
      <c r="A247" s="52"/>
      <c r="B247" s="246"/>
      <c r="C247" s="247" t="s">
        <v>459</v>
      </c>
      <c r="E247" s="236"/>
    </row>
    <row r="248" spans="1:9">
      <c r="A248" s="52"/>
      <c r="B248" s="246"/>
      <c r="C248" s="247" t="s">
        <v>460</v>
      </c>
      <c r="E248" s="236"/>
    </row>
    <row r="249" spans="1:9">
      <c r="A249" s="52"/>
      <c r="B249" s="246"/>
      <c r="C249" s="247" t="s">
        <v>461</v>
      </c>
      <c r="E249" s="236"/>
    </row>
    <row r="250" spans="1:9">
      <c r="A250" s="52"/>
      <c r="B250" s="246"/>
      <c r="C250" s="247" t="s">
        <v>462</v>
      </c>
      <c r="E250" s="236"/>
    </row>
    <row r="251" spans="1:9">
      <c r="A251" s="51"/>
      <c r="B251" s="248"/>
      <c r="C251" s="249" t="s">
        <v>463</v>
      </c>
      <c r="E251" s="236"/>
    </row>
    <row r="253" spans="1:9">
      <c r="E253" s="200"/>
    </row>
    <row r="254" spans="1:9">
      <c r="E254" s="200"/>
    </row>
    <row r="255" spans="1:9">
      <c r="E255" s="200"/>
    </row>
    <row r="256" spans="1:9">
      <c r="E256" s="200"/>
    </row>
    <row r="257" spans="1:5">
      <c r="E257" s="200"/>
    </row>
    <row r="258" spans="1:5">
      <c r="A258" s="73" t="s">
        <v>9</v>
      </c>
      <c r="B258" s="50" t="s">
        <v>17</v>
      </c>
      <c r="C258" s="13" t="s">
        <v>390</v>
      </c>
      <c r="E258" s="238" t="s">
        <v>390</v>
      </c>
    </row>
    <row r="259" spans="1:5">
      <c r="A259" s="52"/>
      <c r="B259" s="52"/>
      <c r="C259" s="34" t="s">
        <v>392</v>
      </c>
      <c r="E259" s="236" t="s">
        <v>392</v>
      </c>
    </row>
    <row r="260" spans="1:5">
      <c r="A260" s="52"/>
      <c r="B260" s="52"/>
      <c r="C260" s="34" t="s">
        <v>393</v>
      </c>
      <c r="E260" s="236" t="s">
        <v>393</v>
      </c>
    </row>
    <row r="261" spans="1:5">
      <c r="A261" s="52"/>
      <c r="B261" s="52"/>
      <c r="C261" s="34" t="s">
        <v>395</v>
      </c>
      <c r="E261" s="236" t="s">
        <v>395</v>
      </c>
    </row>
    <row r="262" spans="1:5">
      <c r="A262" s="52"/>
      <c r="B262" s="52"/>
      <c r="C262" s="34" t="s">
        <v>396</v>
      </c>
      <c r="E262" s="236" t="s">
        <v>396</v>
      </c>
    </row>
    <row r="263" spans="1:5">
      <c r="A263" s="52"/>
      <c r="B263" s="52"/>
      <c r="C263" s="34" t="s">
        <v>398</v>
      </c>
      <c r="E263" s="236" t="s">
        <v>398</v>
      </c>
    </row>
    <row r="264" spans="1:5">
      <c r="A264" s="52"/>
      <c r="B264" s="52"/>
      <c r="C264" s="34" t="s">
        <v>399</v>
      </c>
      <c r="E264" s="236" t="s">
        <v>399</v>
      </c>
    </row>
    <row r="265" spans="1:5">
      <c r="A265" s="52"/>
      <c r="B265" s="52"/>
      <c r="C265" s="34" t="s">
        <v>400</v>
      </c>
      <c r="E265" s="236" t="s">
        <v>400</v>
      </c>
    </row>
    <row r="266" spans="1:5">
      <c r="A266" s="52"/>
      <c r="B266" s="52"/>
      <c r="C266" s="34" t="s">
        <v>402</v>
      </c>
      <c r="E266" s="236" t="s">
        <v>402</v>
      </c>
    </row>
    <row r="267" spans="1:5">
      <c r="A267" s="52"/>
      <c r="B267" s="52"/>
      <c r="C267" s="34" t="s">
        <v>404</v>
      </c>
      <c r="E267" s="236" t="s">
        <v>404</v>
      </c>
    </row>
    <row r="268" spans="1:5">
      <c r="A268" s="52"/>
      <c r="B268" s="52"/>
      <c r="C268" s="34" t="s">
        <v>405</v>
      </c>
      <c r="E268" s="236" t="s">
        <v>405</v>
      </c>
    </row>
    <row r="269" spans="1:5">
      <c r="A269" s="52"/>
      <c r="B269" s="52"/>
      <c r="C269" s="34" t="s">
        <v>407</v>
      </c>
      <c r="E269" s="236" t="s">
        <v>407</v>
      </c>
    </row>
    <row r="270" spans="1:5">
      <c r="A270" s="52"/>
      <c r="B270" s="52"/>
      <c r="C270" s="34" t="s">
        <v>409</v>
      </c>
      <c r="E270" s="236" t="s">
        <v>409</v>
      </c>
    </row>
    <row r="271" spans="1:5">
      <c r="A271" s="52"/>
      <c r="B271" s="52"/>
      <c r="C271" s="34" t="s">
        <v>410</v>
      </c>
      <c r="E271" s="236" t="s">
        <v>410</v>
      </c>
    </row>
    <row r="272" spans="1:5">
      <c r="A272" s="52"/>
      <c r="B272" s="52"/>
      <c r="C272" s="34" t="s">
        <v>411</v>
      </c>
      <c r="E272" s="236" t="s">
        <v>411</v>
      </c>
    </row>
    <row r="273" spans="1:5">
      <c r="A273" s="52"/>
      <c r="B273" s="52"/>
      <c r="C273" s="34" t="s">
        <v>412</v>
      </c>
      <c r="E273" s="236" t="s">
        <v>412</v>
      </c>
    </row>
    <row r="274" spans="1:5">
      <c r="A274" s="52"/>
      <c r="B274" s="52"/>
      <c r="C274" s="34" t="s">
        <v>413</v>
      </c>
      <c r="E274" s="236" t="s">
        <v>413</v>
      </c>
    </row>
    <row r="275" spans="1:5">
      <c r="A275" s="52"/>
      <c r="B275" s="52"/>
      <c r="C275" s="34" t="s">
        <v>414</v>
      </c>
      <c r="E275" s="236" t="s">
        <v>414</v>
      </c>
    </row>
    <row r="276" spans="1:5">
      <c r="A276" s="52"/>
      <c r="B276" s="52"/>
      <c r="C276" s="34" t="s">
        <v>415</v>
      </c>
      <c r="E276" s="236" t="s">
        <v>415</v>
      </c>
    </row>
    <row r="277" spans="1:5">
      <c r="A277" s="52"/>
      <c r="B277" s="52"/>
      <c r="C277" s="34" t="s">
        <v>416</v>
      </c>
      <c r="E277" s="236" t="s">
        <v>416</v>
      </c>
    </row>
    <row r="278" spans="1:5">
      <c r="A278" s="52"/>
      <c r="B278" s="52"/>
      <c r="C278" s="34" t="s">
        <v>417</v>
      </c>
      <c r="E278" s="236" t="s">
        <v>417</v>
      </c>
    </row>
    <row r="279" spans="1:5">
      <c r="A279" s="52"/>
      <c r="B279" s="52"/>
      <c r="C279" s="34" t="s">
        <v>418</v>
      </c>
      <c r="E279" s="236" t="s">
        <v>418</v>
      </c>
    </row>
    <row r="280" spans="1:5">
      <c r="A280" s="52"/>
      <c r="B280" s="52"/>
      <c r="C280" s="34" t="s">
        <v>419</v>
      </c>
      <c r="E280" s="236" t="s">
        <v>419</v>
      </c>
    </row>
    <row r="281" spans="1:5">
      <c r="A281" s="52"/>
      <c r="B281" s="52"/>
      <c r="C281" s="34" t="s">
        <v>420</v>
      </c>
      <c r="E281" s="236" t="s">
        <v>420</v>
      </c>
    </row>
    <row r="282" spans="1:5">
      <c r="A282" s="52"/>
      <c r="B282" s="52"/>
      <c r="C282" s="34" t="s">
        <v>421</v>
      </c>
      <c r="E282" s="236" t="s">
        <v>421</v>
      </c>
    </row>
    <row r="283" spans="1:5">
      <c r="A283" s="52"/>
      <c r="B283" s="52"/>
      <c r="C283" s="34" t="s">
        <v>422</v>
      </c>
      <c r="E283" s="236" t="s">
        <v>422</v>
      </c>
    </row>
    <row r="284" spans="1:5">
      <c r="A284" s="52"/>
      <c r="B284" s="52"/>
      <c r="C284" s="34" t="s">
        <v>423</v>
      </c>
      <c r="E284" s="236" t="s">
        <v>423</v>
      </c>
    </row>
    <row r="285" spans="1:5">
      <c r="A285" s="52"/>
      <c r="B285" s="52"/>
      <c r="C285" s="34" t="s">
        <v>424</v>
      </c>
      <c r="E285" s="236" t="s">
        <v>424</v>
      </c>
    </row>
    <row r="286" spans="1:5">
      <c r="A286" s="52"/>
      <c r="B286" s="52"/>
      <c r="C286" s="34" t="s">
        <v>425</v>
      </c>
      <c r="E286" s="236" t="s">
        <v>425</v>
      </c>
    </row>
    <row r="287" spans="1:5">
      <c r="A287" s="52"/>
      <c r="B287" s="52"/>
      <c r="C287" s="34" t="s">
        <v>426</v>
      </c>
      <c r="E287" s="236" t="s">
        <v>426</v>
      </c>
    </row>
    <row r="288" spans="1:5">
      <c r="A288" s="52"/>
      <c r="B288" s="52"/>
      <c r="C288" s="34" t="s">
        <v>427</v>
      </c>
      <c r="E288" s="236" t="s">
        <v>427</v>
      </c>
    </row>
    <row r="289" spans="1:5">
      <c r="A289" s="52"/>
      <c r="B289" s="52"/>
      <c r="C289" s="34" t="s">
        <v>428</v>
      </c>
      <c r="E289" s="236" t="s">
        <v>428</v>
      </c>
    </row>
    <row r="290" spans="1:5">
      <c r="A290" s="52"/>
      <c r="B290" s="52"/>
      <c r="C290" s="34" t="s">
        <v>429</v>
      </c>
      <c r="E290" s="236" t="s">
        <v>429</v>
      </c>
    </row>
    <row r="291" spans="1:5">
      <c r="A291" s="52"/>
      <c r="B291" s="52"/>
      <c r="C291" s="34" t="s">
        <v>430</v>
      </c>
      <c r="E291" s="236" t="s">
        <v>430</v>
      </c>
    </row>
    <row r="292" spans="1:5">
      <c r="A292" s="52"/>
      <c r="B292" s="52"/>
      <c r="C292" s="34" t="s">
        <v>431</v>
      </c>
      <c r="E292" s="236" t="s">
        <v>431</v>
      </c>
    </row>
    <row r="293" spans="1:5">
      <c r="A293" s="52"/>
      <c r="B293" s="52"/>
      <c r="C293" s="34" t="s">
        <v>432</v>
      </c>
      <c r="E293" s="236" t="s">
        <v>432</v>
      </c>
    </row>
    <row r="294" spans="1:5">
      <c r="A294" s="52"/>
      <c r="B294" s="52"/>
      <c r="C294" s="34" t="s">
        <v>433</v>
      </c>
      <c r="E294" s="236" t="s">
        <v>433</v>
      </c>
    </row>
    <row r="295" spans="1:5">
      <c r="A295" s="52"/>
      <c r="B295" s="52"/>
      <c r="C295" s="34" t="s">
        <v>434</v>
      </c>
      <c r="E295" s="236" t="s">
        <v>434</v>
      </c>
    </row>
    <row r="296" spans="1:5">
      <c r="A296" s="52"/>
      <c r="B296" s="52"/>
      <c r="C296" s="34" t="s">
        <v>435</v>
      </c>
      <c r="E296" s="236" t="s">
        <v>435</v>
      </c>
    </row>
    <row r="297" spans="1:5">
      <c r="A297" s="52"/>
      <c r="B297" s="52"/>
      <c r="C297" s="34" t="s">
        <v>436</v>
      </c>
      <c r="E297" s="236" t="s">
        <v>436</v>
      </c>
    </row>
    <row r="298" spans="1:5">
      <c r="A298" s="52"/>
      <c r="B298" s="52"/>
      <c r="C298" s="34" t="s">
        <v>437</v>
      </c>
      <c r="E298" s="236" t="s">
        <v>437</v>
      </c>
    </row>
    <row r="299" spans="1:5">
      <c r="A299" s="52"/>
      <c r="B299" s="52"/>
      <c r="C299" s="34" t="s">
        <v>438</v>
      </c>
      <c r="E299" s="236" t="s">
        <v>438</v>
      </c>
    </row>
    <row r="300" spans="1:5">
      <c r="A300" s="52"/>
      <c r="B300" s="52"/>
      <c r="C300" s="34" t="s">
        <v>439</v>
      </c>
      <c r="E300" s="236" t="s">
        <v>439</v>
      </c>
    </row>
    <row r="301" spans="1:5">
      <c r="A301" s="52"/>
      <c r="B301" s="52"/>
      <c r="C301" s="34" t="s">
        <v>440</v>
      </c>
      <c r="E301" s="236" t="s">
        <v>440</v>
      </c>
    </row>
    <row r="302" spans="1:5">
      <c r="A302" s="52"/>
      <c r="B302" s="52"/>
      <c r="C302" s="34" t="s">
        <v>441</v>
      </c>
      <c r="E302" s="236" t="s">
        <v>441</v>
      </c>
    </row>
    <row r="303" spans="1:5">
      <c r="A303" s="52"/>
      <c r="B303" s="52"/>
      <c r="C303" s="34" t="s">
        <v>442</v>
      </c>
      <c r="E303" s="236" t="s">
        <v>442</v>
      </c>
    </row>
    <row r="304" spans="1:5">
      <c r="A304" s="52"/>
      <c r="B304" s="52"/>
      <c r="C304" s="34" t="s">
        <v>443</v>
      </c>
      <c r="E304" s="236" t="s">
        <v>443</v>
      </c>
    </row>
    <row r="305" spans="1:5">
      <c r="A305" s="52"/>
      <c r="B305" s="52"/>
      <c r="C305" s="34" t="s">
        <v>444</v>
      </c>
      <c r="E305" s="236" t="s">
        <v>444</v>
      </c>
    </row>
    <row r="306" spans="1:5">
      <c r="A306" s="52"/>
      <c r="B306" s="52"/>
      <c r="C306" s="34" t="s">
        <v>445</v>
      </c>
      <c r="E306" s="236" t="s">
        <v>445</v>
      </c>
    </row>
    <row r="307" spans="1:5">
      <c r="A307" s="52"/>
      <c r="B307" s="52"/>
      <c r="C307" s="34" t="s">
        <v>446</v>
      </c>
      <c r="E307" s="236" t="s">
        <v>446</v>
      </c>
    </row>
    <row r="308" spans="1:5">
      <c r="A308" s="52"/>
      <c r="B308" s="52"/>
      <c r="C308" s="34" t="s">
        <v>447</v>
      </c>
      <c r="E308" s="236" t="s">
        <v>447</v>
      </c>
    </row>
    <row r="309" spans="1:5">
      <c r="A309" s="52"/>
      <c r="B309" s="52"/>
      <c r="C309" s="34" t="s">
        <v>448</v>
      </c>
      <c r="E309" s="236" t="s">
        <v>448</v>
      </c>
    </row>
    <row r="310" spans="1:5">
      <c r="A310" s="52"/>
      <c r="B310" s="52"/>
      <c r="C310" s="34" t="s">
        <v>449</v>
      </c>
      <c r="E310" s="236" t="s">
        <v>449</v>
      </c>
    </row>
    <row r="311" spans="1:5">
      <c r="A311" s="52"/>
      <c r="B311" s="52"/>
      <c r="C311" s="34" t="s">
        <v>450</v>
      </c>
      <c r="E311" s="236" t="s">
        <v>450</v>
      </c>
    </row>
    <row r="312" spans="1:5">
      <c r="A312" s="52"/>
      <c r="B312" s="52"/>
      <c r="C312" s="34" t="s">
        <v>451</v>
      </c>
      <c r="E312" s="236" t="s">
        <v>451</v>
      </c>
    </row>
    <row r="313" spans="1:5">
      <c r="A313" s="52"/>
      <c r="B313" s="52"/>
      <c r="C313" s="34" t="s">
        <v>452</v>
      </c>
      <c r="E313" s="236" t="s">
        <v>452</v>
      </c>
    </row>
    <row r="314" spans="1:5">
      <c r="A314" s="52"/>
      <c r="B314" s="52"/>
      <c r="C314" s="34" t="s">
        <v>453</v>
      </c>
      <c r="E314" s="236" t="s">
        <v>453</v>
      </c>
    </row>
    <row r="315" spans="1:5">
      <c r="A315" s="52"/>
      <c r="B315" s="52"/>
      <c r="C315" s="34" t="s">
        <v>454</v>
      </c>
      <c r="E315" s="236" t="s">
        <v>454</v>
      </c>
    </row>
    <row r="316" spans="1:5">
      <c r="A316" s="52"/>
      <c r="B316" s="52"/>
      <c r="C316" s="34" t="s">
        <v>455</v>
      </c>
      <c r="E316" s="236" t="s">
        <v>455</v>
      </c>
    </row>
    <row r="317" spans="1:5">
      <c r="A317" s="52"/>
      <c r="B317" s="52"/>
      <c r="C317" s="34" t="s">
        <v>456</v>
      </c>
      <c r="E317" s="236" t="s">
        <v>456</v>
      </c>
    </row>
    <row r="318" spans="1:5">
      <c r="A318" s="52"/>
      <c r="B318" s="52"/>
      <c r="C318" s="34" t="s">
        <v>457</v>
      </c>
      <c r="E318" s="236" t="s">
        <v>457</v>
      </c>
    </row>
    <row r="319" spans="1:5">
      <c r="A319" s="52"/>
      <c r="B319" s="52"/>
      <c r="C319" s="34" t="s">
        <v>458</v>
      </c>
      <c r="E319" s="236" t="s">
        <v>458</v>
      </c>
    </row>
    <row r="320" spans="1:5">
      <c r="A320" s="52"/>
      <c r="B320" s="52"/>
      <c r="C320" s="34" t="s">
        <v>459</v>
      </c>
      <c r="E320" s="236" t="s">
        <v>459</v>
      </c>
    </row>
    <row r="321" spans="1:5">
      <c r="A321" s="52"/>
      <c r="B321" s="52"/>
      <c r="C321" s="34" t="s">
        <v>460</v>
      </c>
      <c r="E321" s="236" t="s">
        <v>460</v>
      </c>
    </row>
    <row r="322" spans="1:5">
      <c r="A322" s="52"/>
      <c r="B322" s="52"/>
      <c r="C322" s="34" t="s">
        <v>461</v>
      </c>
      <c r="E322" s="236" t="s">
        <v>461</v>
      </c>
    </row>
    <row r="323" spans="1:5">
      <c r="A323" s="52"/>
      <c r="B323" s="52"/>
      <c r="C323" s="34" t="s">
        <v>462</v>
      </c>
      <c r="E323" s="236" t="s">
        <v>462</v>
      </c>
    </row>
    <row r="324" spans="1:5">
      <c r="A324" s="52"/>
      <c r="B324" s="52"/>
      <c r="C324" s="34" t="s">
        <v>463</v>
      </c>
      <c r="E324" s="236" t="s">
        <v>463</v>
      </c>
    </row>
    <row r="325" spans="1:5">
      <c r="A325" s="52"/>
      <c r="B325" s="52"/>
      <c r="C325" s="34" t="s">
        <v>464</v>
      </c>
      <c r="E325" s="236" t="s">
        <v>464</v>
      </c>
    </row>
    <row r="326" spans="1:5">
      <c r="A326" s="52"/>
      <c r="B326" s="52"/>
      <c r="C326" s="34" t="s">
        <v>465</v>
      </c>
      <c r="E326" s="236" t="s">
        <v>465</v>
      </c>
    </row>
    <row r="327" spans="1:5">
      <c r="A327" s="52"/>
      <c r="B327" s="52"/>
      <c r="C327" s="34" t="s">
        <v>466</v>
      </c>
      <c r="E327" s="236" t="s">
        <v>466</v>
      </c>
    </row>
    <row r="328" spans="1:5">
      <c r="A328" s="52"/>
      <c r="B328" s="52"/>
      <c r="C328" s="34" t="s">
        <v>467</v>
      </c>
      <c r="E328" s="236" t="s">
        <v>467</v>
      </c>
    </row>
    <row r="329" spans="1:5">
      <c r="A329" s="52"/>
      <c r="B329" s="52"/>
      <c r="C329" s="34" t="s">
        <v>468</v>
      </c>
      <c r="E329" s="236" t="s">
        <v>468</v>
      </c>
    </row>
    <row r="330" spans="1:5">
      <c r="A330" s="52"/>
      <c r="B330" s="52"/>
      <c r="C330" s="34" t="s">
        <v>469</v>
      </c>
      <c r="E330" s="236" t="s">
        <v>469</v>
      </c>
    </row>
    <row r="331" spans="1:5">
      <c r="A331" s="52"/>
      <c r="B331" s="52"/>
      <c r="C331" s="34" t="s">
        <v>470</v>
      </c>
      <c r="E331" s="236" t="s">
        <v>470</v>
      </c>
    </row>
    <row r="332" spans="1:5">
      <c r="A332" s="52"/>
      <c r="B332" s="52"/>
      <c r="C332" s="34" t="s">
        <v>471</v>
      </c>
      <c r="E332" s="236" t="s">
        <v>471</v>
      </c>
    </row>
    <row r="333" spans="1:5">
      <c r="A333" s="52"/>
      <c r="B333" s="52"/>
      <c r="C333" s="34" t="s">
        <v>472</v>
      </c>
      <c r="E333" s="236" t="s">
        <v>472</v>
      </c>
    </row>
    <row r="334" spans="1:5">
      <c r="A334" s="52"/>
      <c r="B334" s="52"/>
      <c r="C334" s="34" t="s">
        <v>473</v>
      </c>
      <c r="E334" s="236" t="s">
        <v>473</v>
      </c>
    </row>
    <row r="335" spans="1:5">
      <c r="A335" s="52"/>
      <c r="B335" s="52"/>
      <c r="C335" s="34" t="s">
        <v>474</v>
      </c>
      <c r="E335" s="236" t="s">
        <v>474</v>
      </c>
    </row>
    <row r="336" spans="1:5">
      <c r="A336" s="52"/>
      <c r="B336" s="52"/>
      <c r="C336" s="34" t="s">
        <v>475</v>
      </c>
      <c r="E336" s="236" t="s">
        <v>475</v>
      </c>
    </row>
    <row r="337" spans="1:9">
      <c r="A337" s="52"/>
      <c r="B337" s="52"/>
      <c r="C337" s="34" t="s">
        <v>476</v>
      </c>
      <c r="E337" s="236" t="s">
        <v>476</v>
      </c>
    </row>
    <row r="338" spans="1:9">
      <c r="A338" s="52"/>
      <c r="B338" s="52"/>
      <c r="C338" s="34" t="s">
        <v>477</v>
      </c>
      <c r="E338" s="236" t="s">
        <v>477</v>
      </c>
    </row>
    <row r="339" spans="1:9">
      <c r="A339" s="52"/>
      <c r="B339" s="52"/>
      <c r="C339" s="34" t="s">
        <v>478</v>
      </c>
      <c r="E339" s="236" t="s">
        <v>478</v>
      </c>
    </row>
    <row r="340" spans="1:9">
      <c r="A340" s="52"/>
      <c r="B340" s="52"/>
      <c r="C340" s="34" t="s">
        <v>479</v>
      </c>
      <c r="E340" s="236" t="s">
        <v>479</v>
      </c>
    </row>
    <row r="341" spans="1:9">
      <c r="A341" s="52"/>
      <c r="B341" s="52"/>
      <c r="C341" s="34" t="s">
        <v>480</v>
      </c>
      <c r="E341" s="236" t="s">
        <v>480</v>
      </c>
    </row>
    <row r="342" spans="1:9">
      <c r="A342" s="52"/>
      <c r="B342" s="52"/>
      <c r="C342" s="34" t="s">
        <v>481</v>
      </c>
      <c r="E342" s="236" t="s">
        <v>481</v>
      </c>
    </row>
    <row r="343" spans="1:9">
      <c r="A343" s="52"/>
      <c r="B343" s="52"/>
      <c r="C343" s="34" t="s">
        <v>482</v>
      </c>
      <c r="E343" s="236" t="s">
        <v>482</v>
      </c>
    </row>
    <row r="344" spans="1:9">
      <c r="A344" s="52"/>
      <c r="B344" s="52"/>
      <c r="C344" s="34" t="s">
        <v>483</v>
      </c>
      <c r="E344" s="236" t="s">
        <v>483</v>
      </c>
    </row>
    <row r="345" spans="1:9">
      <c r="A345" s="106"/>
      <c r="B345" s="106"/>
      <c r="C345" s="120" t="s">
        <v>484</v>
      </c>
    </row>
    <row r="346" spans="1:9">
      <c r="A346" s="106"/>
      <c r="B346" s="106"/>
      <c r="C346" s="120" t="s">
        <v>485</v>
      </c>
    </row>
    <row r="347" spans="1:9">
      <c r="A347" s="106"/>
      <c r="B347" s="106"/>
      <c r="C347" s="120" t="s">
        <v>486</v>
      </c>
    </row>
    <row r="348" spans="1:9">
      <c r="A348" s="106"/>
      <c r="B348" s="106"/>
      <c r="C348" s="120" t="s">
        <v>487</v>
      </c>
      <c r="E348" s="127"/>
    </row>
    <row r="349" spans="1:9">
      <c r="A349" s="106"/>
      <c r="B349" s="106"/>
      <c r="C349" s="120" t="s">
        <v>488</v>
      </c>
    </row>
    <row r="350" spans="1:9">
      <c r="A350" s="109"/>
      <c r="B350" s="109"/>
      <c r="C350" s="121" t="s">
        <v>1020</v>
      </c>
    </row>
    <row r="352" spans="1:9">
      <c r="A352" s="151" t="s">
        <v>18</v>
      </c>
      <c r="B352" s="50" t="s">
        <v>1144</v>
      </c>
      <c r="C352" s="239" t="s">
        <v>1021</v>
      </c>
      <c r="I352" s="228" t="s">
        <v>1145</v>
      </c>
    </row>
    <row r="353" spans="1:9">
      <c r="A353" s="39"/>
      <c r="B353" s="52"/>
      <c r="C353" s="240" t="s">
        <v>1024</v>
      </c>
      <c r="I353" s="228" t="s">
        <v>1146</v>
      </c>
    </row>
    <row r="354" spans="1:9">
      <c r="A354" s="39"/>
      <c r="B354" s="52"/>
      <c r="C354" s="240" t="s">
        <v>1026</v>
      </c>
      <c r="I354" s="228" t="s">
        <v>1147</v>
      </c>
    </row>
    <row r="355" spans="1:9">
      <c r="A355" s="39"/>
      <c r="B355" s="52"/>
      <c r="C355" s="240" t="s">
        <v>1028</v>
      </c>
      <c r="I355" s="228" t="s">
        <v>1146</v>
      </c>
    </row>
    <row r="356" spans="1:9">
      <c r="A356" s="39"/>
      <c r="B356" s="52"/>
      <c r="C356" s="240" t="s">
        <v>1029</v>
      </c>
      <c r="I356" s="228" t="s">
        <v>1146</v>
      </c>
    </row>
    <row r="357" spans="1:9">
      <c r="A357" s="95"/>
      <c r="B357" s="51"/>
      <c r="C357" s="241" t="s">
        <v>773</v>
      </c>
      <c r="I357" s="228" t="s">
        <v>1147</v>
      </c>
    </row>
    <row r="358" spans="1:9">
      <c r="E358" s="200"/>
    </row>
    <row r="359" spans="1:9">
      <c r="E359" s="200"/>
    </row>
    <row r="360" spans="1:9">
      <c r="E360" s="200"/>
    </row>
    <row r="363" spans="1:9">
      <c r="A363" s="151" t="s">
        <v>18</v>
      </c>
      <c r="B363" s="50" t="s">
        <v>20</v>
      </c>
      <c r="C363" s="238" t="s">
        <v>1030</v>
      </c>
      <c r="E363" s="226" t="s">
        <v>1148</v>
      </c>
      <c r="I363" s="228" t="s">
        <v>1149</v>
      </c>
    </row>
    <row r="364" spans="1:9">
      <c r="A364" s="52"/>
      <c r="B364" s="52"/>
      <c r="C364" s="34" t="s">
        <v>1032</v>
      </c>
      <c r="E364" t="s">
        <v>1150</v>
      </c>
    </row>
    <row r="365" spans="1:9">
      <c r="A365" s="52"/>
      <c r="B365" s="52"/>
      <c r="C365" s="237" t="s">
        <v>1033</v>
      </c>
    </row>
    <row r="366" spans="1:9">
      <c r="A366" s="52"/>
      <c r="B366" s="52"/>
      <c r="C366" s="34" t="s">
        <v>1035</v>
      </c>
      <c r="E366" t="s">
        <v>1151</v>
      </c>
    </row>
    <row r="367" spans="1:9">
      <c r="A367" s="52"/>
      <c r="B367" s="52"/>
      <c r="C367" s="236" t="s">
        <v>1036</v>
      </c>
      <c r="E367" s="226" t="s">
        <v>1152</v>
      </c>
    </row>
    <row r="368" spans="1:9">
      <c r="A368" s="52"/>
      <c r="B368" s="52"/>
      <c r="C368" s="34" t="s">
        <v>1038</v>
      </c>
      <c r="E368" t="s">
        <v>1153</v>
      </c>
    </row>
    <row r="369" spans="1:5">
      <c r="A369" s="52"/>
      <c r="B369" s="52"/>
      <c r="C369" s="34" t="s">
        <v>1039</v>
      </c>
      <c r="E369" t="s">
        <v>1154</v>
      </c>
    </row>
    <row r="370" spans="1:5">
      <c r="A370" s="52"/>
      <c r="B370" s="52"/>
      <c r="C370" s="236" t="s">
        <v>1040</v>
      </c>
      <c r="E370" s="226" t="s">
        <v>1155</v>
      </c>
    </row>
    <row r="371" spans="1:5">
      <c r="A371" s="52"/>
      <c r="B371" s="52"/>
      <c r="C371" s="34" t="s">
        <v>1041</v>
      </c>
      <c r="E371" t="s">
        <v>1156</v>
      </c>
    </row>
    <row r="372" spans="1:5">
      <c r="A372" s="51"/>
      <c r="B372" s="51"/>
      <c r="C372" s="242" t="s">
        <v>1042</v>
      </c>
      <c r="E372" s="242" t="s">
        <v>1157</v>
      </c>
    </row>
    <row r="373" spans="1:5">
      <c r="E373" s="226" t="s">
        <v>1158</v>
      </c>
    </row>
    <row r="374" spans="1:5">
      <c r="E374" s="200"/>
    </row>
    <row r="375" spans="1:5">
      <c r="E375" s="200"/>
    </row>
    <row r="376" spans="1:5">
      <c r="A376" s="151" t="s">
        <v>18</v>
      </c>
      <c r="B376" s="50" t="s">
        <v>21</v>
      </c>
      <c r="C376" s="238" t="s">
        <v>1045</v>
      </c>
      <c r="E376" s="226" t="s">
        <v>491</v>
      </c>
    </row>
    <row r="377" spans="1:5">
      <c r="A377" s="52"/>
      <c r="B377" s="52"/>
      <c r="C377" s="34" t="s">
        <v>1047</v>
      </c>
      <c r="E377" t="s">
        <v>1159</v>
      </c>
    </row>
    <row r="378" spans="1:5">
      <c r="A378" s="52"/>
      <c r="B378" s="52"/>
      <c r="C378" s="34" t="s">
        <v>1048</v>
      </c>
      <c r="E378" t="s">
        <v>1160</v>
      </c>
    </row>
    <row r="379" spans="1:5">
      <c r="A379" s="52"/>
      <c r="B379" s="52"/>
      <c r="C379" s="236" t="s">
        <v>1049</v>
      </c>
      <c r="E379" s="226" t="s">
        <v>494</v>
      </c>
    </row>
    <row r="380" spans="1:5">
      <c r="A380" s="52"/>
      <c r="B380" s="52"/>
      <c r="C380" s="34" t="s">
        <v>1051</v>
      </c>
      <c r="E380" t="s">
        <v>1161</v>
      </c>
    </row>
    <row r="381" spans="1:5">
      <c r="A381" s="52"/>
      <c r="B381" s="52"/>
      <c r="C381" s="34" t="s">
        <v>776</v>
      </c>
      <c r="E381" t="s">
        <v>1162</v>
      </c>
    </row>
    <row r="382" spans="1:5">
      <c r="A382" s="52"/>
      <c r="B382" s="52"/>
      <c r="C382" s="236" t="s">
        <v>1052</v>
      </c>
      <c r="E382" s="226" t="s">
        <v>497</v>
      </c>
    </row>
    <row r="383" spans="1:5">
      <c r="A383" s="52"/>
      <c r="B383" s="52"/>
      <c r="C383" s="34" t="s">
        <v>1054</v>
      </c>
      <c r="E383" t="s">
        <v>1163</v>
      </c>
    </row>
    <row r="384" spans="1:5">
      <c r="A384" s="52"/>
      <c r="B384" s="52"/>
      <c r="C384" s="34" t="s">
        <v>779</v>
      </c>
      <c r="E384" t="s">
        <v>1164</v>
      </c>
    </row>
    <row r="385" spans="1:5">
      <c r="A385" s="52"/>
      <c r="B385" s="52"/>
      <c r="C385" s="34" t="s">
        <v>1055</v>
      </c>
      <c r="E385" t="s">
        <v>1165</v>
      </c>
    </row>
    <row r="386" spans="1:5">
      <c r="A386" s="52"/>
      <c r="B386" s="52"/>
      <c r="C386" s="236" t="s">
        <v>1056</v>
      </c>
      <c r="E386" s="226" t="s">
        <v>501</v>
      </c>
    </row>
    <row r="387" spans="1:5">
      <c r="A387" s="52"/>
      <c r="B387" s="52"/>
      <c r="C387" s="34" t="s">
        <v>1057</v>
      </c>
      <c r="E387" t="s">
        <v>1166</v>
      </c>
    </row>
    <row r="388" spans="1:5">
      <c r="A388" s="52"/>
      <c r="B388" s="52"/>
      <c r="C388" s="34" t="s">
        <v>1058</v>
      </c>
      <c r="E388" t="s">
        <v>1167</v>
      </c>
    </row>
    <row r="389" spans="1:5">
      <c r="A389" s="51"/>
      <c r="B389" s="51"/>
      <c r="C389" s="242" t="s">
        <v>1059</v>
      </c>
      <c r="E389" t="s">
        <v>1168</v>
      </c>
    </row>
    <row r="390" spans="1:5">
      <c r="A390" s="62"/>
      <c r="B390" s="62"/>
      <c r="C390" s="127"/>
      <c r="E390" s="226" t="s">
        <v>1169</v>
      </c>
    </row>
    <row r="392" spans="1:5">
      <c r="A392" s="151" t="s">
        <v>18</v>
      </c>
      <c r="B392" s="50" t="s">
        <v>22</v>
      </c>
      <c r="C392" s="238" t="s">
        <v>1060</v>
      </c>
      <c r="E392" s="226" t="s">
        <v>548</v>
      </c>
    </row>
    <row r="393" spans="1:5">
      <c r="A393" s="39"/>
      <c r="B393" s="52"/>
      <c r="C393" s="34" t="s">
        <v>1062</v>
      </c>
      <c r="E393" t="s">
        <v>1170</v>
      </c>
    </row>
    <row r="394" spans="1:5">
      <c r="A394" s="39"/>
      <c r="B394" s="52"/>
      <c r="C394" s="34" t="s">
        <v>1064</v>
      </c>
      <c r="E394" t="s">
        <v>1171</v>
      </c>
    </row>
    <row r="395" spans="1:5">
      <c r="A395" s="39"/>
      <c r="B395" s="52"/>
      <c r="C395" s="236" t="s">
        <v>1065</v>
      </c>
      <c r="E395" s="226" t="s">
        <v>551</v>
      </c>
    </row>
    <row r="396" spans="1:5">
      <c r="A396" s="39"/>
      <c r="B396" s="52"/>
      <c r="C396" s="34" t="s">
        <v>1066</v>
      </c>
      <c r="E396" t="s">
        <v>1172</v>
      </c>
    </row>
    <row r="397" spans="1:5">
      <c r="A397" s="39"/>
      <c r="B397" s="52"/>
      <c r="C397" s="34" t="s">
        <v>1067</v>
      </c>
      <c r="E397" t="s">
        <v>1173</v>
      </c>
    </row>
    <row r="398" spans="1:5">
      <c r="A398" s="39"/>
      <c r="B398" s="52"/>
      <c r="C398" s="236" t="s">
        <v>1068</v>
      </c>
      <c r="E398" s="226" t="s">
        <v>553</v>
      </c>
    </row>
    <row r="399" spans="1:5">
      <c r="A399" s="39"/>
      <c r="B399" s="52"/>
      <c r="C399" s="34" t="s">
        <v>1070</v>
      </c>
      <c r="E399" t="s">
        <v>1174</v>
      </c>
    </row>
    <row r="400" spans="1:5">
      <c r="A400" s="39"/>
      <c r="B400" s="52"/>
      <c r="C400" s="34" t="s">
        <v>1071</v>
      </c>
      <c r="E400" t="s">
        <v>1175</v>
      </c>
    </row>
    <row r="401" spans="1:9">
      <c r="A401" s="39"/>
      <c r="B401" s="52"/>
      <c r="C401" s="34" t="s">
        <v>1072</v>
      </c>
      <c r="E401" t="s">
        <v>1176</v>
      </c>
    </row>
    <row r="402" spans="1:9">
      <c r="A402" s="39"/>
      <c r="B402" s="52"/>
      <c r="C402" s="236" t="s">
        <v>1073</v>
      </c>
      <c r="E402" s="226" t="s">
        <v>557</v>
      </c>
    </row>
    <row r="403" spans="1:9">
      <c r="A403" s="39"/>
      <c r="B403" s="52"/>
      <c r="C403" s="34" t="s">
        <v>1074</v>
      </c>
      <c r="E403" t="s">
        <v>1177</v>
      </c>
    </row>
    <row r="404" spans="1:9">
      <c r="A404" s="95"/>
      <c r="B404" s="51"/>
      <c r="C404" s="35" t="s">
        <v>1075</v>
      </c>
      <c r="E404" t="s">
        <v>1178</v>
      </c>
    </row>
    <row r="405" spans="1:9">
      <c r="A405" s="62"/>
      <c r="B405" s="62"/>
      <c r="C405"/>
      <c r="E405" s="226"/>
    </row>
    <row r="406" spans="1:9">
      <c r="E406" s="200"/>
    </row>
    <row r="407" spans="1:9">
      <c r="A407" s="152" t="s">
        <v>23</v>
      </c>
      <c r="B407" s="114" t="s">
        <v>23</v>
      </c>
      <c r="C407" s="117" t="s">
        <v>175</v>
      </c>
    </row>
    <row r="408" spans="1:9">
      <c r="A408" s="123"/>
      <c r="B408" s="106"/>
      <c r="C408" s="227" t="s">
        <v>181</v>
      </c>
    </row>
    <row r="409" spans="1:9">
      <c r="A409" s="123"/>
      <c r="B409" s="106"/>
      <c r="C409" s="227" t="s">
        <v>184</v>
      </c>
    </row>
    <row r="410" spans="1:9">
      <c r="A410" s="123"/>
      <c r="B410" s="106"/>
      <c r="C410" s="227" t="s">
        <v>186</v>
      </c>
    </row>
    <row r="411" spans="1:9">
      <c r="A411" s="125"/>
      <c r="B411" s="109"/>
      <c r="C411" s="111" t="s">
        <v>1076</v>
      </c>
    </row>
    <row r="413" spans="1:9">
      <c r="A413" s="39" t="s">
        <v>9</v>
      </c>
      <c r="B413" s="52" t="s">
        <v>166</v>
      </c>
      <c r="C413" s="115" t="s">
        <v>201</v>
      </c>
      <c r="E413" s="200" t="s">
        <v>201</v>
      </c>
      <c r="I413" s="200" t="s">
        <v>1023</v>
      </c>
    </row>
    <row r="414" spans="1:9">
      <c r="A414" s="39"/>
      <c r="B414" s="52"/>
      <c r="C414" s="120" t="s">
        <v>202</v>
      </c>
      <c r="E414" s="200" t="s">
        <v>202</v>
      </c>
      <c r="I414" s="200" t="s">
        <v>1023</v>
      </c>
    </row>
    <row r="415" spans="1:9">
      <c r="A415" s="39"/>
      <c r="B415" s="52"/>
      <c r="C415" s="120" t="s">
        <v>204</v>
      </c>
      <c r="E415" s="200" t="s">
        <v>204</v>
      </c>
      <c r="I415" s="200" t="s">
        <v>1023</v>
      </c>
    </row>
    <row r="416" spans="1:9">
      <c r="A416" s="39"/>
      <c r="B416" s="52"/>
      <c r="C416" s="120" t="s">
        <v>206</v>
      </c>
      <c r="E416" s="200" t="s">
        <v>206</v>
      </c>
      <c r="I416" s="200" t="s">
        <v>1023</v>
      </c>
    </row>
    <row r="417" spans="1:9">
      <c r="A417" s="39"/>
      <c r="B417" s="52"/>
      <c r="C417" s="120" t="s">
        <v>207</v>
      </c>
      <c r="E417" s="200" t="s">
        <v>207</v>
      </c>
      <c r="I417" s="200" t="s">
        <v>1023</v>
      </c>
    </row>
    <row r="418" spans="1:9">
      <c r="A418" s="39"/>
      <c r="B418" s="52"/>
      <c r="C418" s="120" t="s">
        <v>208</v>
      </c>
      <c r="E418" s="200" t="s">
        <v>208</v>
      </c>
      <c r="I418" s="200" t="s">
        <v>1023</v>
      </c>
    </row>
    <row r="419" spans="1:9">
      <c r="A419" s="39"/>
      <c r="B419" s="52"/>
      <c r="C419" s="120" t="s">
        <v>209</v>
      </c>
      <c r="E419" s="200" t="s">
        <v>209</v>
      </c>
      <c r="I419" s="200" t="s">
        <v>1023</v>
      </c>
    </row>
    <row r="420" spans="1:9">
      <c r="A420" s="39"/>
      <c r="B420" s="52"/>
      <c r="C420" s="120" t="s">
        <v>211</v>
      </c>
      <c r="E420" s="200" t="s">
        <v>211</v>
      </c>
      <c r="I420" s="200" t="s">
        <v>1023</v>
      </c>
    </row>
    <row r="421" spans="1:9">
      <c r="A421" s="39"/>
      <c r="B421" s="52"/>
      <c r="C421" s="120" t="s">
        <v>212</v>
      </c>
      <c r="E421" s="200" t="s">
        <v>212</v>
      </c>
      <c r="I421" s="200" t="s">
        <v>1023</v>
      </c>
    </row>
    <row r="422" spans="1:9">
      <c r="A422" s="39"/>
      <c r="B422" s="52"/>
      <c r="C422" s="120" t="s">
        <v>213</v>
      </c>
      <c r="E422" s="200" t="s">
        <v>213</v>
      </c>
      <c r="I422" s="200" t="s">
        <v>1023</v>
      </c>
    </row>
    <row r="423" spans="1:9">
      <c r="A423" s="39"/>
      <c r="B423" s="52"/>
      <c r="C423" s="120" t="s">
        <v>214</v>
      </c>
      <c r="E423" s="200" t="s">
        <v>214</v>
      </c>
      <c r="I423" s="200" t="s">
        <v>1023</v>
      </c>
    </row>
    <row r="424" spans="1:9">
      <c r="A424" s="39"/>
      <c r="B424" s="52"/>
      <c r="C424" s="120" t="s">
        <v>215</v>
      </c>
      <c r="E424" s="200" t="s">
        <v>215</v>
      </c>
      <c r="I424" s="200" t="s">
        <v>1023</v>
      </c>
    </row>
    <row r="425" spans="1:9">
      <c r="E425" t="s">
        <v>218</v>
      </c>
      <c r="I425" s="228" t="s">
        <v>1179</v>
      </c>
    </row>
    <row r="426" spans="1:9">
      <c r="E426" s="127" t="s">
        <v>1180</v>
      </c>
    </row>
    <row r="429" spans="1:9">
      <c r="A429" s="39" t="s">
        <v>9</v>
      </c>
      <c r="B429" s="52" t="s">
        <v>167</v>
      </c>
      <c r="E429" s="243" t="s">
        <v>231</v>
      </c>
      <c r="I429" s="228" t="s">
        <v>1181</v>
      </c>
    </row>
    <row r="430" spans="1:9">
      <c r="A430" s="39"/>
      <c r="B430" s="52"/>
      <c r="E430" s="127" t="s">
        <v>1182</v>
      </c>
    </row>
    <row r="431" spans="1:9">
      <c r="E431" s="243"/>
    </row>
    <row r="432" spans="1:9">
      <c r="E432" s="243"/>
    </row>
    <row r="433" spans="5:5">
      <c r="E433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2C8D-A45A-4791-AA0F-DDABDBDF79D6}">
  <dimension ref="A1:N55"/>
  <sheetViews>
    <sheetView zoomScale="85" zoomScaleNormal="85" workbookViewId="0">
      <pane ySplit="2" topLeftCell="A3" activePane="bottomLeft" state="frozen"/>
      <selection pane="bottomLeft" activeCell="B20" sqref="B20"/>
      <selection activeCell="C2" sqref="A2:XFD2"/>
    </sheetView>
  </sheetViews>
  <sheetFormatPr defaultRowHeight="14.45"/>
  <cols>
    <col min="1" max="1" width="21.28515625" bestFit="1" customWidth="1"/>
    <col min="2" max="2" width="32.42578125" customWidth="1"/>
    <col min="3" max="3" width="34" customWidth="1"/>
    <col min="4" max="4" width="12.85546875" customWidth="1"/>
    <col min="5" max="5" width="48.5703125" style="81" bestFit="1" customWidth="1"/>
    <col min="6" max="6" width="7.28515625" style="3" bestFit="1" customWidth="1"/>
    <col min="7" max="7" width="7.5703125" style="3" bestFit="1" customWidth="1"/>
    <col min="8" max="8" width="12.85546875" style="3" bestFit="1" customWidth="1"/>
    <col min="9" max="9" width="13.28515625" style="43" bestFit="1" customWidth="1"/>
    <col min="10" max="10" width="48.5703125" style="76" bestFit="1" customWidth="1"/>
    <col min="11" max="11" width="8.28515625" bestFit="1" customWidth="1"/>
    <col min="12" max="12" width="8.5703125" bestFit="1" customWidth="1"/>
    <col min="13" max="13" width="11.28515625" bestFit="1" customWidth="1"/>
    <col min="14" max="14" width="11.28515625" style="32" bestFit="1" customWidth="1"/>
  </cols>
  <sheetData>
    <row r="1" spans="1:14">
      <c r="E1" s="324" t="s">
        <v>605</v>
      </c>
      <c r="F1" s="325"/>
      <c r="G1" s="325"/>
      <c r="H1" s="325"/>
      <c r="I1" s="326"/>
      <c r="J1" s="324" t="s">
        <v>606</v>
      </c>
      <c r="K1" s="325"/>
      <c r="L1" s="325"/>
      <c r="M1" s="325"/>
      <c r="N1" s="326"/>
    </row>
    <row r="2" spans="1:14" s="127" customFormat="1">
      <c r="A2" s="296" t="s">
        <v>168</v>
      </c>
      <c r="B2" s="297" t="s">
        <v>0</v>
      </c>
      <c r="C2" s="298" t="s">
        <v>169</v>
      </c>
      <c r="D2" s="299" t="s">
        <v>170</v>
      </c>
      <c r="E2" s="300" t="s">
        <v>1183</v>
      </c>
      <c r="F2" s="300" t="s">
        <v>1184</v>
      </c>
      <c r="G2" s="300" t="s">
        <v>1185</v>
      </c>
      <c r="H2" s="300" t="s">
        <v>1186</v>
      </c>
      <c r="I2" s="300" t="s">
        <v>1187</v>
      </c>
      <c r="J2" s="300" t="s">
        <v>609</v>
      </c>
      <c r="K2" s="300" t="s">
        <v>1188</v>
      </c>
      <c r="L2" s="300" t="s">
        <v>1189</v>
      </c>
      <c r="M2" s="300" t="s">
        <v>1190</v>
      </c>
      <c r="N2" s="300" t="s">
        <v>1191</v>
      </c>
    </row>
    <row r="3" spans="1:14">
      <c r="A3" s="50" t="s">
        <v>614</v>
      </c>
      <c r="B3" s="148" t="s">
        <v>618</v>
      </c>
      <c r="C3" s="67" t="s">
        <v>192</v>
      </c>
      <c r="D3" s="67" t="s">
        <v>193</v>
      </c>
      <c r="E3" s="92"/>
      <c r="F3" s="74" t="s">
        <v>185</v>
      </c>
      <c r="G3" s="74" t="s">
        <v>180</v>
      </c>
      <c r="H3" s="74"/>
      <c r="I3" s="42"/>
      <c r="J3" s="92"/>
      <c r="K3" s="74" t="s">
        <v>185</v>
      </c>
      <c r="L3" s="74" t="s">
        <v>180</v>
      </c>
      <c r="M3" s="74"/>
      <c r="N3" s="42"/>
    </row>
    <row r="4" spans="1:14">
      <c r="A4" s="52"/>
      <c r="B4" s="52"/>
      <c r="C4" s="1" t="s">
        <v>194</v>
      </c>
      <c r="D4" s="1" t="s">
        <v>193</v>
      </c>
      <c r="H4" s="3" t="s">
        <v>185</v>
      </c>
      <c r="I4" s="43" t="s">
        <v>180</v>
      </c>
      <c r="J4" s="81"/>
      <c r="K4" s="3"/>
      <c r="L4" s="3"/>
      <c r="M4" s="3" t="s">
        <v>185</v>
      </c>
      <c r="N4" s="43" t="s">
        <v>180</v>
      </c>
    </row>
    <row r="5" spans="1:14">
      <c r="A5" s="52"/>
      <c r="B5" s="52"/>
      <c r="C5" s="1" t="s">
        <v>195</v>
      </c>
      <c r="D5" s="1" t="s">
        <v>193</v>
      </c>
      <c r="E5" s="81" t="s">
        <v>187</v>
      </c>
      <c r="H5" s="3" t="s">
        <v>180</v>
      </c>
      <c r="J5" s="81" t="s">
        <v>187</v>
      </c>
      <c r="K5" s="3"/>
      <c r="L5" s="3"/>
      <c r="M5" s="3" t="s">
        <v>180</v>
      </c>
      <c r="N5" s="43"/>
    </row>
    <row r="6" spans="1:14">
      <c r="A6" s="51"/>
      <c r="B6" s="51"/>
      <c r="C6" s="70" t="s">
        <v>196</v>
      </c>
      <c r="D6" s="70" t="s">
        <v>193</v>
      </c>
      <c r="E6" s="93" t="s">
        <v>187</v>
      </c>
      <c r="F6" s="77" t="s">
        <v>180</v>
      </c>
      <c r="G6" s="77"/>
      <c r="H6" s="77"/>
      <c r="I6" s="44"/>
      <c r="J6" s="93" t="s">
        <v>187</v>
      </c>
      <c r="K6" s="77" t="s">
        <v>180</v>
      </c>
      <c r="L6" s="77"/>
      <c r="M6" s="77"/>
      <c r="N6" s="44"/>
    </row>
    <row r="8" spans="1:14">
      <c r="A8" s="73" t="s">
        <v>614</v>
      </c>
      <c r="B8" s="148" t="s">
        <v>1192</v>
      </c>
      <c r="C8" s="67" t="s">
        <v>239</v>
      </c>
      <c r="D8" s="67" t="s">
        <v>193</v>
      </c>
      <c r="E8" s="92" t="s">
        <v>180</v>
      </c>
      <c r="F8" s="74" t="s">
        <v>185</v>
      </c>
      <c r="G8" s="74"/>
      <c r="H8" s="74" t="s">
        <v>180</v>
      </c>
      <c r="I8" s="42"/>
      <c r="J8" s="92" t="s">
        <v>180</v>
      </c>
      <c r="K8" s="74" t="s">
        <v>185</v>
      </c>
      <c r="L8" s="74"/>
      <c r="M8" s="74" t="s">
        <v>180</v>
      </c>
      <c r="N8" s="42"/>
    </row>
    <row r="9" spans="1:14">
      <c r="A9" s="149"/>
      <c r="B9" s="149"/>
      <c r="C9" s="1" t="s">
        <v>241</v>
      </c>
      <c r="D9" s="1"/>
      <c r="I9" s="81"/>
      <c r="J9" s="81"/>
      <c r="K9" s="3"/>
      <c r="L9" s="3"/>
      <c r="M9" s="3"/>
      <c r="N9" s="43"/>
    </row>
    <row r="10" spans="1:14">
      <c r="A10" s="149"/>
      <c r="B10" s="149"/>
      <c r="C10" s="1" t="s">
        <v>242</v>
      </c>
      <c r="D10" s="1"/>
      <c r="J10" s="81"/>
      <c r="K10" s="3"/>
      <c r="L10" s="3"/>
      <c r="M10" s="3"/>
      <c r="N10" s="43"/>
    </row>
    <row r="11" spans="1:14">
      <c r="A11" s="149"/>
      <c r="B11" s="149"/>
      <c r="C11" t="s">
        <v>769</v>
      </c>
      <c r="D11" t="s">
        <v>176</v>
      </c>
      <c r="E11" s="81" t="s">
        <v>862</v>
      </c>
      <c r="F11" s="3" t="s">
        <v>178</v>
      </c>
      <c r="G11" s="3" t="s">
        <v>179</v>
      </c>
      <c r="H11" s="3" t="s">
        <v>180</v>
      </c>
      <c r="I11" s="43" t="s">
        <v>179</v>
      </c>
      <c r="J11" s="81" t="s">
        <v>862</v>
      </c>
      <c r="K11" s="3" t="s">
        <v>178</v>
      </c>
      <c r="L11" s="3" t="s">
        <v>179</v>
      </c>
      <c r="M11" s="3" t="s">
        <v>180</v>
      </c>
      <c r="N11" s="43" t="s">
        <v>179</v>
      </c>
    </row>
    <row r="12" spans="1:14">
      <c r="A12" s="149"/>
      <c r="B12" s="149"/>
      <c r="C12" s="1" t="s">
        <v>190</v>
      </c>
      <c r="D12" t="s">
        <v>191</v>
      </c>
      <c r="E12" s="81" t="s">
        <v>862</v>
      </c>
      <c r="F12" s="3" t="s">
        <v>178</v>
      </c>
      <c r="H12" s="3" t="s">
        <v>180</v>
      </c>
      <c r="J12" s="81" t="s">
        <v>862</v>
      </c>
      <c r="K12" s="3" t="s">
        <v>178</v>
      </c>
      <c r="L12" s="3"/>
      <c r="M12" s="3" t="s">
        <v>180</v>
      </c>
      <c r="N12" s="43"/>
    </row>
    <row r="13" spans="1:14">
      <c r="A13" s="149"/>
      <c r="B13" s="149"/>
      <c r="C13" t="s">
        <v>634</v>
      </c>
      <c r="D13" s="1" t="s">
        <v>203</v>
      </c>
      <c r="E13" s="81" t="s">
        <v>185</v>
      </c>
      <c r="F13" s="3" t="s">
        <v>178</v>
      </c>
      <c r="H13" s="3" t="s">
        <v>180</v>
      </c>
      <c r="J13" s="81" t="s">
        <v>185</v>
      </c>
      <c r="K13" s="3" t="s">
        <v>178</v>
      </c>
      <c r="L13" s="3"/>
      <c r="M13" s="3" t="s">
        <v>180</v>
      </c>
      <c r="N13" s="43"/>
    </row>
    <row r="14" spans="1:14">
      <c r="A14" s="149"/>
      <c r="B14" s="149"/>
      <c r="C14" t="s">
        <v>621</v>
      </c>
      <c r="D14" s="1" t="s">
        <v>203</v>
      </c>
      <c r="E14" s="81" t="s">
        <v>187</v>
      </c>
      <c r="F14" s="3" t="s">
        <v>178</v>
      </c>
      <c r="H14" s="3" t="s">
        <v>180</v>
      </c>
      <c r="J14" s="81" t="s">
        <v>187</v>
      </c>
      <c r="K14" s="3" t="s">
        <v>178</v>
      </c>
      <c r="L14" s="3"/>
      <c r="M14" s="3" t="s">
        <v>180</v>
      </c>
      <c r="N14" s="43"/>
    </row>
    <row r="15" spans="1:14">
      <c r="A15" s="149"/>
      <c r="B15" s="149"/>
      <c r="C15" t="s">
        <v>771</v>
      </c>
      <c r="D15" s="1" t="s">
        <v>176</v>
      </c>
      <c r="E15" s="81" t="s">
        <v>623</v>
      </c>
      <c r="F15" s="3" t="s">
        <v>185</v>
      </c>
      <c r="G15" s="3" t="s">
        <v>179</v>
      </c>
      <c r="H15" s="3" t="s">
        <v>180</v>
      </c>
      <c r="I15" s="43" t="s">
        <v>179</v>
      </c>
      <c r="J15" s="81" t="s">
        <v>623</v>
      </c>
      <c r="K15" s="3" t="s">
        <v>185</v>
      </c>
      <c r="L15" s="3" t="s">
        <v>179</v>
      </c>
      <c r="M15" s="3" t="s">
        <v>180</v>
      </c>
      <c r="N15" s="43" t="s">
        <v>179</v>
      </c>
    </row>
    <row r="16" spans="1:14">
      <c r="A16" s="149"/>
      <c r="B16" s="149"/>
      <c r="C16" t="s">
        <v>285</v>
      </c>
      <c r="D16" s="1" t="s">
        <v>286</v>
      </c>
      <c r="E16" s="81" t="s">
        <v>623</v>
      </c>
      <c r="F16" s="3" t="s">
        <v>185</v>
      </c>
      <c r="H16" s="3" t="s">
        <v>180</v>
      </c>
      <c r="J16" s="81" t="s">
        <v>623</v>
      </c>
      <c r="K16" s="3" t="s">
        <v>185</v>
      </c>
      <c r="L16" s="3"/>
      <c r="M16" s="3" t="s">
        <v>180</v>
      </c>
      <c r="N16" s="43"/>
    </row>
    <row r="17" spans="1:14">
      <c r="A17" s="149"/>
      <c r="B17" s="149"/>
      <c r="C17" t="s">
        <v>637</v>
      </c>
      <c r="D17" s="1" t="s">
        <v>203</v>
      </c>
      <c r="E17" s="81" t="s">
        <v>185</v>
      </c>
      <c r="F17" s="3" t="s">
        <v>185</v>
      </c>
      <c r="H17" s="3" t="s">
        <v>180</v>
      </c>
      <c r="J17" s="81" t="s">
        <v>185</v>
      </c>
      <c r="K17" s="3" t="s">
        <v>185</v>
      </c>
      <c r="L17" s="3"/>
      <c r="M17" s="3" t="s">
        <v>180</v>
      </c>
      <c r="N17" s="43"/>
    </row>
    <row r="18" spans="1:14">
      <c r="A18" s="150"/>
      <c r="B18" s="150"/>
      <c r="C18" s="41" t="s">
        <v>730</v>
      </c>
      <c r="D18" s="41" t="s">
        <v>203</v>
      </c>
      <c r="E18" s="93" t="s">
        <v>187</v>
      </c>
      <c r="F18" s="77" t="s">
        <v>187</v>
      </c>
      <c r="G18" s="77"/>
      <c r="H18" s="77" t="s">
        <v>180</v>
      </c>
      <c r="I18" s="44"/>
      <c r="J18" s="93" t="s">
        <v>187</v>
      </c>
      <c r="K18" s="77" t="s">
        <v>187</v>
      </c>
      <c r="L18" s="77"/>
      <c r="M18" s="77" t="s">
        <v>180</v>
      </c>
      <c r="N18" s="44"/>
    </row>
    <row r="19" spans="1:14">
      <c r="A19" s="78"/>
      <c r="B19" s="78"/>
      <c r="J19" s="81"/>
      <c r="K19" s="3"/>
      <c r="L19" s="3"/>
      <c r="M19" s="3"/>
      <c r="N19" s="43"/>
    </row>
    <row r="20" spans="1:14">
      <c r="A20" s="73" t="s">
        <v>614</v>
      </c>
      <c r="B20" s="148" t="s">
        <v>1193</v>
      </c>
      <c r="C20" s="75" t="s">
        <v>864</v>
      </c>
      <c r="D20" s="16" t="s">
        <v>286</v>
      </c>
      <c r="E20" s="74" t="s">
        <v>865</v>
      </c>
      <c r="F20" s="40"/>
      <c r="G20" s="68"/>
      <c r="H20" s="40"/>
      <c r="I20" s="42"/>
      <c r="J20" s="74" t="s">
        <v>865</v>
      </c>
      <c r="K20" s="40"/>
      <c r="L20" s="68"/>
      <c r="M20" s="40"/>
      <c r="N20" s="42"/>
    </row>
    <row r="21" spans="1:14">
      <c r="A21" s="39"/>
      <c r="B21" s="52"/>
      <c r="C21" s="76" t="s">
        <v>866</v>
      </c>
      <c r="D21" s="32" t="s">
        <v>176</v>
      </c>
      <c r="E21" s="3" t="s">
        <v>867</v>
      </c>
      <c r="F21" s="3" t="s">
        <v>178</v>
      </c>
      <c r="H21" s="3" t="s">
        <v>180</v>
      </c>
      <c r="J21" s="3" t="s">
        <v>867</v>
      </c>
      <c r="K21" s="3" t="s">
        <v>178</v>
      </c>
      <c r="L21" s="3"/>
      <c r="M21" s="3" t="s">
        <v>180</v>
      </c>
      <c r="N21" s="43"/>
    </row>
    <row r="22" spans="1:14">
      <c r="A22" s="95"/>
      <c r="B22" s="51"/>
      <c r="C22" s="96" t="s">
        <v>290</v>
      </c>
      <c r="D22" s="33" t="s">
        <v>286</v>
      </c>
      <c r="E22" s="77" t="s">
        <v>867</v>
      </c>
      <c r="F22" s="77" t="s">
        <v>178</v>
      </c>
      <c r="G22" s="77"/>
      <c r="H22" s="77" t="s">
        <v>180</v>
      </c>
      <c r="I22" s="44"/>
      <c r="J22" s="77" t="s">
        <v>867</v>
      </c>
      <c r="K22" s="77" t="s">
        <v>178</v>
      </c>
      <c r="L22" s="77"/>
      <c r="M22" s="77" t="s">
        <v>180</v>
      </c>
      <c r="N22" s="44"/>
    </row>
    <row r="23" spans="1:14">
      <c r="A23" s="1"/>
      <c r="B23" s="1"/>
      <c r="J23" s="81"/>
      <c r="K23" s="3"/>
      <c r="L23" s="3"/>
      <c r="M23" s="3"/>
      <c r="N23" s="43"/>
    </row>
    <row r="24" spans="1:14">
      <c r="A24" s="73" t="s">
        <v>614</v>
      </c>
      <c r="B24" s="148" t="s">
        <v>1194</v>
      </c>
      <c r="C24" s="40" t="s">
        <v>383</v>
      </c>
      <c r="D24" s="40" t="s">
        <v>176</v>
      </c>
      <c r="E24" s="92" t="s">
        <v>701</v>
      </c>
      <c r="F24" s="74" t="s">
        <v>178</v>
      </c>
      <c r="G24" s="74" t="s">
        <v>179</v>
      </c>
      <c r="H24" s="74" t="s">
        <v>180</v>
      </c>
      <c r="I24" s="42" t="s">
        <v>179</v>
      </c>
      <c r="J24" s="92" t="s">
        <v>701</v>
      </c>
      <c r="K24" s="74" t="s">
        <v>178</v>
      </c>
      <c r="L24" s="74" t="s">
        <v>179</v>
      </c>
      <c r="M24" s="74" t="s">
        <v>180</v>
      </c>
      <c r="N24" s="42" t="s">
        <v>179</v>
      </c>
    </row>
    <row r="25" spans="1:14">
      <c r="A25" s="52"/>
      <c r="B25" s="52"/>
      <c r="C25" t="s">
        <v>385</v>
      </c>
      <c r="D25" t="s">
        <v>386</v>
      </c>
      <c r="E25" s="81" t="s">
        <v>701</v>
      </c>
      <c r="F25" s="3" t="s">
        <v>178</v>
      </c>
      <c r="H25" s="3" t="s">
        <v>180</v>
      </c>
      <c r="J25" s="81" t="s">
        <v>701</v>
      </c>
      <c r="K25" s="3" t="s">
        <v>178</v>
      </c>
      <c r="L25" s="3"/>
      <c r="M25" s="3" t="s">
        <v>180</v>
      </c>
      <c r="N25" s="43"/>
    </row>
    <row r="26" spans="1:14">
      <c r="A26" s="52"/>
      <c r="B26" s="52"/>
      <c r="C26" t="s">
        <v>387</v>
      </c>
    </row>
    <row r="27" spans="1:14">
      <c r="A27" s="51"/>
      <c r="B27" s="51"/>
      <c r="C27" s="41" t="s">
        <v>388</v>
      </c>
      <c r="D27" s="41"/>
      <c r="E27" s="93"/>
      <c r="F27" s="77"/>
      <c r="G27" s="77"/>
      <c r="H27" s="77"/>
      <c r="I27" s="44"/>
      <c r="J27" s="96"/>
      <c r="K27" s="41"/>
      <c r="L27" s="41"/>
      <c r="M27" s="41"/>
      <c r="N27" s="33"/>
    </row>
    <row r="28" spans="1:14">
      <c r="A28" s="78"/>
      <c r="B28" s="78"/>
      <c r="J28" s="81"/>
      <c r="K28" s="3"/>
      <c r="L28" s="3"/>
      <c r="M28" s="3"/>
      <c r="N28" s="43"/>
    </row>
    <row r="29" spans="1:14">
      <c r="A29" s="148" t="s">
        <v>1195</v>
      </c>
      <c r="B29" s="148" t="s">
        <v>19</v>
      </c>
      <c r="C29" s="40" t="s">
        <v>1021</v>
      </c>
      <c r="D29" s="40" t="s">
        <v>286</v>
      </c>
      <c r="E29" s="92" t="s">
        <v>1022</v>
      </c>
      <c r="F29" s="74" t="s">
        <v>269</v>
      </c>
      <c r="G29" s="74"/>
      <c r="H29" s="74" t="s">
        <v>180</v>
      </c>
      <c r="I29" s="42"/>
      <c r="J29" s="92" t="s">
        <v>1022</v>
      </c>
      <c r="K29" s="74" t="s">
        <v>269</v>
      </c>
      <c r="L29" s="74"/>
      <c r="M29" s="74" t="s">
        <v>180</v>
      </c>
      <c r="N29" s="42"/>
    </row>
    <row r="30" spans="1:14">
      <c r="A30" s="149"/>
      <c r="B30" s="149"/>
      <c r="C30" t="s">
        <v>1024</v>
      </c>
      <c r="D30" t="s">
        <v>176</v>
      </c>
      <c r="E30" s="81" t="s">
        <v>1025</v>
      </c>
      <c r="F30" s="3" t="s">
        <v>269</v>
      </c>
      <c r="H30" s="3" t="s">
        <v>180</v>
      </c>
      <c r="J30" s="81" t="s">
        <v>1025</v>
      </c>
      <c r="K30" s="3" t="s">
        <v>269</v>
      </c>
      <c r="L30" s="3"/>
      <c r="M30" s="3" t="s">
        <v>180</v>
      </c>
      <c r="N30" s="43"/>
    </row>
    <row r="31" spans="1:14">
      <c r="A31" s="149"/>
      <c r="B31" s="149"/>
      <c r="C31" t="s">
        <v>1026</v>
      </c>
      <c r="D31" t="s">
        <v>286</v>
      </c>
      <c r="E31" s="81" t="s">
        <v>1025</v>
      </c>
      <c r="F31" s="3" t="s">
        <v>269</v>
      </c>
      <c r="H31" s="3" t="s">
        <v>180</v>
      </c>
      <c r="J31" s="81" t="s">
        <v>1025</v>
      </c>
      <c r="K31" s="3" t="s">
        <v>269</v>
      </c>
      <c r="L31" s="3"/>
      <c r="M31" s="3" t="s">
        <v>180</v>
      </c>
      <c r="N31" s="43"/>
    </row>
    <row r="32" spans="1:14">
      <c r="A32" s="149"/>
      <c r="B32" s="149"/>
      <c r="C32" s="1" t="s">
        <v>1028</v>
      </c>
      <c r="D32" t="s">
        <v>286</v>
      </c>
      <c r="E32" s="81" t="s">
        <v>1022</v>
      </c>
      <c r="F32" s="3" t="s">
        <v>185</v>
      </c>
      <c r="H32" s="3" t="s">
        <v>180</v>
      </c>
      <c r="J32" s="81" t="s">
        <v>1022</v>
      </c>
      <c r="K32" s="3" t="s">
        <v>185</v>
      </c>
      <c r="L32" s="3"/>
      <c r="M32" s="3" t="s">
        <v>180</v>
      </c>
      <c r="N32" s="43"/>
    </row>
    <row r="33" spans="1:14">
      <c r="A33" s="149"/>
      <c r="B33" s="149"/>
      <c r="C33" s="1" t="s">
        <v>1029</v>
      </c>
      <c r="D33" t="s">
        <v>176</v>
      </c>
      <c r="E33" s="81" t="s">
        <v>1025</v>
      </c>
      <c r="F33" s="3" t="s">
        <v>185</v>
      </c>
      <c r="H33" s="3" t="s">
        <v>180</v>
      </c>
      <c r="J33" s="81" t="s">
        <v>1025</v>
      </c>
      <c r="K33" s="3" t="s">
        <v>185</v>
      </c>
      <c r="L33" s="3"/>
      <c r="M33" s="3" t="s">
        <v>180</v>
      </c>
      <c r="N33" s="43"/>
    </row>
    <row r="34" spans="1:14">
      <c r="A34" s="150"/>
      <c r="B34" s="150"/>
      <c r="C34" s="70" t="s">
        <v>773</v>
      </c>
      <c r="D34" s="41" t="s">
        <v>286</v>
      </c>
      <c r="E34" s="81" t="s">
        <v>1025</v>
      </c>
      <c r="F34" s="77" t="s">
        <v>185</v>
      </c>
      <c r="G34" s="77"/>
      <c r="H34" s="77" t="s">
        <v>180</v>
      </c>
      <c r="I34" s="44"/>
      <c r="J34" s="93" t="s">
        <v>1025</v>
      </c>
      <c r="K34" s="77" t="s">
        <v>185</v>
      </c>
      <c r="L34" s="77"/>
      <c r="M34" s="77" t="s">
        <v>180</v>
      </c>
      <c r="N34" s="44"/>
    </row>
    <row r="35" spans="1:14">
      <c r="A35" s="78"/>
      <c r="B35" s="78"/>
      <c r="C35" s="1"/>
      <c r="E35" s="74"/>
      <c r="J35" s="81"/>
      <c r="K35" s="3"/>
      <c r="L35" s="3"/>
      <c r="M35" s="3"/>
      <c r="N35" s="43"/>
    </row>
    <row r="36" spans="1:14">
      <c r="A36" s="148" t="s">
        <v>1195</v>
      </c>
      <c r="B36" s="148" t="s">
        <v>21</v>
      </c>
      <c r="C36" s="40" t="s">
        <v>1045</v>
      </c>
      <c r="D36" s="40" t="s">
        <v>176</v>
      </c>
      <c r="E36" s="92" t="s">
        <v>1046</v>
      </c>
      <c r="F36" s="74" t="s">
        <v>178</v>
      </c>
      <c r="G36" s="74" t="s">
        <v>179</v>
      </c>
      <c r="H36" s="74" t="s">
        <v>180</v>
      </c>
      <c r="I36" s="42" t="s">
        <v>179</v>
      </c>
      <c r="J36" s="74" t="s">
        <v>1046</v>
      </c>
      <c r="K36" s="74" t="s">
        <v>178</v>
      </c>
      <c r="L36" s="74" t="s">
        <v>179</v>
      </c>
      <c r="M36" s="74" t="s">
        <v>180</v>
      </c>
      <c r="N36" s="42" t="s">
        <v>179</v>
      </c>
    </row>
    <row r="37" spans="1:14">
      <c r="A37" s="157"/>
      <c r="B37" s="149"/>
      <c r="C37" t="s">
        <v>1047</v>
      </c>
      <c r="D37" t="s">
        <v>203</v>
      </c>
      <c r="E37" s="81" t="s">
        <v>1046</v>
      </c>
      <c r="F37" s="3" t="s">
        <v>178</v>
      </c>
      <c r="H37" s="3" t="s">
        <v>180</v>
      </c>
      <c r="J37" s="3" t="s">
        <v>1046</v>
      </c>
      <c r="K37" s="3" t="s">
        <v>178</v>
      </c>
      <c r="L37" s="3"/>
      <c r="M37" s="3" t="s">
        <v>180</v>
      </c>
      <c r="N37" s="43"/>
    </row>
    <row r="38" spans="1:14">
      <c r="A38" s="157"/>
      <c r="B38" s="149"/>
      <c r="C38" t="s">
        <v>1049</v>
      </c>
      <c r="D38" t="s">
        <v>176</v>
      </c>
      <c r="E38" s="81" t="s">
        <v>1050</v>
      </c>
      <c r="F38" s="3" t="s">
        <v>185</v>
      </c>
      <c r="G38" s="3" t="s">
        <v>179</v>
      </c>
      <c r="H38" s="3" t="s">
        <v>180</v>
      </c>
      <c r="I38" s="43" t="s">
        <v>179</v>
      </c>
      <c r="J38" s="3" t="s">
        <v>1050</v>
      </c>
      <c r="K38" s="3" t="s">
        <v>185</v>
      </c>
      <c r="L38" s="3" t="s">
        <v>179</v>
      </c>
      <c r="M38" s="3" t="s">
        <v>180</v>
      </c>
      <c r="N38" s="43" t="s">
        <v>179</v>
      </c>
    </row>
    <row r="39" spans="1:14">
      <c r="A39" s="157"/>
      <c r="B39" s="149"/>
      <c r="C39" t="s">
        <v>1051</v>
      </c>
      <c r="D39" t="s">
        <v>203</v>
      </c>
      <c r="E39" s="81" t="s">
        <v>1050</v>
      </c>
      <c r="F39" s="3" t="s">
        <v>185</v>
      </c>
      <c r="H39" s="3" t="s">
        <v>180</v>
      </c>
      <c r="J39" s="3" t="s">
        <v>1050</v>
      </c>
      <c r="K39" s="3" t="s">
        <v>185</v>
      </c>
      <c r="L39" s="3"/>
      <c r="M39" s="3" t="s">
        <v>180</v>
      </c>
      <c r="N39" s="43"/>
    </row>
    <row r="40" spans="1:14">
      <c r="A40" s="157"/>
      <c r="B40" s="149"/>
      <c r="C40" t="s">
        <v>1052</v>
      </c>
      <c r="D40" t="s">
        <v>176</v>
      </c>
      <c r="E40" s="81" t="s">
        <v>1053</v>
      </c>
      <c r="F40" s="3" t="s">
        <v>267</v>
      </c>
      <c r="G40" s="3" t="s">
        <v>179</v>
      </c>
      <c r="H40" s="3" t="s">
        <v>180</v>
      </c>
      <c r="I40" s="43" t="s">
        <v>179</v>
      </c>
      <c r="J40" s="3" t="s">
        <v>1053</v>
      </c>
      <c r="K40" s="3" t="s">
        <v>267</v>
      </c>
      <c r="L40" s="3" t="s">
        <v>179</v>
      </c>
      <c r="M40" s="3" t="s">
        <v>180</v>
      </c>
      <c r="N40" s="43" t="s">
        <v>179</v>
      </c>
    </row>
    <row r="41" spans="1:14">
      <c r="A41" s="157"/>
      <c r="B41" s="149"/>
      <c r="C41" t="s">
        <v>1054</v>
      </c>
      <c r="D41" t="s">
        <v>203</v>
      </c>
      <c r="E41" s="81" t="s">
        <v>1053</v>
      </c>
      <c r="F41" s="3" t="s">
        <v>267</v>
      </c>
      <c r="H41" s="3" t="s">
        <v>180</v>
      </c>
      <c r="J41" s="3" t="s">
        <v>1053</v>
      </c>
      <c r="K41" s="3" t="s">
        <v>267</v>
      </c>
      <c r="L41" s="3"/>
      <c r="M41" s="3" t="s">
        <v>180</v>
      </c>
      <c r="N41" s="43"/>
    </row>
    <row r="42" spans="1:14">
      <c r="A42" s="156"/>
      <c r="B42" s="159"/>
      <c r="C42" t="s">
        <v>1055</v>
      </c>
      <c r="D42" t="s">
        <v>279</v>
      </c>
      <c r="J42" s="81"/>
      <c r="K42" s="3"/>
      <c r="L42" s="3"/>
      <c r="M42" s="3"/>
      <c r="N42" s="43"/>
    </row>
    <row r="43" spans="1:14">
      <c r="A43" s="157"/>
      <c r="B43" s="149"/>
      <c r="C43" t="s">
        <v>1056</v>
      </c>
      <c r="D43" t="s">
        <v>176</v>
      </c>
      <c r="E43" s="81" t="s">
        <v>1053</v>
      </c>
      <c r="F43" s="3" t="s">
        <v>185</v>
      </c>
      <c r="G43" s="3" t="s">
        <v>179</v>
      </c>
      <c r="H43" s="3" t="s">
        <v>180</v>
      </c>
      <c r="I43" s="43" t="s">
        <v>179</v>
      </c>
      <c r="J43" s="3" t="s">
        <v>1053</v>
      </c>
      <c r="K43" s="3" t="s">
        <v>185</v>
      </c>
      <c r="L43" s="3" t="s">
        <v>179</v>
      </c>
      <c r="M43" s="3" t="s">
        <v>180</v>
      </c>
      <c r="N43" s="43" t="s">
        <v>179</v>
      </c>
    </row>
    <row r="44" spans="1:14">
      <c r="A44" s="157"/>
      <c r="B44" s="149"/>
      <c r="C44" t="s">
        <v>1057</v>
      </c>
      <c r="D44" t="s">
        <v>203</v>
      </c>
      <c r="E44" s="81" t="s">
        <v>1053</v>
      </c>
      <c r="F44" s="3" t="s">
        <v>185</v>
      </c>
      <c r="H44" s="3" t="s">
        <v>180</v>
      </c>
      <c r="J44" s="3" t="s">
        <v>1053</v>
      </c>
      <c r="K44" s="3" t="s">
        <v>185</v>
      </c>
      <c r="L44" s="3"/>
      <c r="M44" s="3" t="s">
        <v>180</v>
      </c>
      <c r="N44" s="43"/>
    </row>
    <row r="45" spans="1:14">
      <c r="A45" s="158"/>
      <c r="B45" s="150"/>
      <c r="C45" s="41" t="s">
        <v>1059</v>
      </c>
      <c r="D45" s="41" t="s">
        <v>279</v>
      </c>
      <c r="E45" s="93"/>
      <c r="F45" s="77"/>
      <c r="G45" s="77"/>
      <c r="H45" s="77"/>
      <c r="I45" s="44"/>
      <c r="J45" s="93"/>
      <c r="K45" s="77"/>
      <c r="L45" s="77"/>
      <c r="M45" s="77"/>
      <c r="N45" s="44"/>
    </row>
    <row r="47" spans="1:14">
      <c r="A47" s="148" t="s">
        <v>1195</v>
      </c>
      <c r="B47" s="148" t="s">
        <v>22</v>
      </c>
      <c r="C47" s="75" t="s">
        <v>1060</v>
      </c>
      <c r="D47" s="16" t="s">
        <v>176</v>
      </c>
      <c r="E47" s="74" t="s">
        <v>1061</v>
      </c>
      <c r="F47" s="74" t="s">
        <v>178</v>
      </c>
      <c r="G47" s="74" t="s">
        <v>179</v>
      </c>
      <c r="H47" s="74" t="s">
        <v>180</v>
      </c>
      <c r="I47" s="42" t="s">
        <v>179</v>
      </c>
      <c r="J47" s="92" t="s">
        <v>1061</v>
      </c>
      <c r="K47" s="74" t="s">
        <v>178</v>
      </c>
      <c r="L47" s="74" t="s">
        <v>179</v>
      </c>
      <c r="M47" s="74" t="s">
        <v>180</v>
      </c>
      <c r="N47" s="42" t="s">
        <v>179</v>
      </c>
    </row>
    <row r="48" spans="1:14">
      <c r="A48" s="52"/>
      <c r="B48" s="52"/>
      <c r="C48" s="76" t="s">
        <v>1062</v>
      </c>
      <c r="D48" s="32" t="s">
        <v>203</v>
      </c>
      <c r="E48" s="3" t="s">
        <v>1061</v>
      </c>
      <c r="F48" s="3" t="s">
        <v>178</v>
      </c>
      <c r="H48" s="3" t="s">
        <v>180</v>
      </c>
      <c r="J48" s="81" t="s">
        <v>1061</v>
      </c>
      <c r="K48" s="3" t="s">
        <v>178</v>
      </c>
      <c r="L48" s="3"/>
      <c r="M48" s="3" t="s">
        <v>180</v>
      </c>
      <c r="N48" s="43"/>
    </row>
    <row r="49" spans="1:14">
      <c r="A49" s="52"/>
      <c r="B49" s="52"/>
      <c r="C49" s="76" t="s">
        <v>1065</v>
      </c>
      <c r="D49" s="32" t="s">
        <v>176</v>
      </c>
      <c r="E49" s="3" t="s">
        <v>1053</v>
      </c>
      <c r="F49" s="3" t="s">
        <v>187</v>
      </c>
      <c r="G49" s="3" t="s">
        <v>179</v>
      </c>
      <c r="H49" s="3" t="s">
        <v>180</v>
      </c>
      <c r="I49" s="43" t="s">
        <v>179</v>
      </c>
      <c r="J49" s="81" t="s">
        <v>1053</v>
      </c>
      <c r="K49" s="3" t="s">
        <v>187</v>
      </c>
      <c r="L49" s="3" t="s">
        <v>179</v>
      </c>
      <c r="M49" s="3" t="s">
        <v>180</v>
      </c>
      <c r="N49" s="43" t="s">
        <v>179</v>
      </c>
    </row>
    <row r="50" spans="1:14">
      <c r="A50" s="52"/>
      <c r="B50" s="52"/>
      <c r="C50" s="76" t="s">
        <v>1066</v>
      </c>
      <c r="D50" s="32" t="s">
        <v>203</v>
      </c>
      <c r="E50" s="3" t="s">
        <v>1053</v>
      </c>
      <c r="F50" s="3" t="s">
        <v>187</v>
      </c>
      <c r="H50" s="3" t="s">
        <v>180</v>
      </c>
      <c r="J50" s="81" t="s">
        <v>1053</v>
      </c>
      <c r="K50" s="3" t="s">
        <v>187</v>
      </c>
      <c r="L50" s="3"/>
      <c r="M50" s="3" t="s">
        <v>180</v>
      </c>
      <c r="N50" s="43"/>
    </row>
    <row r="51" spans="1:14">
      <c r="A51" s="52"/>
      <c r="B51" s="52"/>
      <c r="C51" s="76" t="s">
        <v>1068</v>
      </c>
      <c r="D51" s="32" t="s">
        <v>176</v>
      </c>
      <c r="E51" s="3" t="s">
        <v>1061</v>
      </c>
      <c r="F51" s="3" t="s">
        <v>185</v>
      </c>
      <c r="G51" s="3" t="s">
        <v>179</v>
      </c>
      <c r="H51" s="3" t="s">
        <v>180</v>
      </c>
      <c r="I51" s="43" t="s">
        <v>179</v>
      </c>
      <c r="J51" s="81" t="s">
        <v>1061</v>
      </c>
      <c r="K51" s="3" t="s">
        <v>185</v>
      </c>
      <c r="L51" s="3" t="s">
        <v>179</v>
      </c>
      <c r="M51" s="3" t="s">
        <v>180</v>
      </c>
      <c r="N51" s="43" t="s">
        <v>179</v>
      </c>
    </row>
    <row r="52" spans="1:14">
      <c r="A52" s="52"/>
      <c r="B52" s="52"/>
      <c r="C52" s="76" t="s">
        <v>1070</v>
      </c>
      <c r="D52" s="32" t="s">
        <v>203</v>
      </c>
      <c r="E52" s="3" t="s">
        <v>1061</v>
      </c>
      <c r="F52" s="3" t="s">
        <v>185</v>
      </c>
      <c r="H52" s="3" t="s">
        <v>180</v>
      </c>
      <c r="J52" s="81" t="s">
        <v>1061</v>
      </c>
      <c r="K52" s="3" t="s">
        <v>185</v>
      </c>
      <c r="L52" s="3"/>
      <c r="M52" s="3" t="s">
        <v>180</v>
      </c>
      <c r="N52" s="43"/>
    </row>
    <row r="53" spans="1:14">
      <c r="A53" s="52"/>
      <c r="B53" s="52"/>
      <c r="C53" s="76" t="s">
        <v>1072</v>
      </c>
      <c r="D53" s="32" t="s">
        <v>279</v>
      </c>
      <c r="E53" s="3"/>
      <c r="J53" s="81"/>
      <c r="K53" s="3"/>
      <c r="L53" s="3"/>
      <c r="M53" s="3"/>
      <c r="N53" s="43"/>
    </row>
    <row r="54" spans="1:14">
      <c r="A54" s="52"/>
      <c r="B54" s="52"/>
      <c r="C54" s="76" t="s">
        <v>1073</v>
      </c>
      <c r="D54" s="32" t="s">
        <v>176</v>
      </c>
      <c r="E54" s="3" t="s">
        <v>1061</v>
      </c>
      <c r="F54" s="3" t="s">
        <v>187</v>
      </c>
      <c r="G54" s="3" t="s">
        <v>179</v>
      </c>
      <c r="H54" s="3" t="s">
        <v>180</v>
      </c>
      <c r="I54" s="43" t="s">
        <v>179</v>
      </c>
      <c r="J54" s="81" t="s">
        <v>1061</v>
      </c>
      <c r="K54" s="3" t="s">
        <v>187</v>
      </c>
      <c r="L54" s="3" t="s">
        <v>179</v>
      </c>
      <c r="M54" s="3" t="s">
        <v>180</v>
      </c>
      <c r="N54" s="43" t="s">
        <v>179</v>
      </c>
    </row>
    <row r="55" spans="1:14">
      <c r="A55" s="51"/>
      <c r="B55" s="51"/>
      <c r="C55" s="96" t="s">
        <v>1074</v>
      </c>
      <c r="D55" s="33" t="s">
        <v>203</v>
      </c>
      <c r="E55" s="77" t="s">
        <v>1061</v>
      </c>
      <c r="F55" s="77" t="s">
        <v>187</v>
      </c>
      <c r="G55" s="77"/>
      <c r="H55" s="77" t="s">
        <v>180</v>
      </c>
      <c r="I55" s="44"/>
      <c r="J55" s="93" t="s">
        <v>1061</v>
      </c>
      <c r="K55" s="77" t="s">
        <v>187</v>
      </c>
      <c r="L55" s="77"/>
      <c r="M55" s="77" t="s">
        <v>180</v>
      </c>
      <c r="N55" s="44"/>
    </row>
  </sheetData>
  <mergeCells count="2">
    <mergeCell ref="E1:I1"/>
    <mergeCell ref="J1:N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6676-9FC7-4FB3-99F0-1748D24A5623}">
  <dimension ref="A1:J70"/>
  <sheetViews>
    <sheetView zoomScaleNormal="100" workbookViewId="0">
      <pane ySplit="2" topLeftCell="A3" activePane="bottomLeft" state="frozen"/>
      <selection pane="bottomLeft" activeCell="C25" sqref="C25"/>
    </sheetView>
  </sheetViews>
  <sheetFormatPr defaultRowHeight="14.45"/>
  <cols>
    <col min="1" max="1" width="21.28515625" bestFit="1" customWidth="1"/>
    <col min="2" max="2" width="32.42578125" customWidth="1"/>
    <col min="3" max="3" width="34" customWidth="1"/>
    <col min="4" max="4" width="32.140625" bestFit="1" customWidth="1"/>
    <col min="5" max="5" width="83.28515625" customWidth="1"/>
  </cols>
  <sheetData>
    <row r="1" spans="1:10">
      <c r="E1" t="s">
        <v>1107</v>
      </c>
    </row>
    <row r="2" spans="1:10">
      <c r="A2" s="22" t="s">
        <v>168</v>
      </c>
      <c r="B2" s="20" t="s">
        <v>0</v>
      </c>
      <c r="C2" s="79" t="s">
        <v>1196</v>
      </c>
      <c r="D2" s="25" t="s">
        <v>1197</v>
      </c>
    </row>
    <row r="3" spans="1:10">
      <c r="A3" s="50" t="s">
        <v>614</v>
      </c>
      <c r="B3" s="148" t="s">
        <v>618</v>
      </c>
      <c r="C3" s="67" t="s">
        <v>192</v>
      </c>
      <c r="D3" s="21" t="s">
        <v>192</v>
      </c>
    </row>
    <row r="4" spans="1:10">
      <c r="A4" s="52"/>
      <c r="B4" s="52"/>
      <c r="C4" s="1" t="s">
        <v>194</v>
      </c>
      <c r="D4" s="21" t="s">
        <v>194</v>
      </c>
    </row>
    <row r="5" spans="1:10">
      <c r="A5" s="52"/>
      <c r="B5" s="52"/>
      <c r="C5" s="1" t="s">
        <v>195</v>
      </c>
      <c r="D5" s="21" t="s">
        <v>195</v>
      </c>
    </row>
    <row r="6" spans="1:10">
      <c r="A6" s="51"/>
      <c r="B6" s="51"/>
      <c r="C6" s="70" t="s">
        <v>196</v>
      </c>
      <c r="D6" s="21" t="s">
        <v>196</v>
      </c>
    </row>
    <row r="7" spans="1:10">
      <c r="D7" s="25"/>
    </row>
    <row r="8" spans="1:10">
      <c r="A8" s="73" t="s">
        <v>614</v>
      </c>
      <c r="B8" s="148" t="s">
        <v>1192</v>
      </c>
      <c r="C8" s="67" t="s">
        <v>239</v>
      </c>
      <c r="D8" s="21" t="s">
        <v>239</v>
      </c>
    </row>
    <row r="9" spans="1:10">
      <c r="A9" s="149"/>
      <c r="B9" s="149"/>
      <c r="C9" s="1" t="s">
        <v>241</v>
      </c>
      <c r="D9" s="218" t="s">
        <v>1198</v>
      </c>
    </row>
    <row r="10" spans="1:10">
      <c r="A10" s="149"/>
      <c r="B10" s="149"/>
      <c r="C10" s="1" t="s">
        <v>242</v>
      </c>
      <c r="D10" s="21" t="s">
        <v>241</v>
      </c>
      <c r="J10" t="s">
        <v>1199</v>
      </c>
    </row>
    <row r="11" spans="1:10">
      <c r="A11" s="149"/>
      <c r="B11" s="149"/>
      <c r="C11" t="s">
        <v>769</v>
      </c>
      <c r="D11" s="218" t="s">
        <v>1200</v>
      </c>
    </row>
    <row r="12" spans="1:10">
      <c r="A12" s="149"/>
      <c r="B12" s="149"/>
      <c r="C12" s="1" t="s">
        <v>190</v>
      </c>
      <c r="D12" s="21" t="s">
        <v>242</v>
      </c>
    </row>
    <row r="13" spans="1:10">
      <c r="A13" s="149"/>
      <c r="B13" s="149"/>
      <c r="C13" t="s">
        <v>634</v>
      </c>
      <c r="D13" s="218" t="s">
        <v>1201</v>
      </c>
    </row>
    <row r="14" spans="1:10">
      <c r="A14" s="149"/>
      <c r="B14" s="149"/>
      <c r="C14" t="s">
        <v>621</v>
      </c>
      <c r="D14" s="25" t="s">
        <v>769</v>
      </c>
    </row>
    <row r="15" spans="1:10">
      <c r="A15" s="149"/>
      <c r="B15" s="149"/>
      <c r="C15" t="s">
        <v>771</v>
      </c>
      <c r="D15" s="21" t="s">
        <v>190</v>
      </c>
    </row>
    <row r="16" spans="1:10">
      <c r="A16" s="149"/>
      <c r="B16" s="149"/>
      <c r="D16" s="218" t="s">
        <v>218</v>
      </c>
    </row>
    <row r="17" spans="1:9">
      <c r="A17" s="149"/>
      <c r="B17" s="149"/>
      <c r="D17" s="218" t="s">
        <v>1180</v>
      </c>
      <c r="E17" t="s">
        <v>1202</v>
      </c>
    </row>
    <row r="18" spans="1:9">
      <c r="A18" s="149"/>
      <c r="B18" s="149"/>
      <c r="C18" t="s">
        <v>285</v>
      </c>
      <c r="D18" s="25" t="s">
        <v>634</v>
      </c>
    </row>
    <row r="19" spans="1:9">
      <c r="A19" s="149"/>
      <c r="B19" s="149"/>
      <c r="C19" t="s">
        <v>637</v>
      </c>
      <c r="D19" s="25" t="s">
        <v>621</v>
      </c>
    </row>
    <row r="20" spans="1:9">
      <c r="A20" s="149"/>
      <c r="B20" s="149"/>
      <c r="C20" t="s">
        <v>730</v>
      </c>
      <c r="D20" s="202" t="s">
        <v>284</v>
      </c>
      <c r="E20" t="s">
        <v>1203</v>
      </c>
    </row>
    <row r="21" spans="1:9">
      <c r="A21" s="222"/>
      <c r="B21" s="149"/>
      <c r="C21" s="34"/>
      <c r="D21" s="221" t="s">
        <v>1204</v>
      </c>
      <c r="E21" t="s">
        <v>1205</v>
      </c>
      <c r="I21" t="s">
        <v>1199</v>
      </c>
    </row>
    <row r="22" spans="1:9">
      <c r="A22" s="149"/>
      <c r="B22" s="149"/>
      <c r="D22" s="25" t="s">
        <v>771</v>
      </c>
      <c r="H22" t="s">
        <v>1199</v>
      </c>
    </row>
    <row r="23" spans="1:9">
      <c r="A23" s="149"/>
      <c r="B23" s="149"/>
      <c r="D23" s="25" t="s">
        <v>285</v>
      </c>
    </row>
    <row r="24" spans="1:9">
      <c r="A24" s="149"/>
      <c r="B24" s="149"/>
      <c r="D24" s="202" t="s">
        <v>231</v>
      </c>
    </row>
    <row r="25" spans="1:9">
      <c r="A25" s="149"/>
      <c r="B25" s="149"/>
      <c r="D25" s="202" t="s">
        <v>1182</v>
      </c>
      <c r="E25" t="s">
        <v>1202</v>
      </c>
    </row>
    <row r="26" spans="1:9">
      <c r="A26" s="219"/>
      <c r="B26" s="149"/>
      <c r="D26" s="25" t="s">
        <v>637</v>
      </c>
    </row>
    <row r="27" spans="1:9">
      <c r="A27" s="220"/>
      <c r="B27" s="150"/>
      <c r="C27" s="35"/>
      <c r="D27" s="25" t="s">
        <v>730</v>
      </c>
    </row>
    <row r="28" spans="1:9">
      <c r="A28" s="219"/>
      <c r="B28" s="149"/>
      <c r="D28" s="202" t="s">
        <v>315</v>
      </c>
    </row>
    <row r="29" spans="1:9">
      <c r="A29" s="217"/>
      <c r="B29" s="78"/>
      <c r="D29" s="25"/>
    </row>
    <row r="30" spans="1:9">
      <c r="A30" s="73" t="s">
        <v>614</v>
      </c>
      <c r="B30" s="148" t="s">
        <v>1193</v>
      </c>
      <c r="C30" s="75" t="s">
        <v>864</v>
      </c>
      <c r="D30" s="25" t="s">
        <v>864</v>
      </c>
    </row>
    <row r="31" spans="1:9">
      <c r="A31" s="39"/>
      <c r="B31" s="52"/>
      <c r="C31" s="76" t="s">
        <v>866</v>
      </c>
      <c r="D31" s="25" t="s">
        <v>866</v>
      </c>
    </row>
    <row r="32" spans="1:9">
      <c r="A32" s="95"/>
      <c r="B32" s="51"/>
      <c r="C32" s="96" t="s">
        <v>290</v>
      </c>
      <c r="D32" s="25" t="s">
        <v>290</v>
      </c>
    </row>
    <row r="33" spans="1:5">
      <c r="A33" s="62"/>
      <c r="B33" s="62"/>
      <c r="D33" s="223" t="s">
        <v>920</v>
      </c>
      <c r="E33" t="s">
        <v>1206</v>
      </c>
    </row>
    <row r="34" spans="1:5">
      <c r="A34" s="62"/>
      <c r="B34" s="62"/>
      <c r="D34" s="223" t="s">
        <v>303</v>
      </c>
      <c r="E34" t="s">
        <v>1206</v>
      </c>
    </row>
    <row r="35" spans="1:5">
      <c r="A35" s="62"/>
      <c r="B35" s="62"/>
      <c r="D35" s="223" t="s">
        <v>926</v>
      </c>
      <c r="E35" t="s">
        <v>1206</v>
      </c>
    </row>
    <row r="36" spans="1:5">
      <c r="A36" s="62"/>
      <c r="B36" s="62"/>
      <c r="D36" s="223" t="s">
        <v>317</v>
      </c>
      <c r="E36" t="s">
        <v>1206</v>
      </c>
    </row>
    <row r="37" spans="1:5">
      <c r="A37" s="62"/>
      <c r="B37" s="62"/>
      <c r="D37" s="25"/>
    </row>
    <row r="38" spans="1:5">
      <c r="A38" s="1"/>
      <c r="B38" s="1"/>
      <c r="D38" s="25"/>
    </row>
    <row r="39" spans="1:5">
      <c r="A39" s="73" t="s">
        <v>614</v>
      </c>
      <c r="B39" s="148" t="s">
        <v>1194</v>
      </c>
      <c r="C39" s="40" t="s">
        <v>383</v>
      </c>
      <c r="D39" s="25" t="s">
        <v>383</v>
      </c>
    </row>
    <row r="40" spans="1:5">
      <c r="A40" s="52"/>
      <c r="B40" s="52"/>
      <c r="C40" t="s">
        <v>385</v>
      </c>
      <c r="D40" s="25" t="s">
        <v>385</v>
      </c>
    </row>
    <row r="41" spans="1:5">
      <c r="A41" s="52"/>
      <c r="B41" s="52"/>
      <c r="C41" t="s">
        <v>387</v>
      </c>
      <c r="D41" s="25" t="s">
        <v>387</v>
      </c>
    </row>
    <row r="42" spans="1:5">
      <c r="A42" s="51"/>
      <c r="B42" s="51"/>
      <c r="C42" s="41" t="s">
        <v>388</v>
      </c>
      <c r="D42" s="25" t="s">
        <v>388</v>
      </c>
    </row>
    <row r="43" spans="1:5">
      <c r="A43" s="78"/>
      <c r="B43" s="78"/>
      <c r="D43" s="25"/>
    </row>
    <row r="44" spans="1:5">
      <c r="A44" s="148" t="s">
        <v>1195</v>
      </c>
      <c r="B44" s="148" t="s">
        <v>19</v>
      </c>
      <c r="C44" s="40" t="s">
        <v>1021</v>
      </c>
      <c r="D44" s="25" t="s">
        <v>1021</v>
      </c>
    </row>
    <row r="45" spans="1:5">
      <c r="A45" s="149"/>
      <c r="B45" s="149"/>
      <c r="C45" t="s">
        <v>1024</v>
      </c>
      <c r="D45" s="25" t="s">
        <v>1024</v>
      </c>
    </row>
    <row r="46" spans="1:5">
      <c r="A46" s="149"/>
      <c r="B46" s="149"/>
      <c r="C46" t="s">
        <v>1026</v>
      </c>
      <c r="D46" s="25" t="s">
        <v>1026</v>
      </c>
    </row>
    <row r="47" spans="1:5">
      <c r="A47" s="149"/>
      <c r="B47" s="149"/>
      <c r="C47" s="1" t="s">
        <v>1028</v>
      </c>
      <c r="D47" s="21" t="s">
        <v>1028</v>
      </c>
    </row>
    <row r="48" spans="1:5">
      <c r="A48" s="149"/>
      <c r="B48" s="149"/>
      <c r="C48" s="1" t="s">
        <v>1029</v>
      </c>
      <c r="D48" s="21" t="s">
        <v>1029</v>
      </c>
    </row>
    <row r="49" spans="1:4">
      <c r="A49" s="150"/>
      <c r="B49" s="150"/>
      <c r="C49" s="70" t="s">
        <v>773</v>
      </c>
      <c r="D49" s="21" t="s">
        <v>773</v>
      </c>
    </row>
    <row r="50" spans="1:4">
      <c r="A50" s="78"/>
      <c r="B50" s="78"/>
      <c r="C50" s="1"/>
      <c r="D50" s="21"/>
    </row>
    <row r="51" spans="1:4">
      <c r="A51" s="148" t="s">
        <v>1195</v>
      </c>
      <c r="B51" s="148" t="s">
        <v>21</v>
      </c>
      <c r="C51" s="40" t="s">
        <v>1045</v>
      </c>
      <c r="D51" s="25" t="s">
        <v>1045</v>
      </c>
    </row>
    <row r="52" spans="1:4">
      <c r="A52" s="157"/>
      <c r="B52" s="149"/>
      <c r="C52" t="s">
        <v>1047</v>
      </c>
      <c r="D52" s="25" t="s">
        <v>1047</v>
      </c>
    </row>
    <row r="53" spans="1:4">
      <c r="A53" s="157"/>
      <c r="B53" s="149"/>
      <c r="C53" t="s">
        <v>1049</v>
      </c>
      <c r="D53" s="25" t="s">
        <v>1049</v>
      </c>
    </row>
    <row r="54" spans="1:4">
      <c r="A54" s="157"/>
      <c r="B54" s="149"/>
      <c r="C54" t="s">
        <v>1051</v>
      </c>
      <c r="D54" s="25" t="s">
        <v>1051</v>
      </c>
    </row>
    <row r="55" spans="1:4">
      <c r="A55" s="157"/>
      <c r="B55" s="149"/>
      <c r="C55" t="s">
        <v>1052</v>
      </c>
      <c r="D55" s="25" t="s">
        <v>1052</v>
      </c>
    </row>
    <row r="56" spans="1:4">
      <c r="A56" s="157"/>
      <c r="B56" s="149"/>
      <c r="C56" t="s">
        <v>1054</v>
      </c>
      <c r="D56" s="25" t="s">
        <v>1054</v>
      </c>
    </row>
    <row r="57" spans="1:4">
      <c r="A57" s="156"/>
      <c r="B57" s="159"/>
      <c r="C57" t="s">
        <v>1055</v>
      </c>
      <c r="D57" s="25" t="s">
        <v>1055</v>
      </c>
    </row>
    <row r="58" spans="1:4">
      <c r="A58" s="157"/>
      <c r="B58" s="149"/>
      <c r="C58" t="s">
        <v>1056</v>
      </c>
      <c r="D58" s="25" t="s">
        <v>1056</v>
      </c>
    </row>
    <row r="59" spans="1:4">
      <c r="A59" s="157"/>
      <c r="B59" s="149"/>
      <c r="C59" t="s">
        <v>1057</v>
      </c>
      <c r="D59" s="25" t="s">
        <v>1057</v>
      </c>
    </row>
    <row r="60" spans="1:4">
      <c r="A60" s="158"/>
      <c r="B60" s="150"/>
      <c r="C60" s="41" t="s">
        <v>1059</v>
      </c>
      <c r="D60" s="25" t="s">
        <v>1059</v>
      </c>
    </row>
    <row r="61" spans="1:4">
      <c r="D61" s="25"/>
    </row>
    <row r="62" spans="1:4">
      <c r="A62" s="148" t="s">
        <v>1195</v>
      </c>
      <c r="B62" s="148" t="s">
        <v>22</v>
      </c>
      <c r="C62" s="75" t="s">
        <v>1060</v>
      </c>
      <c r="D62" s="25" t="s">
        <v>1060</v>
      </c>
    </row>
    <row r="63" spans="1:4">
      <c r="A63" s="52"/>
      <c r="B63" s="52"/>
      <c r="C63" s="76" t="s">
        <v>1062</v>
      </c>
      <c r="D63" s="25" t="s">
        <v>1062</v>
      </c>
    </row>
    <row r="64" spans="1:4">
      <c r="A64" s="52"/>
      <c r="B64" s="52"/>
      <c r="C64" s="76" t="s">
        <v>1065</v>
      </c>
      <c r="D64" s="25" t="s">
        <v>1065</v>
      </c>
    </row>
    <row r="65" spans="1:4">
      <c r="A65" s="52"/>
      <c r="B65" s="52"/>
      <c r="C65" s="76" t="s">
        <v>1066</v>
      </c>
      <c r="D65" s="25" t="s">
        <v>1066</v>
      </c>
    </row>
    <row r="66" spans="1:4">
      <c r="A66" s="52"/>
      <c r="B66" s="52"/>
      <c r="C66" s="76" t="s">
        <v>1068</v>
      </c>
      <c r="D66" s="25" t="s">
        <v>1068</v>
      </c>
    </row>
    <row r="67" spans="1:4">
      <c r="A67" s="52"/>
      <c r="B67" s="52"/>
      <c r="C67" s="76" t="s">
        <v>1070</v>
      </c>
      <c r="D67" s="25" t="s">
        <v>1070</v>
      </c>
    </row>
    <row r="68" spans="1:4">
      <c r="A68" s="52"/>
      <c r="B68" s="52"/>
      <c r="C68" s="76" t="s">
        <v>1072</v>
      </c>
      <c r="D68" s="25" t="s">
        <v>1072</v>
      </c>
    </row>
    <row r="69" spans="1:4">
      <c r="A69" s="52"/>
      <c r="B69" s="52"/>
      <c r="C69" s="76" t="s">
        <v>1073</v>
      </c>
      <c r="D69" s="25" t="s">
        <v>1073</v>
      </c>
    </row>
    <row r="70" spans="1:4">
      <c r="A70" s="51"/>
      <c r="B70" s="51"/>
      <c r="C70" s="96" t="s">
        <v>1074</v>
      </c>
      <c r="D70" s="25" t="s">
        <v>1074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1B77-4F27-4A68-9A8B-8F47241E6EDB}">
  <sheetPr codeName="Sheet9"/>
  <dimension ref="A1:J51"/>
  <sheetViews>
    <sheetView workbookViewId="0">
      <selection activeCell="A30" sqref="A30:A42"/>
    </sheetView>
  </sheetViews>
  <sheetFormatPr defaultColWidth="8.85546875" defaultRowHeight="14.45"/>
  <cols>
    <col min="1" max="1" width="21.5703125" style="127" bestFit="1" customWidth="1"/>
    <col min="2" max="2" width="28.7109375" style="127" bestFit="1" customWidth="1"/>
    <col min="3" max="3" width="18.7109375" style="127" bestFit="1" customWidth="1"/>
    <col min="4" max="5" width="8.85546875" style="127"/>
    <col min="6" max="6" width="15.85546875" style="127" bestFit="1" customWidth="1"/>
    <col min="7" max="7" width="14.42578125" style="127" bestFit="1" customWidth="1"/>
    <col min="8" max="16384" width="8.85546875" style="127"/>
  </cols>
  <sheetData>
    <row r="1" spans="1:9">
      <c r="A1" s="297" t="s">
        <v>0</v>
      </c>
      <c r="B1" s="297" t="s">
        <v>1</v>
      </c>
      <c r="C1" s="296" t="s">
        <v>2</v>
      </c>
      <c r="F1" s="301" t="s">
        <v>1207</v>
      </c>
      <c r="G1" s="302" t="s">
        <v>25</v>
      </c>
      <c r="H1" s="271"/>
      <c r="I1" s="271"/>
    </row>
    <row r="2" spans="1:9">
      <c r="A2" s="341" t="s">
        <v>26</v>
      </c>
      <c r="B2" s="303" t="s">
        <v>27</v>
      </c>
      <c r="C2" s="304" t="s">
        <v>28</v>
      </c>
      <c r="D2" s="269"/>
      <c r="F2" s="305" t="s">
        <v>29</v>
      </c>
      <c r="G2" s="306" t="s">
        <v>30</v>
      </c>
      <c r="H2" s="271"/>
      <c r="I2" s="271"/>
    </row>
    <row r="3" spans="1:9">
      <c r="A3" s="342"/>
      <c r="B3" s="303" t="s">
        <v>31</v>
      </c>
      <c r="C3" s="304" t="s">
        <v>32</v>
      </c>
      <c r="D3" s="269"/>
      <c r="F3" s="305" t="s">
        <v>29</v>
      </c>
      <c r="G3" s="306" t="s">
        <v>30</v>
      </c>
      <c r="H3" s="271"/>
      <c r="I3" s="271"/>
    </row>
    <row r="4" spans="1:9">
      <c r="A4" s="307" t="s">
        <v>33</v>
      </c>
      <c r="B4" s="303" t="s">
        <v>31</v>
      </c>
      <c r="C4" s="304" t="s">
        <v>32</v>
      </c>
      <c r="D4" s="269"/>
      <c r="F4" s="305" t="s">
        <v>29</v>
      </c>
      <c r="G4" s="306" t="s">
        <v>30</v>
      </c>
      <c r="H4" s="271"/>
      <c r="I4" s="271"/>
    </row>
    <row r="5" spans="1:9">
      <c r="A5" s="343" t="s">
        <v>34</v>
      </c>
      <c r="B5" s="303" t="s">
        <v>35</v>
      </c>
      <c r="C5" s="304" t="s">
        <v>36</v>
      </c>
      <c r="D5" s="269"/>
      <c r="F5" s="305" t="s">
        <v>37</v>
      </c>
      <c r="G5" s="306" t="s">
        <v>38</v>
      </c>
      <c r="H5" s="271"/>
      <c r="I5" s="271"/>
    </row>
    <row r="6" spans="1:9">
      <c r="A6" s="344"/>
      <c r="B6" s="303" t="s">
        <v>39</v>
      </c>
      <c r="C6" s="304" t="s">
        <v>40</v>
      </c>
      <c r="D6" s="269"/>
      <c r="F6" s="306" t="s">
        <v>38</v>
      </c>
      <c r="G6" s="305" t="s">
        <v>37</v>
      </c>
      <c r="H6" s="271"/>
      <c r="I6" s="271"/>
    </row>
    <row r="7" spans="1:9">
      <c r="A7" s="308" t="s">
        <v>41</v>
      </c>
      <c r="B7" s="308" t="s">
        <v>41</v>
      </c>
      <c r="C7" s="304" t="s">
        <v>42</v>
      </c>
      <c r="D7" s="269"/>
      <c r="F7" s="305" t="s">
        <v>43</v>
      </c>
      <c r="G7" s="305" t="s">
        <v>38</v>
      </c>
      <c r="H7" s="271"/>
      <c r="I7" s="271"/>
    </row>
    <row r="8" spans="1:9">
      <c r="A8" s="309" t="s">
        <v>44</v>
      </c>
      <c r="B8" s="309" t="s">
        <v>44</v>
      </c>
      <c r="C8" s="304" t="s">
        <v>45</v>
      </c>
      <c r="D8" s="269"/>
      <c r="F8" s="305" t="s">
        <v>46</v>
      </c>
      <c r="G8" s="305" t="s">
        <v>38</v>
      </c>
      <c r="H8" s="271"/>
      <c r="I8" s="271"/>
    </row>
    <row r="9" spans="1:9">
      <c r="A9" s="308" t="s">
        <v>47</v>
      </c>
      <c r="B9" s="308" t="s">
        <v>47</v>
      </c>
      <c r="C9" s="304" t="s">
        <v>48</v>
      </c>
      <c r="D9" s="269"/>
      <c r="F9" s="305" t="s">
        <v>43</v>
      </c>
      <c r="G9" s="305" t="s">
        <v>38</v>
      </c>
      <c r="H9" s="271"/>
      <c r="I9" s="271"/>
    </row>
    <row r="10" spans="1:9">
      <c r="A10" s="309" t="s">
        <v>49</v>
      </c>
      <c r="B10" s="309" t="s">
        <v>50</v>
      </c>
      <c r="C10" s="304"/>
      <c r="D10" s="269"/>
      <c r="F10" s="305" t="s">
        <v>29</v>
      </c>
      <c r="G10" s="306" t="s">
        <v>30</v>
      </c>
      <c r="H10" s="271"/>
      <c r="I10" s="271"/>
    </row>
    <row r="11" spans="1:9">
      <c r="A11" s="269"/>
      <c r="B11" s="269"/>
      <c r="C11" s="269"/>
      <c r="D11" s="269"/>
      <c r="F11" s="272"/>
      <c r="G11" s="271"/>
      <c r="H11" s="271"/>
      <c r="I11" s="271"/>
    </row>
    <row r="12" spans="1:9">
      <c r="F12" s="271"/>
      <c r="G12" s="271"/>
      <c r="H12" s="271"/>
      <c r="I12" s="271"/>
    </row>
    <row r="13" spans="1:9">
      <c r="A13" s="297" t="s">
        <v>0</v>
      </c>
      <c r="B13" s="297" t="s">
        <v>1</v>
      </c>
      <c r="C13" s="296" t="s">
        <v>2</v>
      </c>
      <c r="F13" s="301" t="s">
        <v>1207</v>
      </c>
      <c r="G13" s="302" t="s">
        <v>5</v>
      </c>
      <c r="H13" s="301" t="s">
        <v>1208</v>
      </c>
      <c r="I13" s="271"/>
    </row>
    <row r="14" spans="1:9">
      <c r="A14" s="345" t="s">
        <v>52</v>
      </c>
      <c r="B14" s="311" t="s">
        <v>53</v>
      </c>
      <c r="C14" s="312" t="s">
        <v>28</v>
      </c>
      <c r="D14" s="269"/>
      <c r="F14" s="305" t="s">
        <v>29</v>
      </c>
      <c r="G14" s="306" t="s">
        <v>30</v>
      </c>
      <c r="H14" s="306" t="s">
        <v>30</v>
      </c>
      <c r="I14" s="271"/>
    </row>
    <row r="15" spans="1:9">
      <c r="A15" s="345"/>
      <c r="B15" s="303" t="s">
        <v>54</v>
      </c>
      <c r="C15" s="304" t="s">
        <v>32</v>
      </c>
      <c r="D15" s="269"/>
      <c r="F15" s="305" t="s">
        <v>29</v>
      </c>
      <c r="G15" s="306" t="s">
        <v>30</v>
      </c>
      <c r="H15" s="306" t="s">
        <v>30</v>
      </c>
      <c r="I15" s="271"/>
    </row>
    <row r="16" spans="1:9">
      <c r="A16" s="345"/>
      <c r="B16" s="303" t="s">
        <v>55</v>
      </c>
      <c r="C16" s="313" t="s">
        <v>1209</v>
      </c>
      <c r="D16" s="269"/>
      <c r="F16" s="305" t="s">
        <v>29</v>
      </c>
      <c r="G16" s="306" t="s">
        <v>57</v>
      </c>
      <c r="H16" s="306" t="s">
        <v>30</v>
      </c>
      <c r="I16" s="271" t="s">
        <v>58</v>
      </c>
    </row>
    <row r="17" spans="1:10">
      <c r="A17" s="345"/>
      <c r="B17" s="303" t="s">
        <v>59</v>
      </c>
      <c r="C17" s="313" t="s">
        <v>1210</v>
      </c>
      <c r="D17" s="269"/>
      <c r="F17" s="305" t="s">
        <v>29</v>
      </c>
      <c r="G17" s="306" t="s">
        <v>30</v>
      </c>
      <c r="H17" s="306" t="s">
        <v>57</v>
      </c>
      <c r="I17" s="271" t="s">
        <v>58</v>
      </c>
    </row>
    <row r="18" spans="1:10">
      <c r="A18" s="345"/>
      <c r="B18" s="303" t="s">
        <v>61</v>
      </c>
      <c r="C18" s="304" t="s">
        <v>56</v>
      </c>
      <c r="D18" s="269"/>
      <c r="F18" s="305" t="s">
        <v>29</v>
      </c>
      <c r="G18" s="306" t="s">
        <v>62</v>
      </c>
      <c r="H18" s="306" t="s">
        <v>30</v>
      </c>
      <c r="I18" s="271"/>
    </row>
    <row r="19" spans="1:10">
      <c r="A19" s="344"/>
      <c r="B19" s="303" t="s">
        <v>63</v>
      </c>
      <c r="C19" s="304" t="s">
        <v>60</v>
      </c>
      <c r="D19" s="269"/>
      <c r="F19" s="305" t="s">
        <v>29</v>
      </c>
      <c r="G19" s="306" t="s">
        <v>30</v>
      </c>
      <c r="H19" s="306" t="s">
        <v>62</v>
      </c>
      <c r="I19" s="271"/>
    </row>
    <row r="20" spans="1:10">
      <c r="A20" s="307" t="s">
        <v>64</v>
      </c>
      <c r="B20" s="303" t="s">
        <v>54</v>
      </c>
      <c r="C20" s="304" t="s">
        <v>32</v>
      </c>
      <c r="D20" s="269"/>
      <c r="F20" s="305" t="s">
        <v>29</v>
      </c>
      <c r="G20" s="306" t="s">
        <v>30</v>
      </c>
      <c r="H20" s="306" t="s">
        <v>30</v>
      </c>
      <c r="I20" s="271"/>
    </row>
    <row r="21" spans="1:10">
      <c r="A21" s="343" t="s">
        <v>65</v>
      </c>
      <c r="B21" s="314" t="s">
        <v>66</v>
      </c>
      <c r="C21" s="304" t="s">
        <v>67</v>
      </c>
      <c r="D21" s="269"/>
      <c r="F21" s="305" t="s">
        <v>37</v>
      </c>
      <c r="G21" s="306" t="s">
        <v>38</v>
      </c>
      <c r="H21" s="306" t="s">
        <v>38</v>
      </c>
      <c r="I21" s="271"/>
    </row>
    <row r="22" spans="1:10">
      <c r="A22" s="345"/>
      <c r="B22" s="314" t="s">
        <v>68</v>
      </c>
      <c r="C22" s="304" t="s">
        <v>36</v>
      </c>
      <c r="D22" s="269"/>
      <c r="F22" s="305" t="s">
        <v>37</v>
      </c>
      <c r="G22" s="306" t="s">
        <v>38</v>
      </c>
      <c r="H22" s="306" t="s">
        <v>57</v>
      </c>
      <c r="I22" s="271" t="s">
        <v>58</v>
      </c>
    </row>
    <row r="23" spans="1:10">
      <c r="A23" s="310"/>
      <c r="B23" s="314" t="s">
        <v>69</v>
      </c>
      <c r="C23" s="304" t="s">
        <v>70</v>
      </c>
      <c r="D23" s="269"/>
      <c r="F23" s="305" t="s">
        <v>37</v>
      </c>
      <c r="G23" s="306" t="s">
        <v>57</v>
      </c>
      <c r="H23" s="306" t="s">
        <v>38</v>
      </c>
      <c r="I23" s="271" t="s">
        <v>58</v>
      </c>
    </row>
    <row r="24" spans="1:10" ht="43.15">
      <c r="A24" s="308"/>
      <c r="B24" s="168" t="s">
        <v>71</v>
      </c>
      <c r="C24" s="315" t="s">
        <v>72</v>
      </c>
      <c r="D24" s="269"/>
      <c r="F24" s="305" t="s">
        <v>73</v>
      </c>
      <c r="G24" s="305" t="s">
        <v>37</v>
      </c>
      <c r="H24" s="305" t="s">
        <v>73</v>
      </c>
      <c r="I24" s="271"/>
    </row>
    <row r="25" spans="1:10">
      <c r="A25" s="308" t="s">
        <v>74</v>
      </c>
      <c r="B25" s="308" t="s">
        <v>74</v>
      </c>
      <c r="C25" s="304" t="s">
        <v>42</v>
      </c>
      <c r="D25" s="269"/>
      <c r="F25" s="305" t="s">
        <v>43</v>
      </c>
      <c r="G25" s="305" t="s">
        <v>38</v>
      </c>
      <c r="H25" s="305" t="s">
        <v>38</v>
      </c>
      <c r="I25" s="271"/>
    </row>
    <row r="26" spans="1:10">
      <c r="A26" s="309" t="s">
        <v>75</v>
      </c>
      <c r="B26" s="309" t="s">
        <v>75</v>
      </c>
      <c r="C26" s="304" t="s">
        <v>45</v>
      </c>
      <c r="D26" s="269"/>
      <c r="F26" s="305" t="s">
        <v>46</v>
      </c>
      <c r="G26" s="305" t="s">
        <v>38</v>
      </c>
      <c r="H26" s="305" t="s">
        <v>38</v>
      </c>
      <c r="I26" s="271"/>
    </row>
    <row r="27" spans="1:10">
      <c r="A27" s="308" t="s">
        <v>76</v>
      </c>
      <c r="B27" s="308" t="s">
        <v>76</v>
      </c>
      <c r="C27" s="304" t="s">
        <v>48</v>
      </c>
      <c r="D27" s="269"/>
      <c r="F27" s="305" t="s">
        <v>43</v>
      </c>
      <c r="G27" s="305" t="s">
        <v>38</v>
      </c>
      <c r="H27" s="305" t="s">
        <v>38</v>
      </c>
      <c r="I27" s="271"/>
    </row>
    <row r="29" spans="1:10">
      <c r="A29" s="297" t="s">
        <v>0</v>
      </c>
      <c r="B29" s="297" t="s">
        <v>1</v>
      </c>
      <c r="C29" s="296" t="s">
        <v>2</v>
      </c>
      <c r="D29" s="316"/>
      <c r="E29" s="316"/>
      <c r="F29" s="317" t="s">
        <v>1207</v>
      </c>
      <c r="G29" s="317" t="s">
        <v>5</v>
      </c>
      <c r="H29" s="317" t="s">
        <v>156</v>
      </c>
      <c r="I29" s="317" t="s">
        <v>1211</v>
      </c>
    </row>
    <row r="30" spans="1:10">
      <c r="A30" s="340" t="s">
        <v>1212</v>
      </c>
      <c r="B30" s="340" t="s">
        <v>1213</v>
      </c>
      <c r="C30" s="319" t="s">
        <v>28</v>
      </c>
      <c r="D30" s="316"/>
      <c r="E30" s="316"/>
      <c r="F30" s="338" t="s">
        <v>29</v>
      </c>
      <c r="G30" s="338" t="s">
        <v>30</v>
      </c>
      <c r="H30" s="338" t="s">
        <v>30</v>
      </c>
      <c r="I30" s="338" t="s">
        <v>62</v>
      </c>
      <c r="J30" s="271"/>
    </row>
    <row r="31" spans="1:10">
      <c r="A31" s="340"/>
      <c r="B31" s="340"/>
      <c r="C31" s="318" t="s">
        <v>1214</v>
      </c>
      <c r="D31" s="316"/>
      <c r="E31" s="316"/>
      <c r="F31" s="338"/>
      <c r="G31" s="338"/>
      <c r="H31" s="338"/>
      <c r="I31" s="338"/>
      <c r="J31" s="271"/>
    </row>
    <row r="32" spans="1:10">
      <c r="A32" s="340"/>
      <c r="B32" s="318" t="s">
        <v>1215</v>
      </c>
      <c r="C32" s="318" t="s">
        <v>32</v>
      </c>
      <c r="D32" s="316"/>
      <c r="E32" s="316"/>
      <c r="F32" s="320" t="s">
        <v>29</v>
      </c>
      <c r="G32" s="320" t="s">
        <v>30</v>
      </c>
      <c r="H32" s="320" t="s">
        <v>30</v>
      </c>
      <c r="I32" s="320" t="s">
        <v>62</v>
      </c>
      <c r="J32" s="271"/>
    </row>
    <row r="33" spans="1:10">
      <c r="A33" s="340"/>
      <c r="B33" s="340" t="s">
        <v>55</v>
      </c>
      <c r="C33" s="318" t="s">
        <v>1216</v>
      </c>
      <c r="D33" s="339"/>
      <c r="E33" s="316"/>
      <c r="F33" s="338" t="s">
        <v>29</v>
      </c>
      <c r="G33" s="338" t="s">
        <v>57</v>
      </c>
      <c r="H33" s="338" t="s">
        <v>30</v>
      </c>
      <c r="I33" s="338" t="s">
        <v>62</v>
      </c>
      <c r="J33" s="271"/>
    </row>
    <row r="34" spans="1:10">
      <c r="A34" s="340"/>
      <c r="B34" s="340"/>
      <c r="C34" s="318" t="s">
        <v>1217</v>
      </c>
      <c r="D34" s="339"/>
      <c r="E34" s="316"/>
      <c r="F34" s="338"/>
      <c r="G34" s="338"/>
      <c r="H34" s="338"/>
      <c r="I34" s="338"/>
      <c r="J34" s="271"/>
    </row>
    <row r="35" spans="1:10">
      <c r="A35" s="340"/>
      <c r="B35" s="340" t="s">
        <v>59</v>
      </c>
      <c r="C35" s="318" t="s">
        <v>1218</v>
      </c>
      <c r="D35" s="339"/>
      <c r="E35" s="316"/>
      <c r="F35" s="338" t="s">
        <v>29</v>
      </c>
      <c r="G35" s="338" t="s">
        <v>30</v>
      </c>
      <c r="H35" s="338" t="s">
        <v>57</v>
      </c>
      <c r="I35" s="338" t="s">
        <v>62</v>
      </c>
      <c r="J35" s="271"/>
    </row>
    <row r="36" spans="1:10">
      <c r="A36" s="340"/>
      <c r="B36" s="340"/>
      <c r="C36" s="318" t="s">
        <v>1219</v>
      </c>
      <c r="D36" s="339"/>
      <c r="E36" s="316"/>
      <c r="F36" s="338"/>
      <c r="G36" s="338"/>
      <c r="H36" s="338"/>
      <c r="I36" s="338"/>
      <c r="J36" s="271"/>
    </row>
    <row r="37" spans="1:10">
      <c r="A37" s="340"/>
      <c r="B37" s="340" t="s">
        <v>61</v>
      </c>
      <c r="C37" s="318" t="s">
        <v>1220</v>
      </c>
      <c r="D37" s="339"/>
      <c r="E37" s="316"/>
      <c r="F37" s="338" t="s">
        <v>29</v>
      </c>
      <c r="G37" s="338" t="s">
        <v>62</v>
      </c>
      <c r="H37" s="338" t="s">
        <v>30</v>
      </c>
      <c r="I37" s="338" t="s">
        <v>62</v>
      </c>
      <c r="J37" s="271"/>
    </row>
    <row r="38" spans="1:10">
      <c r="A38" s="340"/>
      <c r="B38" s="340"/>
      <c r="C38" s="318" t="s">
        <v>1221</v>
      </c>
      <c r="D38" s="339"/>
      <c r="E38" s="316"/>
      <c r="F38" s="338"/>
      <c r="G38" s="338"/>
      <c r="H38" s="338"/>
      <c r="I38" s="338"/>
      <c r="J38" s="271"/>
    </row>
    <row r="39" spans="1:10">
      <c r="A39" s="340"/>
      <c r="B39" s="340" t="s">
        <v>63</v>
      </c>
      <c r="C39" s="318" t="s">
        <v>1222</v>
      </c>
      <c r="D39" s="339"/>
      <c r="E39" s="316"/>
      <c r="F39" s="338" t="s">
        <v>29</v>
      </c>
      <c r="G39" s="338" t="s">
        <v>30</v>
      </c>
      <c r="H39" s="338" t="s">
        <v>62</v>
      </c>
      <c r="I39" s="338" t="s">
        <v>62</v>
      </c>
      <c r="J39" s="271"/>
    </row>
    <row r="40" spans="1:10">
      <c r="A40" s="340"/>
      <c r="B40" s="340"/>
      <c r="C40" s="318" t="s">
        <v>1223</v>
      </c>
      <c r="D40" s="339"/>
      <c r="E40" s="316"/>
      <c r="F40" s="338"/>
      <c r="G40" s="338"/>
      <c r="H40" s="338"/>
      <c r="I40" s="338"/>
      <c r="J40" s="271"/>
    </row>
    <row r="41" spans="1:10">
      <c r="A41" s="340"/>
      <c r="B41" s="340" t="s">
        <v>1224</v>
      </c>
      <c r="C41" s="318" t="s">
        <v>1225</v>
      </c>
      <c r="D41" s="339"/>
      <c r="E41" s="316"/>
      <c r="F41" s="338" t="s">
        <v>29</v>
      </c>
      <c r="G41" s="338" t="s">
        <v>30</v>
      </c>
      <c r="H41" s="338" t="s">
        <v>30</v>
      </c>
      <c r="I41" s="338" t="s">
        <v>57</v>
      </c>
      <c r="J41" s="271"/>
    </row>
    <row r="42" spans="1:10">
      <c r="A42" s="340"/>
      <c r="B42" s="340"/>
      <c r="C42" s="318" t="s">
        <v>1226</v>
      </c>
      <c r="D42" s="339"/>
      <c r="E42" s="316"/>
      <c r="F42" s="338"/>
      <c r="G42" s="338"/>
      <c r="H42" s="338"/>
      <c r="I42" s="338"/>
      <c r="J42" s="271"/>
    </row>
    <row r="43" spans="1:10">
      <c r="A43" s="318" t="s">
        <v>1227</v>
      </c>
      <c r="B43" s="318" t="s">
        <v>1215</v>
      </c>
      <c r="C43" s="318" t="s">
        <v>32</v>
      </c>
      <c r="D43" s="316"/>
      <c r="E43" s="316"/>
      <c r="F43" s="320" t="s">
        <v>29</v>
      </c>
      <c r="G43" s="320" t="s">
        <v>30</v>
      </c>
      <c r="H43" s="320" t="s">
        <v>30</v>
      </c>
      <c r="I43" s="320" t="s">
        <v>62</v>
      </c>
      <c r="J43" s="271"/>
    </row>
    <row r="44" spans="1:10">
      <c r="A44" s="340" t="s">
        <v>1228</v>
      </c>
      <c r="B44" s="318" t="s">
        <v>1229</v>
      </c>
      <c r="C44" s="318" t="s">
        <v>67</v>
      </c>
      <c r="D44" s="316"/>
      <c r="E44" s="316"/>
      <c r="F44" s="320" t="s">
        <v>37</v>
      </c>
      <c r="G44" s="320" t="s">
        <v>38</v>
      </c>
      <c r="H44" s="320" t="s">
        <v>38</v>
      </c>
      <c r="I44" s="320" t="s">
        <v>38</v>
      </c>
      <c r="J44" s="271"/>
    </row>
    <row r="45" spans="1:10">
      <c r="A45" s="340"/>
      <c r="B45" s="318" t="s">
        <v>68</v>
      </c>
      <c r="C45" s="318" t="s">
        <v>36</v>
      </c>
      <c r="D45" s="316"/>
      <c r="E45" s="316"/>
      <c r="F45" s="320" t="s">
        <v>37</v>
      </c>
      <c r="G45" s="320" t="s">
        <v>38</v>
      </c>
      <c r="H45" s="320" t="s">
        <v>57</v>
      </c>
      <c r="I45" s="320" t="s">
        <v>57</v>
      </c>
      <c r="J45" s="271"/>
    </row>
    <row r="46" spans="1:10">
      <c r="A46" s="340"/>
      <c r="B46" s="318" t="s">
        <v>69</v>
      </c>
      <c r="C46" s="318" t="s">
        <v>70</v>
      </c>
      <c r="D46" s="316"/>
      <c r="E46" s="316"/>
      <c r="F46" s="320" t="s">
        <v>37</v>
      </c>
      <c r="G46" s="320" t="s">
        <v>57</v>
      </c>
      <c r="H46" s="320" t="s">
        <v>38</v>
      </c>
      <c r="I46" s="320" t="s">
        <v>57</v>
      </c>
      <c r="J46" s="271"/>
    </row>
    <row r="47" spans="1:10">
      <c r="A47" s="340"/>
      <c r="B47" s="318" t="s">
        <v>1230</v>
      </c>
      <c r="C47" s="318" t="s">
        <v>1231</v>
      </c>
      <c r="D47" s="316"/>
      <c r="E47" s="316"/>
      <c r="F47" s="320" t="s">
        <v>37</v>
      </c>
      <c r="G47" s="320" t="s">
        <v>57</v>
      </c>
      <c r="H47" s="320" t="s">
        <v>57</v>
      </c>
      <c r="I47" s="320" t="s">
        <v>38</v>
      </c>
      <c r="J47" s="271"/>
    </row>
    <row r="48" spans="1:10">
      <c r="A48" s="340"/>
      <c r="B48" s="340" t="s">
        <v>1232</v>
      </c>
      <c r="C48" s="318" t="s">
        <v>1233</v>
      </c>
      <c r="D48" s="316"/>
      <c r="E48" s="316"/>
      <c r="F48" s="338" t="s">
        <v>73</v>
      </c>
      <c r="G48" s="338" t="s">
        <v>37</v>
      </c>
      <c r="H48" s="338" t="s">
        <v>73</v>
      </c>
      <c r="I48" s="338" t="s">
        <v>73</v>
      </c>
      <c r="J48" s="271"/>
    </row>
    <row r="49" spans="1:10">
      <c r="A49" s="340"/>
      <c r="B49" s="340"/>
      <c r="C49" s="318" t="s">
        <v>1234</v>
      </c>
      <c r="D49" s="316"/>
      <c r="E49" s="316"/>
      <c r="F49" s="338"/>
      <c r="G49" s="338"/>
      <c r="H49" s="338"/>
      <c r="I49" s="338"/>
      <c r="J49" s="271"/>
    </row>
    <row r="50" spans="1:10">
      <c r="A50" s="340"/>
      <c r="B50" s="340"/>
      <c r="C50" s="318" t="s">
        <v>1235</v>
      </c>
      <c r="D50" s="316"/>
      <c r="E50" s="316"/>
      <c r="F50" s="338"/>
      <c r="G50" s="338"/>
      <c r="H50" s="338"/>
      <c r="I50" s="338"/>
      <c r="J50" s="271"/>
    </row>
    <row r="51" spans="1:10">
      <c r="A51" s="340"/>
      <c r="B51" s="340"/>
      <c r="C51" s="318" t="s">
        <v>1236</v>
      </c>
      <c r="D51" s="316"/>
      <c r="E51" s="316"/>
      <c r="F51" s="338"/>
      <c r="G51" s="338"/>
      <c r="H51" s="338"/>
      <c r="I51" s="338"/>
      <c r="J51" s="271"/>
    </row>
  </sheetData>
  <mergeCells count="46">
    <mergeCell ref="A2:A3"/>
    <mergeCell ref="A5:A6"/>
    <mergeCell ref="A14:A19"/>
    <mergeCell ref="A21:A22"/>
    <mergeCell ref="H30:H31"/>
    <mergeCell ref="I30:I31"/>
    <mergeCell ref="B41:B42"/>
    <mergeCell ref="A44:A51"/>
    <mergeCell ref="B48:B51"/>
    <mergeCell ref="B35:B36"/>
    <mergeCell ref="D35:D36"/>
    <mergeCell ref="B37:B38"/>
    <mergeCell ref="D37:D38"/>
    <mergeCell ref="B39:B40"/>
    <mergeCell ref="D39:D40"/>
    <mergeCell ref="B33:B34"/>
    <mergeCell ref="D33:D34"/>
    <mergeCell ref="H33:H34"/>
    <mergeCell ref="I33:I34"/>
    <mergeCell ref="F35:F36"/>
    <mergeCell ref="G35:G36"/>
    <mergeCell ref="H35:H36"/>
    <mergeCell ref="I35:I36"/>
    <mergeCell ref="A30:A42"/>
    <mergeCell ref="B30:B31"/>
    <mergeCell ref="F30:F31"/>
    <mergeCell ref="F33:F34"/>
    <mergeCell ref="G33:G34"/>
    <mergeCell ref="F37:F38"/>
    <mergeCell ref="G30:G31"/>
    <mergeCell ref="G37:G38"/>
    <mergeCell ref="H37:H38"/>
    <mergeCell ref="I37:I38"/>
    <mergeCell ref="F39:F40"/>
    <mergeCell ref="G39:G40"/>
    <mergeCell ref="H39:H40"/>
    <mergeCell ref="I39:I40"/>
    <mergeCell ref="F48:F51"/>
    <mergeCell ref="G48:G51"/>
    <mergeCell ref="H48:H51"/>
    <mergeCell ref="I48:I51"/>
    <mergeCell ref="D41:D42"/>
    <mergeCell ref="F41:F42"/>
    <mergeCell ref="G41:G42"/>
    <mergeCell ref="H41:H42"/>
    <mergeCell ref="I41:I4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E437-C368-454B-8860-50DC62E6153F}">
  <sheetPr codeName="Sheet7"/>
  <dimension ref="A1:K32"/>
  <sheetViews>
    <sheetView topLeftCell="A5" workbookViewId="0">
      <selection activeCell="Q27" sqref="Q27"/>
    </sheetView>
  </sheetViews>
  <sheetFormatPr defaultRowHeight="14.45"/>
  <cols>
    <col min="4" max="8" width="9.140625" customWidth="1"/>
  </cols>
  <sheetData>
    <row r="1" spans="1:11" ht="15" thickBot="1">
      <c r="A1" t="s">
        <v>1237</v>
      </c>
    </row>
    <row r="2" spans="1:11" ht="29.45" thickBot="1">
      <c r="A2" s="134" t="s">
        <v>1238</v>
      </c>
      <c r="B2" s="135" t="s">
        <v>1239</v>
      </c>
      <c r="C2" s="135" t="s">
        <v>1240</v>
      </c>
      <c r="D2" s="135" t="s">
        <v>1241</v>
      </c>
      <c r="E2" s="135" t="s">
        <v>1242</v>
      </c>
      <c r="F2" s="135" t="s">
        <v>1243</v>
      </c>
      <c r="G2" s="135" t="s">
        <v>1244</v>
      </c>
      <c r="H2" s="135" t="s">
        <v>1245</v>
      </c>
      <c r="I2" s="136" t="s">
        <v>1246</v>
      </c>
      <c r="J2" t="s">
        <v>1247</v>
      </c>
    </row>
    <row r="3" spans="1:11">
      <c r="A3" s="12" t="s">
        <v>1248</v>
      </c>
      <c r="B3" s="11" t="s">
        <v>1249</v>
      </c>
      <c r="C3" s="11" t="s">
        <v>1250</v>
      </c>
      <c r="D3" s="137">
        <v>5.9999999999999997E-7</v>
      </c>
      <c r="E3" s="11">
        <v>10</v>
      </c>
      <c r="F3" s="11" t="s">
        <v>1251</v>
      </c>
      <c r="G3" s="11">
        <v>25</v>
      </c>
      <c r="H3" s="137">
        <v>2.13688807813779E-10</v>
      </c>
      <c r="I3" s="138">
        <f>H3/H$3</f>
        <v>1</v>
      </c>
    </row>
    <row r="4" spans="1:11">
      <c r="A4" s="130" t="s">
        <v>1248</v>
      </c>
      <c r="B4" s="25" t="s">
        <v>1249</v>
      </c>
      <c r="C4" s="25" t="s">
        <v>1252</v>
      </c>
      <c r="D4" s="128">
        <v>5.9999999999999997E-7</v>
      </c>
      <c r="E4" s="25">
        <v>20</v>
      </c>
      <c r="F4" s="25" t="s">
        <v>1251</v>
      </c>
      <c r="G4" s="25">
        <v>25</v>
      </c>
      <c r="H4" s="128">
        <v>3.65729460696526E-10</v>
      </c>
      <c r="I4" s="131">
        <f>H4/H$3</f>
        <v>1.7115049891393666</v>
      </c>
    </row>
    <row r="5" spans="1:11" ht="15" thickBot="1">
      <c r="A5" s="9" t="s">
        <v>1248</v>
      </c>
      <c r="B5" s="10" t="s">
        <v>1249</v>
      </c>
      <c r="C5" s="10" t="s">
        <v>1253</v>
      </c>
      <c r="D5" s="132">
        <v>5.9999999999999997E-7</v>
      </c>
      <c r="E5" s="10">
        <v>29</v>
      </c>
      <c r="F5" s="10" t="s">
        <v>1251</v>
      </c>
      <c r="G5" s="10">
        <v>25</v>
      </c>
      <c r="H5" s="132">
        <v>5.18329499952642E-10</v>
      </c>
      <c r="I5" s="133">
        <f>H5/H$3</f>
        <v>2.4256277399626134</v>
      </c>
      <c r="J5" t="s">
        <v>1254</v>
      </c>
    </row>
    <row r="6" spans="1:11">
      <c r="A6" s="139" t="s">
        <v>1255</v>
      </c>
      <c r="B6" s="35" t="s">
        <v>1256</v>
      </c>
      <c r="C6" s="35" t="s">
        <v>1250</v>
      </c>
      <c r="D6" s="129">
        <v>5.9999999999999997E-7</v>
      </c>
      <c r="E6" s="35">
        <v>10</v>
      </c>
      <c r="F6" s="35" t="s">
        <v>1251</v>
      </c>
      <c r="G6" s="35">
        <v>25</v>
      </c>
      <c r="H6" s="129">
        <v>1.42181635276732E-10</v>
      </c>
      <c r="I6" s="140">
        <f>H6/H$6</f>
        <v>1</v>
      </c>
    </row>
    <row r="7" spans="1:11">
      <c r="A7" s="130" t="s">
        <v>1255</v>
      </c>
      <c r="B7" s="25" t="s">
        <v>1256</v>
      </c>
      <c r="C7" s="25" t="s">
        <v>1252</v>
      </c>
      <c r="D7" s="128">
        <v>5.9999999999999997E-7</v>
      </c>
      <c r="E7" s="25">
        <v>20</v>
      </c>
      <c r="F7" s="25" t="s">
        <v>1251</v>
      </c>
      <c r="G7" s="25">
        <v>25</v>
      </c>
      <c r="H7" s="128">
        <v>2.5873154538965703E-10</v>
      </c>
      <c r="I7" s="131">
        <f>H7/H$6</f>
        <v>1.8197254862491965</v>
      </c>
    </row>
    <row r="8" spans="1:11" ht="15" thickBot="1">
      <c r="A8" s="9" t="s">
        <v>1255</v>
      </c>
      <c r="B8" s="10" t="s">
        <v>1256</v>
      </c>
      <c r="C8" s="10" t="s">
        <v>1253</v>
      </c>
      <c r="D8" s="132">
        <v>5.9999999999999997E-7</v>
      </c>
      <c r="E8" s="10">
        <v>29</v>
      </c>
      <c r="F8" s="10" t="s">
        <v>1251</v>
      </c>
      <c r="G8" s="10">
        <v>25</v>
      </c>
      <c r="H8" s="132">
        <v>3.70914712890275E-10</v>
      </c>
      <c r="I8" s="133">
        <f>H8/H$6</f>
        <v>2.6087385488875099</v>
      </c>
    </row>
    <row r="14" spans="1:11" ht="15" thickBot="1">
      <c r="A14" t="s">
        <v>1257</v>
      </c>
    </row>
    <row r="15" spans="1:11" ht="29.45" thickBot="1">
      <c r="A15" s="134" t="s">
        <v>1238</v>
      </c>
      <c r="B15" s="135" t="s">
        <v>1239</v>
      </c>
      <c r="C15" s="135" t="s">
        <v>1240</v>
      </c>
      <c r="D15" s="135" t="s">
        <v>1241</v>
      </c>
      <c r="E15" s="135" t="s">
        <v>1242</v>
      </c>
      <c r="F15" s="135" t="s">
        <v>1243</v>
      </c>
      <c r="G15" s="135" t="s">
        <v>1244</v>
      </c>
      <c r="H15" s="135" t="s">
        <v>1245</v>
      </c>
      <c r="I15" s="136" t="s">
        <v>1246</v>
      </c>
      <c r="K15" s="4" t="s">
        <v>1258</v>
      </c>
    </row>
    <row r="16" spans="1:11" ht="15" thickBot="1">
      <c r="A16" s="12" t="s">
        <v>1248</v>
      </c>
      <c r="B16" s="11" t="s">
        <v>1249</v>
      </c>
      <c r="C16" s="11" t="s">
        <v>1250</v>
      </c>
      <c r="D16" s="137">
        <v>5.9999999999999997E-7</v>
      </c>
      <c r="E16" s="11">
        <v>10</v>
      </c>
      <c r="F16" s="11" t="s">
        <v>1251</v>
      </c>
      <c r="G16" s="11">
        <v>25</v>
      </c>
      <c r="H16" s="179">
        <v>3.8200000000000003E-10</v>
      </c>
      <c r="I16" s="180">
        <v>1</v>
      </c>
      <c r="K16" s="191" t="s">
        <v>1259</v>
      </c>
    </row>
    <row r="17" spans="1:11">
      <c r="A17" s="130" t="s">
        <v>1248</v>
      </c>
      <c r="B17" s="25" t="s">
        <v>1249</v>
      </c>
      <c r="C17" s="25" t="s">
        <v>1252</v>
      </c>
      <c r="D17" s="128">
        <v>5.9999999999999997E-7</v>
      </c>
      <c r="E17" s="25">
        <v>20</v>
      </c>
      <c r="F17" s="25" t="s">
        <v>1251</v>
      </c>
      <c r="G17" s="25">
        <v>25</v>
      </c>
      <c r="H17" s="178">
        <v>2.6799999999999998E-9</v>
      </c>
      <c r="I17" s="181">
        <v>7</v>
      </c>
    </row>
    <row r="18" spans="1:11" ht="15" thickBot="1">
      <c r="A18" s="9" t="s">
        <v>1248</v>
      </c>
      <c r="B18" s="10" t="s">
        <v>1249</v>
      </c>
      <c r="C18" s="10" t="s">
        <v>1253</v>
      </c>
      <c r="D18" s="132">
        <v>5.9999999999999997E-7</v>
      </c>
      <c r="E18" s="10">
        <v>29</v>
      </c>
      <c r="F18" s="10" t="s">
        <v>1251</v>
      </c>
      <c r="G18" s="10">
        <v>25</v>
      </c>
      <c r="H18" s="182">
        <v>6.8599999999999999E-9</v>
      </c>
      <c r="I18" s="183">
        <v>17</v>
      </c>
    </row>
    <row r="19" spans="1:11" ht="15" thickBot="1">
      <c r="A19" s="12" t="s">
        <v>1255</v>
      </c>
      <c r="B19" s="11" t="s">
        <v>1256</v>
      </c>
      <c r="C19" s="11" t="s">
        <v>1250</v>
      </c>
      <c r="D19" s="137">
        <v>5.9999999999999997E-7</v>
      </c>
      <c r="E19" s="11">
        <v>10</v>
      </c>
      <c r="F19" s="11" t="s">
        <v>1251</v>
      </c>
      <c r="G19" s="11">
        <v>25</v>
      </c>
      <c r="H19" s="179">
        <v>3.7899999999999998E-10</v>
      </c>
      <c r="I19" s="180">
        <v>1</v>
      </c>
      <c r="K19" s="191" t="s">
        <v>1260</v>
      </c>
    </row>
    <row r="20" spans="1:11">
      <c r="A20" s="130" t="s">
        <v>1255</v>
      </c>
      <c r="B20" s="25" t="s">
        <v>1256</v>
      </c>
      <c r="C20" s="25" t="s">
        <v>1252</v>
      </c>
      <c r="D20" s="128">
        <v>5.9999999999999997E-7</v>
      </c>
      <c r="E20" s="25">
        <v>20</v>
      </c>
      <c r="F20" s="25" t="s">
        <v>1251</v>
      </c>
      <c r="G20" s="25">
        <v>25</v>
      </c>
      <c r="H20" s="178">
        <v>2.7299999999999999E-9</v>
      </c>
      <c r="I20" s="181">
        <v>7</v>
      </c>
    </row>
    <row r="21" spans="1:11" ht="15" thickBot="1">
      <c r="A21" s="9" t="s">
        <v>1255</v>
      </c>
      <c r="B21" s="10" t="s">
        <v>1256</v>
      </c>
      <c r="C21" s="10" t="s">
        <v>1253</v>
      </c>
      <c r="D21" s="132">
        <v>5.9999999999999997E-7</v>
      </c>
      <c r="E21" s="10">
        <v>29</v>
      </c>
      <c r="F21" s="10" t="s">
        <v>1251</v>
      </c>
      <c r="G21" s="10">
        <v>25</v>
      </c>
      <c r="H21" s="182">
        <v>6.6299999999999996E-9</v>
      </c>
      <c r="I21" s="183">
        <v>18</v>
      </c>
    </row>
    <row r="25" spans="1:11" ht="15" thickBot="1">
      <c r="A25" t="s">
        <v>1261</v>
      </c>
    </row>
    <row r="26" spans="1:11" ht="29.45" thickBot="1">
      <c r="A26" s="134" t="s">
        <v>1238</v>
      </c>
      <c r="B26" s="135" t="s">
        <v>1239</v>
      </c>
      <c r="C26" s="135" t="s">
        <v>1240</v>
      </c>
      <c r="D26" s="135" t="s">
        <v>1241</v>
      </c>
      <c r="E26" s="135" t="s">
        <v>1242</v>
      </c>
      <c r="F26" s="135" t="s">
        <v>1243</v>
      </c>
      <c r="G26" s="135" t="s">
        <v>1244</v>
      </c>
      <c r="H26" s="135" t="s">
        <v>1245</v>
      </c>
      <c r="I26" s="136" t="s">
        <v>1246</v>
      </c>
      <c r="K26" s="4" t="s">
        <v>1258</v>
      </c>
    </row>
    <row r="27" spans="1:11">
      <c r="A27" s="12" t="s">
        <v>1248</v>
      </c>
      <c r="B27" s="11" t="s">
        <v>1249</v>
      </c>
      <c r="C27" s="11" t="s">
        <v>1250</v>
      </c>
      <c r="D27" s="137">
        <v>5.9999999999999997E-7</v>
      </c>
      <c r="E27" s="201">
        <v>10</v>
      </c>
      <c r="F27" s="11" t="s">
        <v>1251</v>
      </c>
      <c r="G27" s="11">
        <v>25</v>
      </c>
      <c r="H27" s="185">
        <v>1.65E-10</v>
      </c>
      <c r="I27" s="186">
        <v>0.18922018348623854</v>
      </c>
    </row>
    <row r="28" spans="1:11" ht="15" thickBot="1">
      <c r="A28" s="130" t="s">
        <v>1248</v>
      </c>
      <c r="B28" s="25" t="s">
        <v>1249</v>
      </c>
      <c r="C28" s="25" t="s">
        <v>1252</v>
      </c>
      <c r="D28" s="128">
        <v>5.9999999999999997E-7</v>
      </c>
      <c r="E28" s="202">
        <v>20</v>
      </c>
      <c r="F28" s="25" t="s">
        <v>1251</v>
      </c>
      <c r="G28" s="25">
        <v>25</v>
      </c>
      <c r="H28" s="184">
        <v>5.4799999999999997E-10</v>
      </c>
      <c r="I28" s="187">
        <v>0.62844036697247707</v>
      </c>
    </row>
    <row r="29" spans="1:11" ht="15" thickBot="1">
      <c r="A29" s="9" t="s">
        <v>1248</v>
      </c>
      <c r="B29" s="10" t="s">
        <v>1249</v>
      </c>
      <c r="C29" s="10" t="s">
        <v>1253</v>
      </c>
      <c r="D29" s="132">
        <v>5.9999999999999997E-7</v>
      </c>
      <c r="E29" s="203">
        <v>29</v>
      </c>
      <c r="F29" s="10" t="s">
        <v>1251</v>
      </c>
      <c r="G29" s="10">
        <v>25</v>
      </c>
      <c r="H29" s="188">
        <v>8.7199999999999999E-10</v>
      </c>
      <c r="I29" s="189">
        <v>1</v>
      </c>
      <c r="K29" s="190">
        <v>8.7199999999999999E-10</v>
      </c>
    </row>
    <row r="30" spans="1:11">
      <c r="A30" s="12" t="s">
        <v>1255</v>
      </c>
      <c r="B30" s="11" t="s">
        <v>1256</v>
      </c>
      <c r="C30" s="11" t="s">
        <v>1250</v>
      </c>
      <c r="D30" s="137">
        <v>5.9999999999999997E-7</v>
      </c>
      <c r="E30" s="201">
        <v>10</v>
      </c>
      <c r="F30" s="11" t="s">
        <v>1251</v>
      </c>
      <c r="G30" s="11">
        <v>25</v>
      </c>
      <c r="H30" s="185">
        <v>1.2E-10</v>
      </c>
      <c r="I30" s="186">
        <v>0.21660649819494582</v>
      </c>
    </row>
    <row r="31" spans="1:11" ht="15" thickBot="1">
      <c r="A31" s="130" t="s">
        <v>1255</v>
      </c>
      <c r="B31" s="25" t="s">
        <v>1256</v>
      </c>
      <c r="C31" s="25" t="s">
        <v>1252</v>
      </c>
      <c r="D31" s="128">
        <v>5.9999999999999997E-7</v>
      </c>
      <c r="E31" s="202">
        <v>20</v>
      </c>
      <c r="F31" s="25" t="s">
        <v>1251</v>
      </c>
      <c r="G31" s="25">
        <v>25</v>
      </c>
      <c r="H31" s="184">
        <v>3.6099999999999999E-10</v>
      </c>
      <c r="I31" s="187">
        <v>0.65162454873646203</v>
      </c>
    </row>
    <row r="32" spans="1:11" ht="15" thickBot="1">
      <c r="A32" s="9" t="s">
        <v>1255</v>
      </c>
      <c r="B32" s="10" t="s">
        <v>1256</v>
      </c>
      <c r="C32" s="10" t="s">
        <v>1253</v>
      </c>
      <c r="D32" s="132">
        <v>5.9999999999999997E-7</v>
      </c>
      <c r="E32" s="203">
        <v>29</v>
      </c>
      <c r="F32" s="10" t="s">
        <v>1251</v>
      </c>
      <c r="G32" s="10">
        <v>25</v>
      </c>
      <c r="H32" s="188">
        <v>5.5400000000000005E-10</v>
      </c>
      <c r="I32" s="189">
        <v>1</v>
      </c>
      <c r="K32" s="190">
        <v>5.5400000000000005E-10</v>
      </c>
    </row>
  </sheetData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0B86-01FF-4B53-8CD5-B56161BDEA45}">
  <dimension ref="A1:W21"/>
  <sheetViews>
    <sheetView workbookViewId="0">
      <selection sqref="A1:XFD1"/>
    </sheetView>
  </sheetViews>
  <sheetFormatPr defaultRowHeight="14.45"/>
  <cols>
    <col min="19" max="19" width="15" bestFit="1" customWidth="1"/>
  </cols>
  <sheetData>
    <row r="1" spans="1:23" ht="15" thickBot="1">
      <c r="A1" s="204" t="s">
        <v>1262</v>
      </c>
      <c r="B1" s="205" t="s">
        <v>1263</v>
      </c>
      <c r="C1" s="205" t="s">
        <v>1244</v>
      </c>
      <c r="D1" s="205" t="s">
        <v>1264</v>
      </c>
      <c r="E1" s="205" t="s">
        <v>1265</v>
      </c>
      <c r="F1" s="205" t="s">
        <v>1266</v>
      </c>
      <c r="G1" s="205" t="s">
        <v>1267</v>
      </c>
      <c r="H1" s="205" t="s">
        <v>1238</v>
      </c>
      <c r="I1" s="205" t="s">
        <v>1268</v>
      </c>
      <c r="J1" s="205" t="s">
        <v>1269</v>
      </c>
      <c r="K1" s="205" t="s">
        <v>1270</v>
      </c>
      <c r="L1" s="205" t="s">
        <v>1271</v>
      </c>
      <c r="M1" s="205" t="s">
        <v>1239</v>
      </c>
      <c r="N1" s="205" t="s">
        <v>1242</v>
      </c>
      <c r="O1" s="205" t="s">
        <v>1241</v>
      </c>
      <c r="P1" s="205" t="s">
        <v>1272</v>
      </c>
      <c r="Q1" s="205" t="s">
        <v>1273</v>
      </c>
      <c r="R1" s="205" t="s">
        <v>1274</v>
      </c>
      <c r="S1" s="205" t="s">
        <v>1246</v>
      </c>
      <c r="T1" s="205" t="s">
        <v>1275</v>
      </c>
      <c r="U1" s="206" t="s">
        <v>1276</v>
      </c>
      <c r="W1" s="4" t="s">
        <v>1258</v>
      </c>
    </row>
    <row r="2" spans="1:23" ht="15" thickBot="1">
      <c r="A2" s="193" t="s">
        <v>1277</v>
      </c>
      <c r="B2" s="194" t="s">
        <v>1278</v>
      </c>
      <c r="C2" s="194">
        <v>25</v>
      </c>
      <c r="D2" s="194" t="s">
        <v>1245</v>
      </c>
      <c r="E2" s="194" t="s">
        <v>1279</v>
      </c>
      <c r="F2" s="194">
        <v>0</v>
      </c>
      <c r="G2" s="194">
        <v>0.65</v>
      </c>
      <c r="H2" s="194" t="s">
        <v>1248</v>
      </c>
      <c r="I2" s="194">
        <v>1.2E-2</v>
      </c>
      <c r="J2" s="194">
        <v>47000000</v>
      </c>
      <c r="K2" s="194">
        <v>0.05</v>
      </c>
      <c r="L2" s="194">
        <v>27</v>
      </c>
      <c r="M2" s="194" t="s">
        <v>1249</v>
      </c>
      <c r="N2" s="194">
        <v>47000000</v>
      </c>
      <c r="O2" s="194">
        <v>1.2E-2</v>
      </c>
      <c r="P2" s="194">
        <v>1</v>
      </c>
      <c r="Q2" s="194">
        <v>1</v>
      </c>
      <c r="R2" s="199">
        <v>8.07E-10</v>
      </c>
      <c r="S2" s="207">
        <f>R2/R$2</f>
        <v>1</v>
      </c>
      <c r="T2" s="354">
        <v>126</v>
      </c>
      <c r="U2" s="355" t="s">
        <v>1280</v>
      </c>
      <c r="W2" s="216">
        <v>8.07E-10</v>
      </c>
    </row>
    <row r="3" spans="1:23">
      <c r="A3" s="195" t="s">
        <v>1277</v>
      </c>
      <c r="B3" t="s">
        <v>1278</v>
      </c>
      <c r="C3">
        <v>25</v>
      </c>
      <c r="D3" t="s">
        <v>1245</v>
      </c>
      <c r="E3" t="s">
        <v>1279</v>
      </c>
      <c r="F3">
        <v>0</v>
      </c>
      <c r="G3">
        <v>0.65</v>
      </c>
      <c r="H3" t="s">
        <v>1248</v>
      </c>
      <c r="I3">
        <v>1.2E-2</v>
      </c>
      <c r="J3">
        <v>29000000</v>
      </c>
      <c r="K3">
        <v>4.1000000000000002E-2</v>
      </c>
      <c r="L3">
        <v>18</v>
      </c>
      <c r="M3" t="s">
        <v>1249</v>
      </c>
      <c r="N3">
        <v>29000000</v>
      </c>
      <c r="O3">
        <v>1.2E-2</v>
      </c>
      <c r="P3">
        <v>1</v>
      </c>
      <c r="Q3">
        <v>1</v>
      </c>
      <c r="R3" s="208">
        <v>4.64E-10</v>
      </c>
      <c r="S3" s="192">
        <f t="shared" ref="S3:S11" si="0">R3/R$2</f>
        <v>0.57496902106567538</v>
      </c>
      <c r="T3" s="346"/>
      <c r="U3" s="347"/>
      <c r="W3" s="4"/>
    </row>
    <row r="4" spans="1:23">
      <c r="A4" s="195" t="s">
        <v>1277</v>
      </c>
      <c r="B4" t="s">
        <v>1278</v>
      </c>
      <c r="C4">
        <v>25</v>
      </c>
      <c r="D4" t="s">
        <v>1245</v>
      </c>
      <c r="E4" t="s">
        <v>1279</v>
      </c>
      <c r="F4">
        <v>0</v>
      </c>
      <c r="G4">
        <v>0.65</v>
      </c>
      <c r="H4" t="s">
        <v>1248</v>
      </c>
      <c r="I4">
        <v>1.2E-2</v>
      </c>
      <c r="J4">
        <v>13000000</v>
      </c>
      <c r="K4">
        <v>3.3000000000000002E-2</v>
      </c>
      <c r="L4">
        <v>10</v>
      </c>
      <c r="M4" t="s">
        <v>1249</v>
      </c>
      <c r="N4">
        <v>13000000</v>
      </c>
      <c r="O4">
        <v>1.2E-2</v>
      </c>
      <c r="P4">
        <v>1</v>
      </c>
      <c r="Q4">
        <v>1</v>
      </c>
      <c r="R4" s="208">
        <v>1.65E-10</v>
      </c>
      <c r="S4" s="192">
        <f t="shared" si="0"/>
        <v>0.20446096654275092</v>
      </c>
      <c r="T4" s="346"/>
      <c r="U4" s="347"/>
      <c r="W4" s="4"/>
    </row>
    <row r="5" spans="1:23">
      <c r="A5" s="195" t="s">
        <v>1277</v>
      </c>
      <c r="B5" t="s">
        <v>1278</v>
      </c>
      <c r="C5">
        <v>25</v>
      </c>
      <c r="D5" t="s">
        <v>1245</v>
      </c>
      <c r="E5" t="s">
        <v>1279</v>
      </c>
      <c r="F5">
        <v>0</v>
      </c>
      <c r="G5">
        <v>0.65</v>
      </c>
      <c r="H5" t="s">
        <v>1248</v>
      </c>
      <c r="I5">
        <v>1.2E-2</v>
      </c>
      <c r="J5">
        <v>29000000</v>
      </c>
      <c r="K5">
        <v>4.1000000000000002E-2</v>
      </c>
      <c r="L5">
        <v>18</v>
      </c>
      <c r="M5" t="s">
        <v>1249</v>
      </c>
      <c r="N5">
        <v>29000000</v>
      </c>
      <c r="O5">
        <v>1.2E-2</v>
      </c>
      <c r="P5">
        <v>1</v>
      </c>
      <c r="Q5">
        <v>1</v>
      </c>
      <c r="R5" s="208">
        <v>4.64E-10</v>
      </c>
      <c r="S5" s="192">
        <f t="shared" si="0"/>
        <v>0.57496902106567538</v>
      </c>
      <c r="T5" s="346">
        <v>108</v>
      </c>
      <c r="U5" s="347"/>
      <c r="W5" s="4"/>
    </row>
    <row r="6" spans="1:23">
      <c r="A6" s="195" t="s">
        <v>1277</v>
      </c>
      <c r="B6" t="s">
        <v>1278</v>
      </c>
      <c r="C6">
        <v>25</v>
      </c>
      <c r="D6" t="s">
        <v>1245</v>
      </c>
      <c r="E6" t="s">
        <v>1279</v>
      </c>
      <c r="F6">
        <v>0</v>
      </c>
      <c r="G6">
        <v>0.65</v>
      </c>
      <c r="H6" t="s">
        <v>1248</v>
      </c>
      <c r="I6">
        <v>1.2E-2</v>
      </c>
      <c r="J6">
        <v>13000000</v>
      </c>
      <c r="K6">
        <v>3.3000000000000002E-2</v>
      </c>
      <c r="L6">
        <v>10</v>
      </c>
      <c r="M6" t="s">
        <v>1249</v>
      </c>
      <c r="N6">
        <v>13000000</v>
      </c>
      <c r="O6">
        <v>1.2E-2</v>
      </c>
      <c r="P6">
        <v>1</v>
      </c>
      <c r="Q6">
        <v>1</v>
      </c>
      <c r="R6" s="208">
        <v>1.65E-10</v>
      </c>
      <c r="S6" s="192">
        <f t="shared" si="0"/>
        <v>0.20446096654275092</v>
      </c>
      <c r="T6" s="346"/>
      <c r="U6" s="347"/>
      <c r="W6" s="4"/>
    </row>
    <row r="7" spans="1:23">
      <c r="A7" s="209" t="s">
        <v>1277</v>
      </c>
      <c r="B7" s="41" t="s">
        <v>1278</v>
      </c>
      <c r="C7" s="41">
        <v>25</v>
      </c>
      <c r="D7" s="41" t="s">
        <v>1245</v>
      </c>
      <c r="E7" s="41" t="s">
        <v>1279</v>
      </c>
      <c r="F7" s="41">
        <v>0</v>
      </c>
      <c r="G7" s="41">
        <v>0.65</v>
      </c>
      <c r="H7" s="41" t="s">
        <v>1248</v>
      </c>
      <c r="I7" s="41">
        <v>1.2E-2</v>
      </c>
      <c r="J7" s="41">
        <v>5000000</v>
      </c>
      <c r="K7" s="41">
        <v>2.9000000000000001E-2</v>
      </c>
      <c r="L7" s="41">
        <v>6</v>
      </c>
      <c r="M7" s="41" t="s">
        <v>1249</v>
      </c>
      <c r="N7" s="41">
        <v>5000000</v>
      </c>
      <c r="O7" s="41">
        <v>1.2E-2</v>
      </c>
      <c r="P7" s="41">
        <v>1</v>
      </c>
      <c r="Q7" s="41">
        <v>1</v>
      </c>
      <c r="R7" s="210">
        <v>7.4000000000000003E-11</v>
      </c>
      <c r="S7" s="211">
        <f t="shared" si="0"/>
        <v>9.1697645600991334E-2</v>
      </c>
      <c r="T7" s="349"/>
      <c r="U7" s="348"/>
      <c r="W7" s="4"/>
    </row>
    <row r="8" spans="1:23">
      <c r="A8" s="212" t="s">
        <v>1277</v>
      </c>
      <c r="B8" s="40" t="s">
        <v>1278</v>
      </c>
      <c r="C8" s="40">
        <v>25</v>
      </c>
      <c r="D8" s="40" t="s">
        <v>1245</v>
      </c>
      <c r="E8" s="40" t="s">
        <v>1279</v>
      </c>
      <c r="F8" s="40">
        <v>0</v>
      </c>
      <c r="G8" s="40">
        <v>0.65</v>
      </c>
      <c r="H8" s="40" t="s">
        <v>1248</v>
      </c>
      <c r="I8" s="40">
        <v>1.2E-2</v>
      </c>
      <c r="J8" s="40">
        <v>31000000</v>
      </c>
      <c r="K8" s="40">
        <v>4.2000000000000003E-2</v>
      </c>
      <c r="L8" s="40">
        <v>19</v>
      </c>
      <c r="M8" s="40" t="s">
        <v>1249</v>
      </c>
      <c r="N8" s="40">
        <v>31000000</v>
      </c>
      <c r="O8" s="40">
        <v>1.2E-2</v>
      </c>
      <c r="P8" s="40">
        <v>1</v>
      </c>
      <c r="Q8" s="40">
        <v>1</v>
      </c>
      <c r="R8" s="213">
        <v>5.0600000000000001E-10</v>
      </c>
      <c r="S8" s="214">
        <f t="shared" si="0"/>
        <v>0.62701363073110283</v>
      </c>
      <c r="T8" s="350">
        <v>126</v>
      </c>
      <c r="U8" s="351" t="s">
        <v>1281</v>
      </c>
      <c r="W8" s="4"/>
    </row>
    <row r="9" spans="1:23">
      <c r="A9" s="195" t="s">
        <v>1277</v>
      </c>
      <c r="B9" t="s">
        <v>1278</v>
      </c>
      <c r="C9">
        <v>25</v>
      </c>
      <c r="D9" t="s">
        <v>1245</v>
      </c>
      <c r="E9" t="s">
        <v>1279</v>
      </c>
      <c r="F9">
        <v>0</v>
      </c>
      <c r="G9">
        <v>0.65</v>
      </c>
      <c r="H9" t="s">
        <v>1248</v>
      </c>
      <c r="I9">
        <v>1.2E-2</v>
      </c>
      <c r="J9">
        <v>13000000</v>
      </c>
      <c r="K9">
        <v>3.3000000000000002E-2</v>
      </c>
      <c r="L9">
        <v>10</v>
      </c>
      <c r="M9" t="s">
        <v>1249</v>
      </c>
      <c r="N9">
        <v>13000000</v>
      </c>
      <c r="O9">
        <v>1.2E-2</v>
      </c>
      <c r="P9">
        <v>1</v>
      </c>
      <c r="Q9">
        <v>1</v>
      </c>
      <c r="R9" s="208">
        <v>1.65E-10</v>
      </c>
      <c r="S9" s="192">
        <f t="shared" si="0"/>
        <v>0.20446096654275092</v>
      </c>
      <c r="T9" s="346"/>
      <c r="U9" s="347"/>
      <c r="W9" s="4"/>
    </row>
    <row r="10" spans="1:23">
      <c r="A10" s="195" t="s">
        <v>1277</v>
      </c>
      <c r="B10" t="s">
        <v>1278</v>
      </c>
      <c r="C10">
        <v>25</v>
      </c>
      <c r="D10" t="s">
        <v>1245</v>
      </c>
      <c r="E10" t="s">
        <v>1279</v>
      </c>
      <c r="F10">
        <v>0</v>
      </c>
      <c r="G10">
        <v>0.65</v>
      </c>
      <c r="H10" t="s">
        <v>1248</v>
      </c>
      <c r="I10">
        <v>1.2E-2</v>
      </c>
      <c r="J10">
        <v>13000000</v>
      </c>
      <c r="K10">
        <v>3.3000000000000002E-2</v>
      </c>
      <c r="L10">
        <v>10</v>
      </c>
      <c r="M10" t="s">
        <v>1249</v>
      </c>
      <c r="N10">
        <v>13000000</v>
      </c>
      <c r="O10">
        <v>1.2E-2</v>
      </c>
      <c r="P10">
        <v>1</v>
      </c>
      <c r="Q10">
        <v>1</v>
      </c>
      <c r="R10" s="208">
        <v>1.65E-10</v>
      </c>
      <c r="S10" s="192">
        <f t="shared" si="0"/>
        <v>0.20446096654275092</v>
      </c>
      <c r="T10" s="346">
        <v>108</v>
      </c>
      <c r="U10" s="347"/>
      <c r="W10" s="4"/>
    </row>
    <row r="11" spans="1:23" ht="15" thickBot="1">
      <c r="A11" s="196" t="s">
        <v>1277</v>
      </c>
      <c r="B11" s="197" t="s">
        <v>1278</v>
      </c>
      <c r="C11" s="197">
        <v>25</v>
      </c>
      <c r="D11" s="197" t="s">
        <v>1245</v>
      </c>
      <c r="E11" s="197" t="s">
        <v>1279</v>
      </c>
      <c r="F11" s="197">
        <v>0</v>
      </c>
      <c r="G11" s="197">
        <v>0.65</v>
      </c>
      <c r="H11" s="197" t="s">
        <v>1248</v>
      </c>
      <c r="I11" s="197">
        <v>1.2E-2</v>
      </c>
      <c r="J11" s="197">
        <v>5000000</v>
      </c>
      <c r="K11" s="197">
        <v>2.9000000000000001E-2</v>
      </c>
      <c r="L11" s="197">
        <v>6</v>
      </c>
      <c r="M11" s="197" t="s">
        <v>1249</v>
      </c>
      <c r="N11" s="197">
        <v>5000000</v>
      </c>
      <c r="O11" s="197">
        <v>1.2E-2</v>
      </c>
      <c r="P11" s="197">
        <v>1</v>
      </c>
      <c r="Q11" s="197">
        <v>1</v>
      </c>
      <c r="R11" s="198">
        <v>7.4000000000000003E-11</v>
      </c>
      <c r="S11" s="215">
        <f t="shared" si="0"/>
        <v>9.1697645600991334E-2</v>
      </c>
      <c r="T11" s="353"/>
      <c r="U11" s="352"/>
      <c r="W11" s="4"/>
    </row>
    <row r="12" spans="1:23" ht="15" thickBot="1">
      <c r="A12" s="195" t="s">
        <v>1277</v>
      </c>
      <c r="B12" t="s">
        <v>1278</v>
      </c>
      <c r="C12">
        <v>25</v>
      </c>
      <c r="D12" t="s">
        <v>1245</v>
      </c>
      <c r="E12" t="s">
        <v>1279</v>
      </c>
      <c r="F12">
        <v>0</v>
      </c>
      <c r="G12">
        <v>0.65</v>
      </c>
      <c r="H12" t="s">
        <v>1255</v>
      </c>
      <c r="I12">
        <v>1.2E-2</v>
      </c>
      <c r="J12">
        <v>47000000</v>
      </c>
      <c r="K12">
        <v>4.9000000000000002E-2</v>
      </c>
      <c r="L12">
        <v>27</v>
      </c>
      <c r="M12" t="s">
        <v>1256</v>
      </c>
      <c r="N12">
        <v>47000000</v>
      </c>
      <c r="O12">
        <v>1.2E-2</v>
      </c>
      <c r="P12">
        <v>1</v>
      </c>
      <c r="Q12">
        <v>-1</v>
      </c>
      <c r="R12" s="208">
        <v>5.1299999999999999E-10</v>
      </c>
      <c r="S12" s="192">
        <f>R12/R$12</f>
        <v>1</v>
      </c>
      <c r="T12" s="346">
        <v>126</v>
      </c>
      <c r="U12" s="347" t="s">
        <v>1280</v>
      </c>
      <c r="W12" s="216">
        <v>5.1299999999999999E-10</v>
      </c>
    </row>
    <row r="13" spans="1:23">
      <c r="A13" s="195" t="s">
        <v>1277</v>
      </c>
      <c r="B13" t="s">
        <v>1278</v>
      </c>
      <c r="C13">
        <v>25</v>
      </c>
      <c r="D13" t="s">
        <v>1245</v>
      </c>
      <c r="E13" t="s">
        <v>1279</v>
      </c>
      <c r="F13">
        <v>0</v>
      </c>
      <c r="G13">
        <v>0.65</v>
      </c>
      <c r="H13" t="s">
        <v>1255</v>
      </c>
      <c r="I13">
        <v>1.2E-2</v>
      </c>
      <c r="J13">
        <v>29000000</v>
      </c>
      <c r="K13">
        <v>0.04</v>
      </c>
      <c r="L13">
        <v>18</v>
      </c>
      <c r="M13" t="s">
        <v>1256</v>
      </c>
      <c r="N13">
        <v>29000000</v>
      </c>
      <c r="O13">
        <v>1.2E-2</v>
      </c>
      <c r="P13">
        <v>1</v>
      </c>
      <c r="Q13">
        <v>-1</v>
      </c>
      <c r="R13" s="208">
        <v>3.0900000000000002E-10</v>
      </c>
      <c r="S13" s="192">
        <f t="shared" ref="S13:S21" si="1">R13/R$12</f>
        <v>0.60233918128654973</v>
      </c>
      <c r="T13" s="346"/>
      <c r="U13" s="347"/>
    </row>
    <row r="14" spans="1:23">
      <c r="A14" s="195" t="s">
        <v>1277</v>
      </c>
      <c r="B14" t="s">
        <v>1278</v>
      </c>
      <c r="C14">
        <v>25</v>
      </c>
      <c r="D14" t="s">
        <v>1245</v>
      </c>
      <c r="E14" t="s">
        <v>1279</v>
      </c>
      <c r="F14">
        <v>0</v>
      </c>
      <c r="G14">
        <v>0.65</v>
      </c>
      <c r="H14" t="s">
        <v>1255</v>
      </c>
      <c r="I14">
        <v>1.2E-2</v>
      </c>
      <c r="J14">
        <v>13000000</v>
      </c>
      <c r="K14">
        <v>3.2000000000000001E-2</v>
      </c>
      <c r="L14">
        <v>10</v>
      </c>
      <c r="M14" t="s">
        <v>1256</v>
      </c>
      <c r="N14">
        <v>13000000</v>
      </c>
      <c r="O14">
        <v>1.2E-2</v>
      </c>
      <c r="P14">
        <v>1</v>
      </c>
      <c r="Q14">
        <v>-1</v>
      </c>
      <c r="R14" s="208">
        <v>1.2E-10</v>
      </c>
      <c r="S14" s="192">
        <f t="shared" si="1"/>
        <v>0.23391812865497078</v>
      </c>
      <c r="T14" s="346"/>
      <c r="U14" s="347"/>
    </row>
    <row r="15" spans="1:23">
      <c r="A15" s="195" t="s">
        <v>1277</v>
      </c>
      <c r="B15" t="s">
        <v>1278</v>
      </c>
      <c r="C15">
        <v>25</v>
      </c>
      <c r="D15" t="s">
        <v>1245</v>
      </c>
      <c r="E15" t="s">
        <v>1279</v>
      </c>
      <c r="F15">
        <v>0</v>
      </c>
      <c r="G15">
        <v>0.65</v>
      </c>
      <c r="H15" t="s">
        <v>1255</v>
      </c>
      <c r="I15">
        <v>1.2E-2</v>
      </c>
      <c r="J15">
        <v>29000000</v>
      </c>
      <c r="K15">
        <v>0.04</v>
      </c>
      <c r="L15">
        <v>18</v>
      </c>
      <c r="M15" t="s">
        <v>1256</v>
      </c>
      <c r="N15">
        <v>29000000</v>
      </c>
      <c r="O15">
        <v>1.2E-2</v>
      </c>
      <c r="P15">
        <v>1</v>
      </c>
      <c r="Q15">
        <v>-1</v>
      </c>
      <c r="R15" s="208">
        <v>3.0900000000000002E-10</v>
      </c>
      <c r="S15" s="192">
        <f t="shared" si="1"/>
        <v>0.60233918128654973</v>
      </c>
      <c r="T15" s="346">
        <v>108</v>
      </c>
      <c r="U15" s="347"/>
    </row>
    <row r="16" spans="1:23">
      <c r="A16" s="195" t="s">
        <v>1277</v>
      </c>
      <c r="B16" t="s">
        <v>1278</v>
      </c>
      <c r="C16">
        <v>25</v>
      </c>
      <c r="D16" t="s">
        <v>1245</v>
      </c>
      <c r="E16" t="s">
        <v>1279</v>
      </c>
      <c r="F16">
        <v>0</v>
      </c>
      <c r="G16">
        <v>0.65</v>
      </c>
      <c r="H16" t="s">
        <v>1255</v>
      </c>
      <c r="I16">
        <v>1.2E-2</v>
      </c>
      <c r="J16">
        <v>13000000</v>
      </c>
      <c r="K16">
        <v>3.2000000000000001E-2</v>
      </c>
      <c r="L16">
        <v>10</v>
      </c>
      <c r="M16" t="s">
        <v>1256</v>
      </c>
      <c r="N16">
        <v>13000000</v>
      </c>
      <c r="O16">
        <v>1.2E-2</v>
      </c>
      <c r="P16">
        <v>1</v>
      </c>
      <c r="Q16">
        <v>-1</v>
      </c>
      <c r="R16" s="208">
        <v>1.2E-10</v>
      </c>
      <c r="S16" s="192">
        <f t="shared" si="1"/>
        <v>0.23391812865497078</v>
      </c>
      <c r="T16" s="346"/>
      <c r="U16" s="347"/>
    </row>
    <row r="17" spans="1:21">
      <c r="A17" s="209" t="s">
        <v>1277</v>
      </c>
      <c r="B17" s="41" t="s">
        <v>1278</v>
      </c>
      <c r="C17" s="41">
        <v>25</v>
      </c>
      <c r="D17" s="41" t="s">
        <v>1245</v>
      </c>
      <c r="E17" s="41" t="s">
        <v>1279</v>
      </c>
      <c r="F17" s="41">
        <v>0</v>
      </c>
      <c r="G17" s="41">
        <v>0.65</v>
      </c>
      <c r="H17" s="41" t="s">
        <v>1255</v>
      </c>
      <c r="I17" s="41">
        <v>1.2E-2</v>
      </c>
      <c r="J17" s="41">
        <v>5000000</v>
      </c>
      <c r="K17" s="41">
        <v>2.8000000000000001E-2</v>
      </c>
      <c r="L17" s="41">
        <v>6</v>
      </c>
      <c r="M17" s="41" t="s">
        <v>1256</v>
      </c>
      <c r="N17" s="41">
        <v>5000000</v>
      </c>
      <c r="O17" s="41">
        <v>1.2E-2</v>
      </c>
      <c r="P17" s="41">
        <v>1</v>
      </c>
      <c r="Q17" s="41">
        <v>-1</v>
      </c>
      <c r="R17" s="210">
        <v>5.8700000000000002E-11</v>
      </c>
      <c r="S17" s="211">
        <f t="shared" si="1"/>
        <v>0.11442495126705654</v>
      </c>
      <c r="T17" s="349"/>
      <c r="U17" s="348"/>
    </row>
    <row r="18" spans="1:21">
      <c r="A18" s="212" t="s">
        <v>1277</v>
      </c>
      <c r="B18" s="40" t="s">
        <v>1278</v>
      </c>
      <c r="C18" s="40">
        <v>25</v>
      </c>
      <c r="D18" s="40" t="s">
        <v>1245</v>
      </c>
      <c r="E18" s="40" t="s">
        <v>1279</v>
      </c>
      <c r="F18" s="40">
        <v>0</v>
      </c>
      <c r="G18" s="40">
        <v>0.65</v>
      </c>
      <c r="H18" s="40" t="s">
        <v>1255</v>
      </c>
      <c r="I18" s="40">
        <v>1.2E-2</v>
      </c>
      <c r="J18" s="40">
        <v>31000000</v>
      </c>
      <c r="K18" s="40">
        <v>4.1000000000000002E-2</v>
      </c>
      <c r="L18" s="40">
        <v>19</v>
      </c>
      <c r="M18" s="40" t="s">
        <v>1256</v>
      </c>
      <c r="N18" s="40">
        <v>31000000</v>
      </c>
      <c r="O18" s="40">
        <v>1.2E-2</v>
      </c>
      <c r="P18" s="40">
        <v>1</v>
      </c>
      <c r="Q18" s="40">
        <v>-1</v>
      </c>
      <c r="R18" s="213">
        <v>3.3599999999999998E-10</v>
      </c>
      <c r="S18" s="214">
        <f t="shared" si="1"/>
        <v>0.65497076023391809</v>
      </c>
      <c r="T18" s="350">
        <v>126</v>
      </c>
      <c r="U18" s="351" t="s">
        <v>1281</v>
      </c>
    </row>
    <row r="19" spans="1:21">
      <c r="A19" s="195" t="s">
        <v>1277</v>
      </c>
      <c r="B19" t="s">
        <v>1278</v>
      </c>
      <c r="C19">
        <v>25</v>
      </c>
      <c r="D19" t="s">
        <v>1245</v>
      </c>
      <c r="E19" t="s">
        <v>1279</v>
      </c>
      <c r="F19">
        <v>0</v>
      </c>
      <c r="G19">
        <v>0.65</v>
      </c>
      <c r="H19" t="s">
        <v>1255</v>
      </c>
      <c r="I19">
        <v>1.2E-2</v>
      </c>
      <c r="J19">
        <v>13000000</v>
      </c>
      <c r="K19">
        <v>3.2000000000000001E-2</v>
      </c>
      <c r="L19">
        <v>10</v>
      </c>
      <c r="M19" t="s">
        <v>1256</v>
      </c>
      <c r="N19">
        <v>13000000</v>
      </c>
      <c r="O19">
        <v>1.2E-2</v>
      </c>
      <c r="P19">
        <v>1</v>
      </c>
      <c r="Q19">
        <v>-1</v>
      </c>
      <c r="R19" s="208">
        <v>1.2E-10</v>
      </c>
      <c r="S19" s="192">
        <f t="shared" si="1"/>
        <v>0.23391812865497078</v>
      </c>
      <c r="T19" s="346"/>
      <c r="U19" s="347"/>
    </row>
    <row r="20" spans="1:21">
      <c r="A20" s="195" t="s">
        <v>1277</v>
      </c>
      <c r="B20" t="s">
        <v>1278</v>
      </c>
      <c r="C20">
        <v>25</v>
      </c>
      <c r="D20" t="s">
        <v>1245</v>
      </c>
      <c r="E20" t="s">
        <v>1279</v>
      </c>
      <c r="F20">
        <v>0</v>
      </c>
      <c r="G20">
        <v>0.65</v>
      </c>
      <c r="H20" t="s">
        <v>1255</v>
      </c>
      <c r="I20">
        <v>1.2E-2</v>
      </c>
      <c r="J20">
        <v>13000000</v>
      </c>
      <c r="K20">
        <v>3.2000000000000001E-2</v>
      </c>
      <c r="L20">
        <v>10</v>
      </c>
      <c r="M20" t="s">
        <v>1256</v>
      </c>
      <c r="N20">
        <v>13000000</v>
      </c>
      <c r="O20">
        <v>1.2E-2</v>
      </c>
      <c r="P20">
        <v>1</v>
      </c>
      <c r="Q20">
        <v>-1</v>
      </c>
      <c r="R20" s="208">
        <v>1.2E-10</v>
      </c>
      <c r="S20" s="192">
        <f t="shared" si="1"/>
        <v>0.23391812865497078</v>
      </c>
      <c r="T20" s="346">
        <v>108</v>
      </c>
      <c r="U20" s="347"/>
    </row>
    <row r="21" spans="1:21" ht="15" thickBot="1">
      <c r="A21" s="196" t="s">
        <v>1277</v>
      </c>
      <c r="B21" s="197" t="s">
        <v>1278</v>
      </c>
      <c r="C21" s="197">
        <v>25</v>
      </c>
      <c r="D21" s="197" t="s">
        <v>1245</v>
      </c>
      <c r="E21" s="197" t="s">
        <v>1279</v>
      </c>
      <c r="F21" s="197">
        <v>0</v>
      </c>
      <c r="G21" s="197">
        <v>0.65</v>
      </c>
      <c r="H21" s="197" t="s">
        <v>1255</v>
      </c>
      <c r="I21" s="197">
        <v>1.2E-2</v>
      </c>
      <c r="J21" s="197">
        <v>5000000</v>
      </c>
      <c r="K21" s="197">
        <v>2.8000000000000001E-2</v>
      </c>
      <c r="L21" s="197">
        <v>6</v>
      </c>
      <c r="M21" s="197" t="s">
        <v>1256</v>
      </c>
      <c r="N21" s="197">
        <v>5000000</v>
      </c>
      <c r="O21" s="197">
        <v>1.2E-2</v>
      </c>
      <c r="P21" s="197">
        <v>1</v>
      </c>
      <c r="Q21" s="197">
        <v>-1</v>
      </c>
      <c r="R21" s="198">
        <v>5.8700000000000002E-11</v>
      </c>
      <c r="S21" s="215">
        <f t="shared" si="1"/>
        <v>0.11442495126705654</v>
      </c>
      <c r="T21" s="353"/>
      <c r="U21" s="352"/>
    </row>
  </sheetData>
  <autoFilter ref="A1:W21" xr:uid="{06BB0B86-01FF-4B53-8CD5-B56161BDEA45}"/>
  <mergeCells count="12">
    <mergeCell ref="T2:T4"/>
    <mergeCell ref="U2:U7"/>
    <mergeCell ref="T5:T7"/>
    <mergeCell ref="T8:T9"/>
    <mergeCell ref="U8:U11"/>
    <mergeCell ref="T10:T11"/>
    <mergeCell ref="T12:T14"/>
    <mergeCell ref="U12:U17"/>
    <mergeCell ref="T15:T17"/>
    <mergeCell ref="T18:T19"/>
    <mergeCell ref="U18:U21"/>
    <mergeCell ref="T20:T2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B3EC-E5C0-4809-B3CD-FE570C9AC058}">
  <dimension ref="A1:M7"/>
  <sheetViews>
    <sheetView workbookViewId="0">
      <selection activeCell="G22" sqref="G22"/>
    </sheetView>
  </sheetViews>
  <sheetFormatPr defaultRowHeight="14.45"/>
  <cols>
    <col min="1" max="2" width="12.5703125" bestFit="1" customWidth="1"/>
    <col min="3" max="3" width="17.42578125" bestFit="1" customWidth="1"/>
    <col min="4" max="4" width="48.42578125" customWidth="1"/>
    <col min="6" max="6" width="8.85546875" bestFit="1" customWidth="1"/>
    <col min="7" max="7" width="31.85546875" bestFit="1" customWidth="1"/>
    <col min="8" max="10" width="8.85546875" bestFit="1" customWidth="1"/>
    <col min="11" max="11" width="6.5703125" bestFit="1" customWidth="1"/>
  </cols>
  <sheetData>
    <row r="1" spans="1:13" ht="15" thickBot="1">
      <c r="A1" s="169" t="s">
        <v>0</v>
      </c>
      <c r="B1" s="170" t="s">
        <v>1</v>
      </c>
      <c r="C1" s="170" t="s">
        <v>2</v>
      </c>
      <c r="D1" s="170" t="s">
        <v>1282</v>
      </c>
      <c r="E1" s="171"/>
      <c r="F1" s="172" t="s">
        <v>5</v>
      </c>
      <c r="G1" s="173" t="s">
        <v>1283</v>
      </c>
      <c r="H1" s="173" t="s">
        <v>6</v>
      </c>
      <c r="I1" s="173" t="s">
        <v>1284</v>
      </c>
      <c r="J1" s="173" t="s">
        <v>608</v>
      </c>
      <c r="K1" s="173" t="s">
        <v>607</v>
      </c>
      <c r="L1" s="173" t="s">
        <v>157</v>
      </c>
      <c r="M1" s="173" t="s">
        <v>609</v>
      </c>
    </row>
    <row r="2" spans="1:13">
      <c r="A2" s="358" t="s">
        <v>1285</v>
      </c>
      <c r="B2" s="360" t="s">
        <v>1285</v>
      </c>
      <c r="C2" s="174" t="s">
        <v>1286</v>
      </c>
      <c r="D2" s="174" t="s">
        <v>1287</v>
      </c>
      <c r="E2" s="362"/>
      <c r="F2" s="356" t="s">
        <v>160</v>
      </c>
      <c r="G2" s="356" t="s">
        <v>1288</v>
      </c>
      <c r="H2" s="356" t="s">
        <v>160</v>
      </c>
      <c r="I2" s="356" t="s">
        <v>160</v>
      </c>
      <c r="J2" s="356" t="s">
        <v>160</v>
      </c>
      <c r="K2" s="356" t="s">
        <v>38</v>
      </c>
      <c r="L2" s="356" t="s">
        <v>1289</v>
      </c>
      <c r="M2" s="356" t="s">
        <v>1289</v>
      </c>
    </row>
    <row r="3" spans="1:13" ht="15" thickBot="1">
      <c r="A3" s="359"/>
      <c r="B3" s="361"/>
      <c r="C3" s="175" t="s">
        <v>1290</v>
      </c>
      <c r="D3" s="175" t="s">
        <v>1291</v>
      </c>
      <c r="E3" s="362"/>
      <c r="F3" s="357"/>
      <c r="G3" s="357"/>
      <c r="H3" s="357"/>
      <c r="I3" s="357"/>
      <c r="J3" s="357"/>
      <c r="K3" s="357"/>
      <c r="L3" s="357"/>
      <c r="M3" s="357"/>
    </row>
    <row r="4" spans="1:13">
      <c r="A4" s="358" t="s">
        <v>1292</v>
      </c>
      <c r="B4" s="360" t="s">
        <v>1292</v>
      </c>
      <c r="C4" s="174" t="s">
        <v>1293</v>
      </c>
      <c r="D4" s="174" t="s">
        <v>1287</v>
      </c>
      <c r="E4" s="362"/>
      <c r="F4" s="356" t="s">
        <v>160</v>
      </c>
      <c r="G4" s="356" t="s">
        <v>1288</v>
      </c>
      <c r="H4" s="356" t="s">
        <v>160</v>
      </c>
      <c r="I4" s="356" t="s">
        <v>160</v>
      </c>
      <c r="J4" s="356" t="s">
        <v>160</v>
      </c>
      <c r="K4" s="356" t="s">
        <v>38</v>
      </c>
      <c r="L4" s="356" t="s">
        <v>165</v>
      </c>
      <c r="M4" s="356" t="s">
        <v>165</v>
      </c>
    </row>
    <row r="5" spans="1:13" ht="15" thickBot="1">
      <c r="A5" s="359"/>
      <c r="B5" s="361"/>
      <c r="C5" s="175" t="s">
        <v>1294</v>
      </c>
      <c r="D5" s="175" t="s">
        <v>1291</v>
      </c>
      <c r="E5" s="362"/>
      <c r="F5" s="357"/>
      <c r="G5" s="357"/>
      <c r="H5" s="357"/>
      <c r="I5" s="357"/>
      <c r="J5" s="357"/>
      <c r="K5" s="357"/>
      <c r="L5" s="357"/>
      <c r="M5" s="357"/>
    </row>
    <row r="6" spans="1:13">
      <c r="A6" s="358" t="s">
        <v>1295</v>
      </c>
      <c r="B6" s="360" t="s">
        <v>1295</v>
      </c>
      <c r="C6" s="174" t="s">
        <v>1296</v>
      </c>
      <c r="D6" s="174" t="s">
        <v>1287</v>
      </c>
      <c r="E6" s="362"/>
      <c r="F6" s="356" t="s">
        <v>160</v>
      </c>
      <c r="G6" s="356" t="s">
        <v>1288</v>
      </c>
      <c r="H6" s="356" t="s">
        <v>160</v>
      </c>
      <c r="I6" s="356" t="s">
        <v>160</v>
      </c>
      <c r="J6" s="356" t="s">
        <v>160</v>
      </c>
      <c r="K6" s="356" t="s">
        <v>38</v>
      </c>
      <c r="L6" s="356" t="s">
        <v>1297</v>
      </c>
      <c r="M6" s="356" t="s">
        <v>1297</v>
      </c>
    </row>
    <row r="7" spans="1:13" ht="15" thickBot="1">
      <c r="A7" s="359"/>
      <c r="B7" s="361"/>
      <c r="C7" s="175" t="s">
        <v>1298</v>
      </c>
      <c r="D7" s="175" t="s">
        <v>1291</v>
      </c>
      <c r="E7" s="362"/>
      <c r="F7" s="357"/>
      <c r="G7" s="357"/>
      <c r="H7" s="357"/>
      <c r="I7" s="357"/>
      <c r="J7" s="357"/>
      <c r="K7" s="357"/>
      <c r="L7" s="357"/>
      <c r="M7" s="357"/>
    </row>
  </sheetData>
  <mergeCells count="33">
    <mergeCell ref="L6:L7"/>
    <mergeCell ref="M6:M7"/>
    <mergeCell ref="A6:A7"/>
    <mergeCell ref="B6:B7"/>
    <mergeCell ref="E6:E7"/>
    <mergeCell ref="F6:F7"/>
    <mergeCell ref="G6:G7"/>
    <mergeCell ref="H6:H7"/>
    <mergeCell ref="H4:H5"/>
    <mergeCell ref="I4:I5"/>
    <mergeCell ref="J4:J5"/>
    <mergeCell ref="K4:K5"/>
    <mergeCell ref="I6:I7"/>
    <mergeCell ref="J6:J7"/>
    <mergeCell ref="K6:K7"/>
    <mergeCell ref="L4:L5"/>
    <mergeCell ref="M4:M5"/>
    <mergeCell ref="I2:I3"/>
    <mergeCell ref="J2:J3"/>
    <mergeCell ref="K2:K3"/>
    <mergeCell ref="L2:L3"/>
    <mergeCell ref="M2:M3"/>
    <mergeCell ref="A4:A5"/>
    <mergeCell ref="B4:B5"/>
    <mergeCell ref="E4:E5"/>
    <mergeCell ref="F4:F5"/>
    <mergeCell ref="G4:G5"/>
    <mergeCell ref="H2:H3"/>
    <mergeCell ref="A2:A3"/>
    <mergeCell ref="B2:B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A87B4EF6DD84787A84E450FC83619" ma:contentTypeVersion="9" ma:contentTypeDescription="Create a new document." ma:contentTypeScope="" ma:versionID="9655d4f725996bdb79f090c9adcfadf4">
  <xsd:schema xmlns:xsd="http://www.w3.org/2001/XMLSchema" xmlns:xs="http://www.w3.org/2001/XMLSchema" xmlns:p="http://schemas.microsoft.com/office/2006/metadata/properties" xmlns:ns2="8c5c7c43-7776-4be4-9b66-f0e598a006f2" targetNamespace="http://schemas.microsoft.com/office/2006/metadata/properties" ma:root="true" ma:fieldsID="5e7f22aa02e8ff6ad58c10ac94e8f8c8" ns2:_="">
    <xsd:import namespace="8c5c7c43-7776-4be4-9b66-f0e598a006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Comment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c7c43-7776-4be4-9b66-f0e598a00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8c5c7c43-7776-4be4-9b66-f0e598a006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FAAE19-2B1A-4CCF-A3A1-F428CF76A6A9}"/>
</file>

<file path=customXml/itemProps2.xml><?xml version="1.0" encoding="utf-8"?>
<ds:datastoreItem xmlns:ds="http://schemas.openxmlformats.org/officeDocument/2006/customXml" ds:itemID="{C74660B6-F48B-4DA7-A67E-20DC9EA9FAB3}"/>
</file>

<file path=customXml/itemProps3.xml><?xml version="1.0" encoding="utf-8"?>
<ds:datastoreItem xmlns:ds="http://schemas.openxmlformats.org/officeDocument/2006/customXml" ds:itemID="{A1713BC2-2921-403F-A397-29FF73B2D953}"/>
</file>

<file path=docMetadata/LabelInfo.xml><?xml version="1.0" encoding="utf-8"?>
<clbl:labelList xmlns:clbl="http://schemas.microsoft.com/office/2020/mipLabelMetadata">
  <clbl:label id="{9aa06179-68b3-4e2b-b09b-a2424735516b}" enabled="1" method="Privileged" siteId="{46c98d88-e344-4ed4-8496-4ed7712e25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Bloomstrom, Jason</dc:creator>
  <cp:keywords>CTPClassification=CTP_IC:VisualMarkings=, CTPClassification=CTP_IC</cp:keywords>
  <dc:description/>
  <cp:lastModifiedBy/>
  <cp:revision/>
  <dcterms:created xsi:type="dcterms:W3CDTF">2015-11-25T03:03:27Z</dcterms:created>
  <dcterms:modified xsi:type="dcterms:W3CDTF">2026-10-22T21:01:08Z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5f96bdc6-c988-45e3-ad94-cbd6756c8408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2020-08-19 20:32:36Z</vt:lpwstr>
  </property>
  <property fmtid="{D5CDD505-2E9C-101B-9397-08002B2CF9AE}" pid="5" name="IntelDataClassification">
    <vt:lpwstr>NA</vt:lpwstr>
  </property>
  <property fmtid="{D5CDD505-2E9C-101B-9397-08002B2CF9AE}" pid="6" name="ContentTypeId">
    <vt:lpwstr>0x010100DF5A87B4EF6DD84787A84E450FC83619</vt:lpwstr>
  </property>
  <property fmtid="{D5CDD505-2E9C-101B-9397-08002B2CF9AE}" pid="7" name="CTPClassification">
    <vt:lpwstr>CTP_IC</vt:lpwstr>
  </property>
  <property fmtid="{D5CDD505-2E9C-101B-9397-08002B2CF9AE}" pid="8" name="MSIP_Label_9aa06179-68b3-4e2b-b09b-a2424735516b_Enabled">
    <vt:lpwstr>True</vt:lpwstr>
  </property>
  <property fmtid="{D5CDD505-2E9C-101B-9397-08002B2CF9AE}" pid="9" name="MSIP_Label_9aa06179-68b3-4e2b-b09b-a2424735516b_SiteId">
    <vt:lpwstr>46c98d88-e344-4ed4-8496-4ed7712e255d</vt:lpwstr>
  </property>
  <property fmtid="{D5CDD505-2E9C-101B-9397-08002B2CF9AE}" pid="10" name="MSIP_Label_9aa06179-68b3-4e2b-b09b-a2424735516b_Owner">
    <vt:lpwstr>jason.bloomstrom@intel.com</vt:lpwstr>
  </property>
  <property fmtid="{D5CDD505-2E9C-101B-9397-08002B2CF9AE}" pid="11" name="MSIP_Label_9aa06179-68b3-4e2b-b09b-a2424735516b_SetDate">
    <vt:lpwstr>2020-11-17T20:10:49.6974980Z</vt:lpwstr>
  </property>
  <property fmtid="{D5CDD505-2E9C-101B-9397-08002B2CF9AE}" pid="12" name="MSIP_Label_9aa06179-68b3-4e2b-b09b-a2424735516b_Name">
    <vt:lpwstr>Intel Confidential</vt:lpwstr>
  </property>
  <property fmtid="{D5CDD505-2E9C-101B-9397-08002B2CF9AE}" pid="13" name="MSIP_Label_9aa06179-68b3-4e2b-b09b-a2424735516b_Application">
    <vt:lpwstr>Microsoft Azure Information Protection</vt:lpwstr>
  </property>
  <property fmtid="{D5CDD505-2E9C-101B-9397-08002B2CF9AE}" pid="14" name="MSIP_Label_9aa06179-68b3-4e2b-b09b-a2424735516b_ActionId">
    <vt:lpwstr>2990dadb-2d6a-442d-95d3-f740a945fc76</vt:lpwstr>
  </property>
  <property fmtid="{D5CDD505-2E9C-101B-9397-08002B2CF9AE}" pid="15" name="MSIP_Label_9aa06179-68b3-4e2b-b09b-a2424735516b_Extended_MSFT_Method">
    <vt:lpwstr>Automatic</vt:lpwstr>
  </property>
  <property fmtid="{D5CDD505-2E9C-101B-9397-08002B2CF9AE}" pid="16" name="Sensitivity">
    <vt:lpwstr>Intel Confidential</vt:lpwstr>
  </property>
  <property fmtid="{D5CDD505-2E9C-101B-9397-08002B2CF9AE}" pid="17" name="MediaServiceImageTags">
    <vt:lpwstr/>
  </property>
  <property fmtid="{D5CDD505-2E9C-101B-9397-08002B2CF9AE}" pid="18" name="Order">
    <vt:r8>375100</vt:r8>
  </property>
  <property fmtid="{D5CDD505-2E9C-101B-9397-08002B2CF9AE}" pid="19" name="xd_Signature">
    <vt:bool>false</vt:bool>
  </property>
  <property fmtid="{D5CDD505-2E9C-101B-9397-08002B2CF9AE}" pid="20" name="xd_ProgID">
    <vt:lpwstr/>
  </property>
  <property fmtid="{D5CDD505-2E9C-101B-9397-08002B2CF9AE}" pid="21" name="ComplianceAssetId">
    <vt:lpwstr/>
  </property>
  <property fmtid="{D5CDD505-2E9C-101B-9397-08002B2CF9AE}" pid="22" name="TemplateUrl">
    <vt:lpwstr/>
  </property>
  <property fmtid="{D5CDD505-2E9C-101B-9397-08002B2CF9AE}" pid="23" name="_ExtendedDescription">
    <vt:lpwstr/>
  </property>
  <property fmtid="{D5CDD505-2E9C-101B-9397-08002B2CF9AE}" pid="24" name="TriggerFlowInfo">
    <vt:lpwstr/>
  </property>
</Properties>
</file>